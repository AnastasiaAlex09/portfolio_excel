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тро" sheetId="1" r:id="rId5"/>
    <sheet state="visible" name="Дашборды" sheetId="2" r:id="rId6"/>
    <sheet state="visible" name="Выгода клиентам" sheetId="3" r:id="rId7"/>
    <sheet state="visible" name="Продажи магазинов " sheetId="4" r:id="rId8"/>
    <sheet state="visible" name="Суммарные продажи по магазинам" sheetId="5" r:id="rId9"/>
    <sheet state="visible" name="Средняя цена по поставщикам" sheetId="6" r:id="rId10"/>
    <sheet state="visible" name="Суммарн продажи по поставщикам" sheetId="7" r:id="rId11"/>
    <sheet state="visible" name="Среднее кол-во по категории" sheetId="8" r:id="rId12"/>
    <sheet state="visible" name="Лайфтайм клиента" sheetId="9" r:id="rId13"/>
    <sheet state="visible" name="Суммарные продажи по категориям" sheetId="10" r:id="rId14"/>
    <sheet state="visible" name="Платежеспособность" sheetId="11" r:id="rId15"/>
    <sheet state="visible" name="продажи" sheetId="12" r:id="rId16"/>
    <sheet state="visible" name="товар" sheetId="13" r:id="rId17"/>
    <sheet state="visible" name="Клиенты в программе лояльности" sheetId="14" r:id="rId18"/>
    <sheet state="visible" name="География клиентов" sheetId="15" r:id="rId19"/>
    <sheet state="visible" name="клиенты" sheetId="16" r:id="rId20"/>
    <sheet state="visible" name="Частотность имен" sheetId="17" r:id="rId21"/>
    <sheet state="visible" name="коды стран" sheetId="18" r:id="rId22"/>
  </sheets>
  <definedNames>
    <definedName name="_xlchart.v1.0">'продажи'!$O$1</definedName>
    <definedName name="_xlchart.v1.1">'продажи'!$O$2:$O$1001</definedName>
    <definedName hidden="1" localSheetId="3" name="_xlnm._FilterDatabase">'Продажи магазинов '!$A$1:$B$17</definedName>
    <definedName hidden="1" localSheetId="11" name="_xlnm._FilterDatabase">'продажи'!$R$1:$R$1001</definedName>
  </definedNames>
  <calcPr/>
  <pivotCaches>
    <pivotCache cacheId="0" r:id="rId23"/>
    <pivotCache cacheId="1" r:id="rId24"/>
    <pivotCache cacheId="2" r:id="rId25"/>
    <pivotCache cacheId="3" r:id="rId2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tc={03a1cd6e-0b14-42c1-9341-d7663c3b8592}</author>
    <author>tc={3035a4e2-0627-4473-a0b9-11dd167dcfdb}</author>
    <author>tc={437dde8a-c800-410c-a69d-6606a41ee755}</author>
    <author>tc={6ca7d285-cee0-442f-b30c-a5a662d45699}</author>
    <author>tc={70d31570-9808-4c82-ac08-146c29a5b8a6}</author>
    <author>tc={76d10544-00b0-4749-941e-14ce252130a2}</author>
    <author>tc={7bbd230d-fd6d-48ab-92a7-eccb5723a032}</author>
    <author>tc={8a80540c-5d94-46a5-b6bd-0473237d2526}</author>
    <author>tc={b1f0dd5d-aa50-45bb-acf3-e79158fd5b4c}</author>
    <author>tc={b8d73ef4-a7b3-49ed-b985-e0051c9f58ae}</author>
    <author>tc={b9c831e0-b6b2-4961-87a3-82ab8afd2557}</author>
    <author>tc={cbef64c3-3a7d-42e0-8b9e-b2b8c89d78d8}</author>
    <author>tc={cca002ea-fdc0-44c0-b408-3e6922617c69}</author>
  </authors>
  <commentList>
    <comment authorId="0" xr:uid="{03a1cd6e-0b14-42c1-9341-d7663c3b8592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Анализ лидеров (выше 3.0)
Все категории с средним количеством ≥ 3.0:
Молоко (3.2) — абсолютный лидер.
Мясо, Овощи, Рис, Рыба, Сахар, Соль, Кофе, Конфеты, Чипсы, Хлеб, Фрукты, Печенье, Сок, Колбаса, Чай
Общее количество: 15 из 17 категорий имеют ≥ 3.0.
Вывод: Большинство продуктов покупают по 3 и более единиц в одном чеке — это говорит о высоком уровне запасов, регулярном потреблении и повторных покупках.
Аутсайдеры (ниже 3.0): сыр и крупа. 
Покупатели в целом запасаются продуктами — среднее количество единиц в чеке выше 3 для большинства категорий.
Это говорит о плановой покупке, семейном потреблении и высокой частоте использования базовых продуктов.
Лидером по частоте покупки одной позиции является молоко, а самым "редким" по количеству в чеке — сыр.
.
</t>
      </text>
    </comment>
    <comment authorId="1" xr:uid="{3035a4e2-0627-4473-a0b9-11dd167dcfdb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Поставщиков можно разделить на три условных сегмента по уровню средней стоимости:
Премиум / Высокий  &gt; 300р 15 брендов, включая Green Garden, Каравай, Макфа.
Средний  250–300р
28 поставщиков, доминирующий.
Низкий / Бюджетный &lt; 250р
17 брендов, включая Tchibo, Ахмад, Микоян.
Вывод: Большинство поставщиков (28 из 60) сосредоточено в среднем ценовом сегменте, что указывает на высокую конкуренцию в этом диапазоне.
Лидер по средней стоимости:
Green Garden — 369
Значительно опережает ближайшего конкурента (Каравай — 331). Это может свидетельствовать о премиальном позиционировании бренда, использовании органических/импортных ингредиентов или узкой нишевой специализации.
Аутсайдер:
Микоян — 82
Существенно ниже среднего. Возможно, бренд ориентирован на массовый бюджетный сегмент, либо представлен в категории дешёвых продуктов (например, колбасные изделия низкой ценовой категории).
Бренды активно дифференцируются по цене, что отражает разнообразие потребительских сегментов.
Наиболее сильные позиции занимают премиальные и молочные бренды, тогда как кондитерские и сахарные — в более низком ценовом коридоре.
</t>
      </text>
    </comment>
    <comment authorId="2" xr:uid="{437dde8a-c800-410c-a69d-6606a41ee755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Топ-5 по суммарным продажам:
1. Макароны 66 945р - 11.1%
2. Конфеты 48 797р - 8.1%
3. Мясо 47 223р - 7.8%
4. Сок 45 862р - 7.6%
5. Соль 44 468р - 7.4%
Топ-5 в сумме: 253 305 руб. — 42% от общего объема.
Топ-3: 162 965 руб. — 27%. 
Вывод: Небольшое число категорий формирует большую часть дохода. 
Колбаса — самая слабая категория по выручке.
Крупа, Рис, Овощи, Фрукты — также находятся ниже среднего.
Макароны являются ключевым драйвером продаж, формируя более 11% от общего объема.
Конфеты, мясо и сок — также важные категории.
Колбаса — аутсайдер, что требует внимания.
Покупатели чаще всего тратят деньги на базовые продукты (макароны, мясо, молоко, сахар, соль), а также на сладости и напитки.
</t>
      </text>
    </comment>
    <comment authorId="3" xr:uid="{6ca7d285-cee0-442f-b30c-a5a662d45699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Клиенты наиболее активны и лояльны в период с 35-й по 40-ю неделю — это критический период для привлечения и поддержания интереса.
Пик на 35-й неделе может свидетельствовать о том, что именно в этот момент клиенты достигают максимальной вовлечённости (например, после завершения ключевого этапа использования продукта/услуги).
После 40-й недели наблюдается тенденция к снижению, что говорит о возможной высокой текучести или завершении жизненного цикла для части клиентов.
Наблюдаются колебания, особенно на 42–44-й неделях, что может указывать на нестабильность поведения или наличие групп клиентов с разными моделями использования.
</t>
      </text>
    </comment>
    <comment authorId="4" xr:uid="{70d31570-9808-4c82-ac08-146c29a5b8a6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графике представлено распределение клиентов по странам (в количественном выражении).
Общее количество клиентов:
146 + 85 + 78 + 74 + 51 = 434 клиента
География клиентов сосредоточена преимущественно в странах бывшего СССР, с явным лидерством России (33.6%).
Узбекистан (19,6%) и Украина (18%) занимают второе и третье места, что указывает на высокий потенциал в Центральной Азии и на Украине, несмотря на сложности.
Ключевая тенденция:
Рынки СНГ остаются важными для бизнеса, особенно благодаря миграционным потокам, цифровой коммерции и интеграции экономик.
</t>
      </text>
    </comment>
    <comment authorId="5" xr:uid="{76d10544-00b0-4749-941e-14ce252130a2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2023 году все магазины демонстрировали выраженную сезонность с пиками в зимний и летний периоды. В 2024 году наблюдается разнонаправленная динамика: некоторые сети («Магнит», «Ашан») показывают восстановление и рост, в то время как другие («Лента», «Перекрёсток», «Бристоль») испытывают снижение продаж, особенно в весенние месяцы. Общая картина указывает на необходимость повышения стабильности продаж, управления сезонными колебаниями и активного использования аналитики для прогнозирования и принятия решений. Успешные примеры (например, «Ашан» и «Магнит») могут служить образцом для других сетей.
</t>
      </text>
    </comment>
    <comment authorId="6" xr:uid="{7bbd230d-fd6d-48ab-92a7-eccb5723a032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Россия является ключевым рынком с точки зрения платёжеспособности клиентов, 251 330 р, что почти в 2,5 раза выше, чем в Беларуси. Компаниям следует уделять особое внимание этому региону при разработке маркетинговых стратегий и продуктов.
Узбекистан и Украина представляют собой стабильные и перспективные рынки с высоким уровнем платежеспособности. Разница между ними составляет около 15 751, что указывает на относительно близкий уровень платёжеспособности. Рекомендуется инвестировать в развитие сервисов для этих стран.
Беларусь требует дополнительного анализа: возможно, необходимо оптимизировать продукты или внедрить программы повышения лояльности и доверия клиентов. В Беларуси самый низкий показатель — 98 793, что на 53% ниже, чем в Украине
Таджикистан демонстрирует потенциал роста, но требует внимания к особенностям местного рынка (например, миграционным потокам, отправке денежных переводов).
</t>
      </text>
    </comment>
    <comment authorId="7" xr:uid="{8a80540c-5d94-46a5-b6bd-0473237d2526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Программа лояльности активно используется в большинстве стран.
Почти половина всех клиентов (213 из 434) участвует в программе — это хороший результат.
A: Украина (51.3%), Беларусь (50,9%)— высокая вовлеченность.
B: Россия (50%) — средняя.
C: Узбекистан (48,6%), Таджикистан (47,1%) — низкая.
Европейские страны имеют высокий уровень вовлеченности.
В Узбекистане и Таджикистане наблюдается низкий уровень вовлеченности, что требует специальных мер.
Россия — хотя и имеет 50% участников, есть потенциал роста.
</t>
      </text>
    </comment>
    <comment authorId="8" xr:uid="{b1f0dd5d-aa50-45bb-acf3-e79158fd5b4c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График имеет двухпиковую форму (бимодальный), но основной пик — в районе 470 дней.
Это означает, что многие клиенты регистрируются, но не покупают сразу, а ожидают несколько месяцев.
Форма графика: "горка" с длинным хвостом
Низкий левый край — очень мало клиентов делают покупку в первый месяц.
Постепенный рост — с увеличением времени растёт число людей, которые наконец совершают покупку.
Пик в 470 дней (~1,5 года) — это основная группа клиентов, которые запускаются в процессе принятия решения.
Длинный правый хвост — есть клиенты, которые ждут более 700–800 дней. 
График показывает, что большинство клиентов не совершают первую покупку сразу после регистрации, а ждут от 10 до 18 месяцев.
Это указывает на низкую конверсию и слабую мотивацию к покупке.
Ключевой вывод:
Регистрация ≠ продажа.
Необходимо активно вовлекать клиентов в течение первых месяцев, чтобы ускорить переход от регистрации к покупке.
</t>
      </text>
    </comment>
    <comment authorId="9" xr:uid="{b8d73ef4-a7b3-49ed-b985-e0051c9f58ae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Лучшие магазины для экономии:
Пятерочка — -10% → клиент платит на 10% дешевле среднего
Спар — -6%
Верный — -5%
О'кей — -4%
Гиперглобус — -3%
Пятерочка — лидер по выгоде! 
Худшие магазины (дорогие):
Лента — +10% → клиент платит на 10% дороже среднего
Седьмой Континент — +8%
Городской Супермаркет — +6%
Билла — +6%
Метро — +5%
Лента — самый дорогой магазин
Пятерочка — один из самых выгодных магазинов.
Рекомендация
Клиентам:
Выбирать Пятерочку для покупки макарон, сахара, молока — там низкие цены.
Избегать Ленты, Седьмого Континента, Городского Супермаркета — там высокие цены.
Ритейлерам:
Пятерочка — используйте преимущество: «Цены ниже среднего!»
Лента — пересмотрите ценовую политику.
</t>
      </text>
    </comment>
    <comment authorId="10" xr:uid="{b9c831e0-b6b2-4961-87a3-82ab8afd2557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О'кей и Гиперглобус доминируют, высокая конкуренция — разница между лидерами минимальна, всего ~5 275 ₽, но они оба значительно опережают остальных. 
Мосмарт, Спар, Верный формируют вторую группу лидеров.
Топ-20% (4 сети): O'кей, Гиперглобус, Мосмарт, Спар → ~80% от максимального GMV.
Перекресток, Лента, Магнит — третья группа, с GMV около 180–190 тыс. ₽.
Ашан, Пятерочка, Билла — четвёртая группа, с GMV ниже 160 тыс. ₽.
</t>
      </text>
    </comment>
    <comment authorId="11" xr:uid="{cbef64c3-3a7d-42e0-8b9e-b2b8c89d78d8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Топ-10 поставщиков по суммарным продажам:
1. Паста Зара 147 150р 6,55%
2. Фруктовый сад 124 360 5,54%
3. Сырная долина 121 000
5,39%
4. Greenfieldт 105 955 4,72%
5. Бабаевский 102 310 4,56%
6. Борилла 101 725 4,53%
7. Домик в деревне 93 695
4,17%
8. Pringles 91 840 4,09%
9. Белый Злат 87 355 3,89%
10. Рот Фронт 84 370 3,76%
Топ-10 в сумме: 1 031 560 руб. — 45,96% от общего объема.
Топ-5: 591 500 руб. — 26,35%. 
Вывод: Высокая концентрация продаж в руках немногих лидеров. Первые 10 брендов обеспечивают почти половину всех продаж. 
Аутсайдеры:
Микоян (410 руб.) — критически низкий объем продаж по сравнению с другими. Возможно, ошибка в данных, временная приостановка поставок или исключение из ассортимента.
Tchibo (6 005) и Вимм-Билль-Данн (5 410) — бренды с известностью, но крайне низкими продажами. Требует анализа причин.
Рынок характеризуется сильной поляризацией:
Небольшая группа брендов (10–15) обеспечивает большую часть продаж.
Более 20 брендов имеют низкие или крайне низкие показатели, что указывает на неэффективное использование полки или слабый спрос.
Паста Зара — ключевой драйвер продаж, тогда как такие известные бренды, как Tchibo, Hochland, Микоян, практически не вносят вклада.
</t>
      </text>
    </comment>
    <comment authorId="12" xr:uid="{cca002ea-fdc0-44c0-b408-3e6922617c69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Наиболее популярные имена в этом наборе:
Алевтина, Феврония, Василиса — по 6 упоминаний.
40 имён встречаются по 3 раза — это уже значительная группа, но с более равномерным распределением. Включает как классические (Екатерина, Марина, Николай), так и менее распространённые (Сократ, Харлампий, Гостомысл) имена.
60 имён встречаются с частотой 2 — это самая многочисленная группа, но с минимальной частотой. Включает:
Елена, Ольга, Павел, Антонина, Фёкла, Дарья, Радислав, Ярослав и др.
46 имён встречаются один раз — это редкие или уникальные имена, возможно, исторические, религиозные. Среди них:
Прокл, Лавр, Герман, Синклитикия, Бажен, Савватий, Модест, Серафим, Копылова, Фаина, Октябрина, Эрнест, Кузьма и др.
</t>
      </text>
    </comment>
  </commentList>
</comments>
</file>

<file path=xl/sharedStrings.xml><?xml version="1.0" encoding="utf-8"?>
<sst xmlns="http://schemas.openxmlformats.org/spreadsheetml/2006/main" count="5097" uniqueCount="1790">
  <si>
    <t>Исследование выполнила: Алексеева Анастасия</t>
  </si>
  <si>
    <t>Данные сгенерированы ChatGPT и не являются NDA</t>
  </si>
  <si>
    <t>Задачи исследования</t>
  </si>
  <si>
    <t>№</t>
  </si>
  <si>
    <t>Декомпозиция</t>
  </si>
  <si>
    <t>Выводы исследования</t>
  </si>
  <si>
    <t>Анализ продаж продуктовых сетей</t>
  </si>
  <si>
    <t>Динамика продаж по магазинам</t>
  </si>
  <si>
    <t>Вывод описан в примечании</t>
  </si>
  <si>
    <t>Анализ цен внутри товарной категории по магазинам</t>
  </si>
  <si>
    <t>Суммарные продажи по магазинам</t>
  </si>
  <si>
    <t>Сравнение поставщиков по объемам закупок</t>
  </si>
  <si>
    <t>Анализ цен внутри категории по поставщикам</t>
  </si>
  <si>
    <t>Суммарные продажи по поставщикам</t>
  </si>
  <si>
    <t>Изучение продаж по категориям товаров</t>
  </si>
  <si>
    <t>Суммарные продажи по категориям</t>
  </si>
  <si>
    <t>Среднее кол-во по категориям (что покупают чаще)</t>
  </si>
  <si>
    <t>Изучение клиентов по географии и лайфтайму</t>
  </si>
  <si>
    <t>Аналитика географии клиентов</t>
  </si>
  <si>
    <t>Кол-во клиентов в программе лояльности</t>
  </si>
  <si>
    <t>Кол-во дней с момента регистрации до покупки</t>
  </si>
  <si>
    <t xml:space="preserve">Лайфтайм клиента </t>
  </si>
  <si>
    <t>Частотность имен для рекламной компании</t>
  </si>
  <si>
    <t>Платежеспособность по странам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</si>
  <si>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</si>
  <si>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</si>
  <si>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</si>
  <si>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Умные таблицы и работа с абсолютными и относительными ссылками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</si>
  <si>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</si>
  <si>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</si>
  <si>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</si>
  <si>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</si>
  <si>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</si>
  <si>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Названия строк</t>
  </si>
  <si>
    <t>Среднее по полю Выгода для клиента</t>
  </si>
  <si>
    <t>Лента</t>
  </si>
  <si>
    <t>Седьмой Континент</t>
  </si>
  <si>
    <t>Городской Супермаркет</t>
  </si>
  <si>
    <t>Билла</t>
  </si>
  <si>
    <t>Метро</t>
  </si>
  <si>
    <t>Азбука Вкуса</t>
  </si>
  <si>
    <t>Мосмарт</t>
  </si>
  <si>
    <t>Мираторг</t>
  </si>
  <si>
    <t>Карусель</t>
  </si>
  <si>
    <t>Ароматный Мир</t>
  </si>
  <si>
    <t>Бристоль</t>
  </si>
  <si>
    <t>Дикси</t>
  </si>
  <si>
    <t>Ашан</t>
  </si>
  <si>
    <t>Гиперглобус</t>
  </si>
  <si>
    <t>Магнит</t>
  </si>
  <si>
    <t>О'кей</t>
  </si>
  <si>
    <t>Перекресток</t>
  </si>
  <si>
    <t>Верный</t>
  </si>
  <si>
    <t>Спар</t>
  </si>
  <si>
    <t>Пятерочка</t>
  </si>
  <si>
    <t>SUM из Сумма чека</t>
  </si>
  <si>
    <t>магазин покупки</t>
  </si>
  <si>
    <t>дата создания чека - Год и месяц</t>
  </si>
  <si>
    <t>Итого</t>
  </si>
  <si>
    <t>2023-янв.</t>
  </si>
  <si>
    <t>2023-февр.</t>
  </si>
  <si>
    <t>2023-мар.</t>
  </si>
  <si>
    <t>2023-апр.</t>
  </si>
  <si>
    <t>2023-мая</t>
  </si>
  <si>
    <t>2023-июн.</t>
  </si>
  <si>
    <t>2023-июл.</t>
  </si>
  <si>
    <t>2023-авг.</t>
  </si>
  <si>
    <t>2023-сент.</t>
  </si>
  <si>
    <t>2023-окт.</t>
  </si>
  <si>
    <t>2023-нояб.</t>
  </si>
  <si>
    <t>2023-дек.</t>
  </si>
  <si>
    <t>2024-февр.</t>
  </si>
  <si>
    <t>2024-апр.</t>
  </si>
  <si>
    <t>2024-мая</t>
  </si>
  <si>
    <t>Продуктовая сеть</t>
  </si>
  <si>
    <t>GMV</t>
  </si>
  <si>
    <t>Среднее по полю Средняя стоимость в категории по поставщику</t>
  </si>
  <si>
    <t>Green Garden</t>
  </si>
  <si>
    <t>Каравай</t>
  </si>
  <si>
    <t>Макфа</t>
  </si>
  <si>
    <t>КДВ</t>
  </si>
  <si>
    <t>Беллакт</t>
  </si>
  <si>
    <t>Посиделкино</t>
  </si>
  <si>
    <t>Экстра</t>
  </si>
  <si>
    <t>Lay's</t>
  </si>
  <si>
    <t>Черкизово</t>
  </si>
  <si>
    <t>Простоквашино</t>
  </si>
  <si>
    <t>Агро-Альянс</t>
  </si>
  <si>
    <t>Русский Хлеб</t>
  </si>
  <si>
    <t>Дымов</t>
  </si>
  <si>
    <t>Карат</t>
  </si>
  <si>
    <t>Агрокомплекс</t>
  </si>
  <si>
    <t>Овощной ряд</t>
  </si>
  <si>
    <t>Активиа</t>
  </si>
  <si>
    <t>Русский сахар</t>
  </si>
  <si>
    <t>Русское море</t>
  </si>
  <si>
    <t>Greenfield</t>
  </si>
  <si>
    <t>Балтийский берег</t>
  </si>
  <si>
    <t>Рот Фронт</t>
  </si>
  <si>
    <t>Чудо</t>
  </si>
  <si>
    <t>Фруктовый сад</t>
  </si>
  <si>
    <t>Тесс</t>
  </si>
  <si>
    <t>Хлебный Дом</t>
  </si>
  <si>
    <t>Фрукты-Ягоды</t>
  </si>
  <si>
    <t>Pringles</t>
  </si>
  <si>
    <t>Паста Зара</t>
  </si>
  <si>
    <t>Jacobs</t>
  </si>
  <si>
    <t>Домик в деревне</t>
  </si>
  <si>
    <t>Салта</t>
  </si>
  <si>
    <t>Красный Октябрь</t>
  </si>
  <si>
    <t>Окраина</t>
  </si>
  <si>
    <t>Снежана</t>
  </si>
  <si>
    <t>Rich</t>
  </si>
  <si>
    <t>Сырная долина</t>
  </si>
  <si>
    <t>Белый Злат</t>
  </si>
  <si>
    <t>Славянка</t>
  </si>
  <si>
    <t>Estrella</t>
  </si>
  <si>
    <t>Дарница</t>
  </si>
  <si>
    <t>Националь</t>
  </si>
  <si>
    <t>Меридиан</t>
  </si>
  <si>
    <t>Lipton</t>
  </si>
  <si>
    <t>Фруктовый Рай</t>
  </si>
  <si>
    <t>Ростагроэкспорт</t>
  </si>
  <si>
    <t>Nescafe</t>
  </si>
  <si>
    <t>Сады Придонья</t>
  </si>
  <si>
    <t>Экзотик</t>
  </si>
  <si>
    <t>Ярмарка</t>
  </si>
  <si>
    <t>Увелка</t>
  </si>
  <si>
    <t>Бабаевский</t>
  </si>
  <si>
    <t>Белогорье</t>
  </si>
  <si>
    <t>Эрманн</t>
  </si>
  <si>
    <t>Гавриш</t>
  </si>
  <si>
    <t>Ахмад</t>
  </si>
  <si>
    <t>Добрый</t>
  </si>
  <si>
    <t>Русская картошка</t>
  </si>
  <si>
    <t>Продимекс</t>
  </si>
  <si>
    <t>Сладов</t>
  </si>
  <si>
    <t>President</t>
  </si>
  <si>
    <t>Илецкая</t>
  </si>
  <si>
    <t>Славянская</t>
  </si>
  <si>
    <t>Борилла</t>
  </si>
  <si>
    <t>Роллтон</t>
  </si>
  <si>
    <t>Юбилейное</t>
  </si>
  <si>
    <t>Мистраль</t>
  </si>
  <si>
    <t>Черная Карта</t>
  </si>
  <si>
    <t>Санта Бремор</t>
  </si>
  <si>
    <t>Агросахар</t>
  </si>
  <si>
    <t>Сава</t>
  </si>
  <si>
    <t>Семко</t>
  </si>
  <si>
    <t>Вимм-Билль-Данн</t>
  </si>
  <si>
    <t>Hochland</t>
  </si>
  <si>
    <t>Зеленая грядка</t>
  </si>
  <si>
    <t>Tchibo</t>
  </si>
  <si>
    <t>Микоян</t>
  </si>
  <si>
    <t>Поставщик</t>
  </si>
  <si>
    <t>Суммарные продажи</t>
  </si>
  <si>
    <t>Среднее по полю кол-во штук в чеке</t>
  </si>
  <si>
    <t>Йогурт</t>
  </si>
  <si>
    <t>Колбаса</t>
  </si>
  <si>
    <t>Конфеты</t>
  </si>
  <si>
    <t>Кофе</t>
  </si>
  <si>
    <t>Крупа</t>
  </si>
  <si>
    <t>Макароны</t>
  </si>
  <si>
    <t>Молоко</t>
  </si>
  <si>
    <t>Мясо</t>
  </si>
  <si>
    <t>Овощи</t>
  </si>
  <si>
    <t>Печенье</t>
  </si>
  <si>
    <t>Рис</t>
  </si>
  <si>
    <t>Рыба</t>
  </si>
  <si>
    <t>Сахар</t>
  </si>
  <si>
    <t>Сок</t>
  </si>
  <si>
    <t>Соль</t>
  </si>
  <si>
    <t>Сыр</t>
  </si>
  <si>
    <t>Фрукты</t>
  </si>
  <si>
    <t>Хлеб</t>
  </si>
  <si>
    <t>Чай</t>
  </si>
  <si>
    <t>Чипсы</t>
  </si>
  <si>
    <t>Лайфтайм клиента</t>
  </si>
  <si>
    <t>COUNT из id клиента</t>
  </si>
  <si>
    <t>Категория товара</t>
  </si>
  <si>
    <t>Страна клиента</t>
  </si>
  <si>
    <t>Беларусь</t>
  </si>
  <si>
    <t>Россия</t>
  </si>
  <si>
    <t>Таджикистан</t>
  </si>
  <si>
    <t>Узбекистан</t>
  </si>
  <si>
    <t>Украина</t>
  </si>
  <si>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</si>
  <si>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</si>
  <si>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</si>
  <si>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</si>
  <si>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</si>
  <si>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</si>
  <si>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id клиента</t>
  </si>
  <si>
    <t>Средняя цена в категории за шт</t>
  </si>
  <si>
    <t>Выгода для клиента</t>
  </si>
  <si>
    <t>Поставщик товара</t>
  </si>
  <si>
    <t>Средняя стоимость в категории по поставщику</t>
  </si>
  <si>
    <t>Дата регистрации клиента</t>
  </si>
  <si>
    <t>Кол-во дней с момента регистрации</t>
  </si>
  <si>
    <t>Текущая дата</t>
  </si>
  <si>
    <t xml:space="preserve"> </t>
  </si>
  <si>
    <t>категория товара</t>
  </si>
  <si>
    <t>поставщик</t>
  </si>
  <si>
    <t>Количество по полю ФИО</t>
  </si>
  <si>
    <t>Названия столбцов</t>
  </si>
  <si>
    <t>да</t>
  </si>
  <si>
    <t>нет</t>
  </si>
  <si>
    <t>Количество по полю id клиента</t>
  </si>
  <si>
    <t>номер телефона клиента</t>
  </si>
  <si>
    <t>ФИО</t>
  </si>
  <si>
    <t>Программа лояльности клиента</t>
  </si>
  <si>
    <t>Коды телефона</t>
  </si>
  <si>
    <t>Имя</t>
  </si>
  <si>
    <t>Фамилия</t>
  </si>
  <si>
    <t>Отчество</t>
  </si>
  <si>
    <t>Страна</t>
  </si>
  <si>
    <t>+998 469-847-6587</t>
  </si>
  <si>
    <t>Фадей Ефимович Калинин</t>
  </si>
  <si>
    <t>Фадей</t>
  </si>
  <si>
    <t>Ефимович</t>
  </si>
  <si>
    <t>Калинин</t>
  </si>
  <si>
    <t>+375 796-304-7865</t>
  </si>
  <si>
    <t>Вера Георгиевна Некрасова</t>
  </si>
  <si>
    <t>Вера</t>
  </si>
  <si>
    <t>Георгиевна</t>
  </si>
  <si>
    <t>Некрасова</t>
  </si>
  <si>
    <t>+375 682-373-1802</t>
  </si>
  <si>
    <t>Никодим Игоревич Бобров</t>
  </si>
  <si>
    <t>Никодим</t>
  </si>
  <si>
    <t>Игоревич</t>
  </si>
  <si>
    <t>Бобров</t>
  </si>
  <si>
    <t>+7 753-596-5037</t>
  </si>
  <si>
    <t>Носкова Вера Федоровна</t>
  </si>
  <si>
    <t>Федоровна</t>
  </si>
  <si>
    <t>Носкова</t>
  </si>
  <si>
    <t>+380 669-437-2066</t>
  </si>
  <si>
    <t>Александра Матвеевна Артемьева</t>
  </si>
  <si>
    <t>Александра</t>
  </si>
  <si>
    <t>Матвеевна</t>
  </si>
  <si>
    <t>Артемьева</t>
  </si>
  <si>
    <t>+380 622-144-1703</t>
  </si>
  <si>
    <t>Калинина Ирина Филипповна</t>
  </si>
  <si>
    <t>Ирина</t>
  </si>
  <si>
    <t>Филипповна</t>
  </si>
  <si>
    <t>Калинина</t>
  </si>
  <si>
    <t>+998 591-865-8342</t>
  </si>
  <si>
    <t>Зоя Кирилловна Брагина</t>
  </si>
  <si>
    <t>Зоя</t>
  </si>
  <si>
    <t>Кирилловна</t>
  </si>
  <si>
    <t>Брагина</t>
  </si>
  <si>
    <t>+998 353-736-8172</t>
  </si>
  <si>
    <t>Осипов Светозар Ефремович</t>
  </si>
  <si>
    <t>Осипов</t>
  </si>
  <si>
    <t>Светозар</t>
  </si>
  <si>
    <t>Ефремович</t>
  </si>
  <si>
    <t>+380 545-746-8707</t>
  </si>
  <si>
    <t>Любовь Георгиевна Мамонтова</t>
  </si>
  <si>
    <t>Любовь</t>
  </si>
  <si>
    <t>Мамонтова</t>
  </si>
  <si>
    <t>+7 063-931-5918</t>
  </si>
  <si>
    <t>Август Вячеславович Брагин</t>
  </si>
  <si>
    <t>Август</t>
  </si>
  <si>
    <t>Вячеславович</t>
  </si>
  <si>
    <t>Брагин</t>
  </si>
  <si>
    <t>+998 006-788-9211</t>
  </si>
  <si>
    <t>Мефодий Филиппович Воробьев</t>
  </si>
  <si>
    <t>Мефодий</t>
  </si>
  <si>
    <t>Филиппович</t>
  </si>
  <si>
    <t>Воробьев</t>
  </si>
  <si>
    <t>+992 863-895-4307</t>
  </si>
  <si>
    <t>Гурьев Влас Юлианович</t>
  </si>
  <si>
    <t>Влас</t>
  </si>
  <si>
    <t>Юлианович</t>
  </si>
  <si>
    <t>Гурьев</t>
  </si>
  <si>
    <t>+998 350-816-0031</t>
  </si>
  <si>
    <t>Агата Юрьевна Галкина</t>
  </si>
  <si>
    <t>Агата</t>
  </si>
  <si>
    <t>Юрьевна</t>
  </si>
  <si>
    <t>Галкина</t>
  </si>
  <si>
    <t>+375 435-951-1995</t>
  </si>
  <si>
    <t>Юлия Леоновна Наумова</t>
  </si>
  <si>
    <t>Юлия</t>
  </si>
  <si>
    <t>Леоновна</t>
  </si>
  <si>
    <t>Наумова</t>
  </si>
  <si>
    <t>+998 498-706-1394</t>
  </si>
  <si>
    <t>Лонгин Арсенович Никонов</t>
  </si>
  <si>
    <t>Лонгин</t>
  </si>
  <si>
    <t>Арсенович</t>
  </si>
  <si>
    <t>Никонов</t>
  </si>
  <si>
    <t>+7 297-169-3756</t>
  </si>
  <si>
    <t>Филимон Федотович Иванов</t>
  </si>
  <si>
    <t>Филимон</t>
  </si>
  <si>
    <t>Федотович</t>
  </si>
  <si>
    <t>Иванов</t>
  </si>
  <si>
    <t>+7 454-941-1729</t>
  </si>
  <si>
    <t>Кудрявцев Демид Ерофеевич</t>
  </si>
  <si>
    <t>Кудрявцев</t>
  </si>
  <si>
    <t>Демид</t>
  </si>
  <si>
    <t>Ерофеевич</t>
  </si>
  <si>
    <t>+380 835-708-4433</t>
  </si>
  <si>
    <t>Вероника Евгеньевна Федосеева</t>
  </si>
  <si>
    <t>Вероника</t>
  </si>
  <si>
    <t>Евгеньевна</t>
  </si>
  <si>
    <t>Федосеева</t>
  </si>
  <si>
    <t>+7 181-799-6850</t>
  </si>
  <si>
    <t>Герасимов Еремей Демидович</t>
  </si>
  <si>
    <t>Герасимов</t>
  </si>
  <si>
    <t>Еремей</t>
  </si>
  <si>
    <t>Демидович</t>
  </si>
  <si>
    <t>+375 743-922-4671</t>
  </si>
  <si>
    <t>Новикова Лидия Павловна</t>
  </si>
  <si>
    <t>Новикова</t>
  </si>
  <si>
    <t>Лидия</t>
  </si>
  <si>
    <t>Павловна</t>
  </si>
  <si>
    <t>+998 607-517-9439</t>
  </si>
  <si>
    <t>Сорокина Феврония Натановна</t>
  </si>
  <si>
    <t>Сорокина</t>
  </si>
  <si>
    <t>Феврония</t>
  </si>
  <si>
    <t>Натановна</t>
  </si>
  <si>
    <t>+375 372-396-9651</t>
  </si>
  <si>
    <t>Нинель Натановна Лазарева</t>
  </si>
  <si>
    <t>Нинель</t>
  </si>
  <si>
    <t>Лазарева</t>
  </si>
  <si>
    <t>+7 109-995-2846</t>
  </si>
  <si>
    <t>Рыбаков Автоном Антонович</t>
  </si>
  <si>
    <t>Рыбаков</t>
  </si>
  <si>
    <t>Автоном</t>
  </si>
  <si>
    <t>Антонович</t>
  </si>
  <si>
    <t>+375 226-887-4565</t>
  </si>
  <si>
    <t>Бирюков Олимпий Иосифович</t>
  </si>
  <si>
    <t>Бирюков</t>
  </si>
  <si>
    <t>Олимпий</t>
  </si>
  <si>
    <t>Иосифович</t>
  </si>
  <si>
    <t>+998 222-956-9780</t>
  </si>
  <si>
    <t>Чеслав Виленович Шестаков</t>
  </si>
  <si>
    <t>Чеслав</t>
  </si>
  <si>
    <t>Виленович</t>
  </si>
  <si>
    <t>Шестаков</t>
  </si>
  <si>
    <t>+380 633-205-1404</t>
  </si>
  <si>
    <t>Виноградов Карл Алексеевич</t>
  </si>
  <si>
    <t>Виноградов</t>
  </si>
  <si>
    <t>Карл</t>
  </si>
  <si>
    <t>Алексеевич</t>
  </si>
  <si>
    <t>+998 525-413-6836</t>
  </si>
  <si>
    <t>Кудрявцева Ульяна Филипповна</t>
  </si>
  <si>
    <t>Кудрявцева</t>
  </si>
  <si>
    <t>Ульяна</t>
  </si>
  <si>
    <t>+7 592-570-4871</t>
  </si>
  <si>
    <t>Майя Вадимовна Рябова</t>
  </si>
  <si>
    <t>Майя</t>
  </si>
  <si>
    <t>Вадимовна</t>
  </si>
  <si>
    <t>Рябова</t>
  </si>
  <si>
    <t>+7 321-005-5110</t>
  </si>
  <si>
    <t>Лукия Ефимовна Тимофеева</t>
  </si>
  <si>
    <t>Лукия</t>
  </si>
  <si>
    <t>Ефимовна</t>
  </si>
  <si>
    <t>Тимофеева</t>
  </si>
  <si>
    <t>+7 899-265-0963</t>
  </si>
  <si>
    <t>Полина Николаевна Евдокимова</t>
  </si>
  <si>
    <t>Полина</t>
  </si>
  <si>
    <t>Николаевна</t>
  </si>
  <si>
    <t>Евдокимова</t>
  </si>
  <si>
    <t>+998 084-412-0746</t>
  </si>
  <si>
    <t>Элеонора Ивановна Королева</t>
  </si>
  <si>
    <t>Элеонора</t>
  </si>
  <si>
    <t>Ивановна</t>
  </si>
  <si>
    <t>Королева</t>
  </si>
  <si>
    <t>+7 630-977-5834</t>
  </si>
  <si>
    <t>Юлия Вячеславовна Журавлева</t>
  </si>
  <si>
    <t>Вячеславовна</t>
  </si>
  <si>
    <t>Журавлева</t>
  </si>
  <si>
    <t>+998 752-893-8536</t>
  </si>
  <si>
    <t>Алексеев Касьян Ефимович</t>
  </si>
  <si>
    <t>Алексеев</t>
  </si>
  <si>
    <t>Касьян</t>
  </si>
  <si>
    <t>+992 349-223-5769</t>
  </si>
  <si>
    <t>Феофан Гурьевич Дорофеев</t>
  </si>
  <si>
    <t>Феофан</t>
  </si>
  <si>
    <t>Гурьевич</t>
  </si>
  <si>
    <t>Дорофеев</t>
  </si>
  <si>
    <t>+7 747-678-7543</t>
  </si>
  <si>
    <t>Капустина Тамара Валериевна</t>
  </si>
  <si>
    <t>Капустина</t>
  </si>
  <si>
    <t>Тамара</t>
  </si>
  <si>
    <t>Валериевна</t>
  </si>
  <si>
    <t>+998 488-220-8790</t>
  </si>
  <si>
    <t>Ратибор Арсеньевич Петров</t>
  </si>
  <si>
    <t>Ратибор</t>
  </si>
  <si>
    <t>Арсеньевич</t>
  </si>
  <si>
    <t>Петров</t>
  </si>
  <si>
    <t>+998 826-456-9884</t>
  </si>
  <si>
    <t>Поляков Боян Андреевич</t>
  </si>
  <si>
    <t>Поляков</t>
  </si>
  <si>
    <t>Боян</t>
  </si>
  <si>
    <t>Андреевич</t>
  </si>
  <si>
    <t>+998 053-607-1948</t>
  </si>
  <si>
    <t>Иванов Христофор Ильясович</t>
  </si>
  <si>
    <t>Христофор</t>
  </si>
  <si>
    <t>Ильясович</t>
  </si>
  <si>
    <t>+7 273-904-5457</t>
  </si>
  <si>
    <t>Сила Денисович Гурьев</t>
  </si>
  <si>
    <t>Сила</t>
  </si>
  <si>
    <t>Денисович</t>
  </si>
  <si>
    <t>+7 632-222-4524</t>
  </si>
  <si>
    <t>Лора Болеславовна Потапова</t>
  </si>
  <si>
    <t>Лора</t>
  </si>
  <si>
    <t>Болеславовна</t>
  </si>
  <si>
    <t>Потапова</t>
  </si>
  <si>
    <t>+380 276-157-8458</t>
  </si>
  <si>
    <t>Федотов Радислав Антонович</t>
  </si>
  <si>
    <t>Федотов</t>
  </si>
  <si>
    <t>Радислав</t>
  </si>
  <si>
    <t>+375 077-514-8048</t>
  </si>
  <si>
    <t>Лукин Харлампий Игнатович</t>
  </si>
  <si>
    <t>Лукин</t>
  </si>
  <si>
    <t>Харлампий</t>
  </si>
  <si>
    <t>Игнатович</t>
  </si>
  <si>
    <t>+7 752-341-5050</t>
  </si>
  <si>
    <t>Полякова Анжела Аскольдовна</t>
  </si>
  <si>
    <t>Полякова</t>
  </si>
  <si>
    <t>Анжела</t>
  </si>
  <si>
    <t>Аскольдовна</t>
  </si>
  <si>
    <t>+380 088-024-3161</t>
  </si>
  <si>
    <t>Филиппова Юлия Леоновна</t>
  </si>
  <si>
    <t>Филиппова</t>
  </si>
  <si>
    <t>+992 110-427-6136</t>
  </si>
  <si>
    <t>Дементий Антипович Мухин</t>
  </si>
  <si>
    <t>Дементий</t>
  </si>
  <si>
    <t>Антипович</t>
  </si>
  <si>
    <t>Мухин</t>
  </si>
  <si>
    <t>+992 248-066-2060</t>
  </si>
  <si>
    <t>Ия Никифоровна Лапина</t>
  </si>
  <si>
    <t>Ия</t>
  </si>
  <si>
    <t>Никифоровна</t>
  </si>
  <si>
    <t>Лапина</t>
  </si>
  <si>
    <t>+998 824-309-1395</t>
  </si>
  <si>
    <t>Морозова Майя Борисовна</t>
  </si>
  <si>
    <t>Морозова</t>
  </si>
  <si>
    <t>Борисовна</t>
  </si>
  <si>
    <t>+375 079-578-9874</t>
  </si>
  <si>
    <t>Самойлова Татьяна Эльдаровна</t>
  </si>
  <si>
    <t>Самойлова</t>
  </si>
  <si>
    <t>Татьяна</t>
  </si>
  <si>
    <t>Эльдаровна</t>
  </si>
  <si>
    <t>+380 030-761-0677</t>
  </si>
  <si>
    <t>Стрелков Геннадий Бориславович</t>
  </si>
  <si>
    <t>Стрелков</t>
  </si>
  <si>
    <t>Геннадий</t>
  </si>
  <si>
    <t>Бориславович</t>
  </si>
  <si>
    <t>+375 205-037-7882</t>
  </si>
  <si>
    <t>Карп Афанасьевич Фомичев</t>
  </si>
  <si>
    <t>Карп</t>
  </si>
  <si>
    <t>Афанасьевич</t>
  </si>
  <si>
    <t>Фомичев</t>
  </si>
  <si>
    <t>+380 076-252-5210</t>
  </si>
  <si>
    <t>Кондратьева Валентина Львовна</t>
  </si>
  <si>
    <t>Валентина</t>
  </si>
  <si>
    <t>Львовна</t>
  </si>
  <si>
    <t>Кондратьева</t>
  </si>
  <si>
    <t>+992 266-481-3942</t>
  </si>
  <si>
    <t>Абрамова Евдокия Егоровна</t>
  </si>
  <si>
    <t>Абрамова</t>
  </si>
  <si>
    <t>Евдокия</t>
  </si>
  <si>
    <t>Егоровна</t>
  </si>
  <si>
    <t>+375 284-418-1233</t>
  </si>
  <si>
    <t>Валентина Захаровна Боброва</t>
  </si>
  <si>
    <t>Захаровна</t>
  </si>
  <si>
    <t>Боброва</t>
  </si>
  <si>
    <t>+7 963-508-8333</t>
  </si>
  <si>
    <t>Горшкова Василиса Святославовна</t>
  </si>
  <si>
    <t>Горшкова</t>
  </si>
  <si>
    <t>Василиса</t>
  </si>
  <si>
    <t>Святославовна</t>
  </si>
  <si>
    <t>+380 424-152-2316</t>
  </si>
  <si>
    <t>Эмилия Руслановна Шарапова</t>
  </si>
  <si>
    <t>Эмилия</t>
  </si>
  <si>
    <t>Руслановна</t>
  </si>
  <si>
    <t>Шарапова</t>
  </si>
  <si>
    <t>+375 960-328-1316</t>
  </si>
  <si>
    <t>Алина Михайловна Шестакова</t>
  </si>
  <si>
    <t>Алина</t>
  </si>
  <si>
    <t>Михайловна</t>
  </si>
  <si>
    <t>Шестакова</t>
  </si>
  <si>
    <t>+7 600-803-0627</t>
  </si>
  <si>
    <t>Агата Геннадьевна Колесникова</t>
  </si>
  <si>
    <t>Геннадьевна</t>
  </si>
  <si>
    <t>Колесникова</t>
  </si>
  <si>
    <t>+998 176-720-2162</t>
  </si>
  <si>
    <t>Панова Евгения Викторовна</t>
  </si>
  <si>
    <t>Панова</t>
  </si>
  <si>
    <t>Евгения</t>
  </si>
  <si>
    <t>Викторовна</t>
  </si>
  <si>
    <t>+992 129-804-1705</t>
  </si>
  <si>
    <t>Ипатий Устинович Зимин</t>
  </si>
  <si>
    <t>Ипатий</t>
  </si>
  <si>
    <t>Устинович</t>
  </si>
  <si>
    <t>Зимин</t>
  </si>
  <si>
    <t>+380 616-238-3294</t>
  </si>
  <si>
    <t>Регина Сергеевна Ефимова</t>
  </si>
  <si>
    <t>Регина</t>
  </si>
  <si>
    <t>Сергеевна</t>
  </si>
  <si>
    <t>Ефимова</t>
  </si>
  <si>
    <t>+7 425-907-2619</t>
  </si>
  <si>
    <t>Регина Сергеевна Чернова</t>
  </si>
  <si>
    <t>Чернова</t>
  </si>
  <si>
    <t>+7 638-478-8735</t>
  </si>
  <si>
    <t>Бажен Дмитриевич Исаков</t>
  </si>
  <si>
    <t>Бажен</t>
  </si>
  <si>
    <t>Дмитриевич</t>
  </si>
  <si>
    <t>Исаков</t>
  </si>
  <si>
    <t>+998 237-658-9236</t>
  </si>
  <si>
    <t>Иванна Наумовна Иванова</t>
  </si>
  <si>
    <t>Иванна</t>
  </si>
  <si>
    <t>Наумовна</t>
  </si>
  <si>
    <t>Иванова</t>
  </si>
  <si>
    <t>+7 710-415-0428</t>
  </si>
  <si>
    <t>Капитон Харитонович Родионов</t>
  </si>
  <si>
    <t>Капитон</t>
  </si>
  <si>
    <t>Харитонович</t>
  </si>
  <si>
    <t>Родионов</t>
  </si>
  <si>
    <t>+380 465-945-6481</t>
  </si>
  <si>
    <t>Капитон Феликсович Кабанов</t>
  </si>
  <si>
    <t>Феликсович</t>
  </si>
  <si>
    <t>Кабанов</t>
  </si>
  <si>
    <t>+375 523-528-4996</t>
  </si>
  <si>
    <t>Галина Кирилловна Прохорова</t>
  </si>
  <si>
    <t>Галина</t>
  </si>
  <si>
    <t>Прохорова</t>
  </si>
  <si>
    <t>+992 883-671-0611</t>
  </si>
  <si>
    <t>Панфил Федотович Шаров</t>
  </si>
  <si>
    <t>Панфил</t>
  </si>
  <si>
    <t>Шаров</t>
  </si>
  <si>
    <t>+7 322-351-7967</t>
  </si>
  <si>
    <t>Сократ Юльевич Афанасьев</t>
  </si>
  <si>
    <t>Сократ</t>
  </si>
  <si>
    <t>Юльевич</t>
  </si>
  <si>
    <t>Афанасьев</t>
  </si>
  <si>
    <t>+992 314-900-5858</t>
  </si>
  <si>
    <t>Пестов Измаил Глебович</t>
  </si>
  <si>
    <t>Пестов</t>
  </si>
  <si>
    <t>Измаил</t>
  </si>
  <si>
    <t>Глебович</t>
  </si>
  <si>
    <t>+7 640-461-4099</t>
  </si>
  <si>
    <t>Ильина Милица Захаровна</t>
  </si>
  <si>
    <t>Ильина</t>
  </si>
  <si>
    <t>Милица</t>
  </si>
  <si>
    <t>+992 253-231-6427</t>
  </si>
  <si>
    <t>Лыткина Вера Ждановна</t>
  </si>
  <si>
    <t>Лыткина</t>
  </si>
  <si>
    <t>Ждановна</t>
  </si>
  <si>
    <t>+992 508-269-1094</t>
  </si>
  <si>
    <t>Аггей Терентьевич Волков</t>
  </si>
  <si>
    <t>Аггей</t>
  </si>
  <si>
    <t>Терентьевич</t>
  </si>
  <si>
    <t>Волков</t>
  </si>
  <si>
    <t>+7 915-487-8205</t>
  </si>
  <si>
    <t>Владилен Иосифович Третьяков</t>
  </si>
  <si>
    <t>Владилен</t>
  </si>
  <si>
    <t>Третьяков</t>
  </si>
  <si>
    <t>+7 376-172-1887</t>
  </si>
  <si>
    <t>Ладимир Гурьевич Егоров</t>
  </si>
  <si>
    <t>Ладимир</t>
  </si>
  <si>
    <t>Егоров</t>
  </si>
  <si>
    <t>+7 894-900-2879</t>
  </si>
  <si>
    <t>Эммануил Ааронович Кошелев</t>
  </si>
  <si>
    <t>Эммануил</t>
  </si>
  <si>
    <t>Ааронович</t>
  </si>
  <si>
    <t>Кошелев</t>
  </si>
  <si>
    <t>+7 263-859-8875</t>
  </si>
  <si>
    <t>Сидор Вячеславович Зиновьев</t>
  </si>
  <si>
    <t>Сидор</t>
  </si>
  <si>
    <t>Зиновьев</t>
  </si>
  <si>
    <t>+7 288-468-9287</t>
  </si>
  <si>
    <t>Регина Кирилловна Нестерова</t>
  </si>
  <si>
    <t>Нестерова</t>
  </si>
  <si>
    <t>+992 372-939-7775</t>
  </si>
  <si>
    <t>Силин Антип Ильясович</t>
  </si>
  <si>
    <t>Силин</t>
  </si>
  <si>
    <t>Антип</t>
  </si>
  <si>
    <t>+7 089-779-0837</t>
  </si>
  <si>
    <t>Зоя Егоровна Третьякова</t>
  </si>
  <si>
    <t>Третьякова</t>
  </si>
  <si>
    <t>+992 326-136-2416</t>
  </si>
  <si>
    <t>Виктор Жанович Никифоров</t>
  </si>
  <si>
    <t>Виктор</t>
  </si>
  <si>
    <t>Жанович</t>
  </si>
  <si>
    <t>Никифоров</t>
  </si>
  <si>
    <t>+998 016-556-9015</t>
  </si>
  <si>
    <t>Ратибор Андреевич Маслов</t>
  </si>
  <si>
    <t>Маслов</t>
  </si>
  <si>
    <t>+998 388-311-1484</t>
  </si>
  <si>
    <t>Жуков Никифор Фомич</t>
  </si>
  <si>
    <t>Жуков</t>
  </si>
  <si>
    <t>Никифор</t>
  </si>
  <si>
    <t>Фомич</t>
  </si>
  <si>
    <t>+7 093-201-9949</t>
  </si>
  <si>
    <t>Татьяна Михайловна Новикова</t>
  </si>
  <si>
    <t>+375 074-074-0170</t>
  </si>
  <si>
    <t>Виктор Марсович Игнатов</t>
  </si>
  <si>
    <t>Марсович</t>
  </si>
  <si>
    <t>Игнатов</t>
  </si>
  <si>
    <t>+375 260-927-0999</t>
  </si>
  <si>
    <t>Абрамова Елизавета Эдуардовна</t>
  </si>
  <si>
    <t>Елизавета</t>
  </si>
  <si>
    <t>Эдуардовна</t>
  </si>
  <si>
    <t>+7 356-385-2881</t>
  </si>
  <si>
    <t>Чеслав Бориславович Мамонтов</t>
  </si>
  <si>
    <t>Мамонтов</t>
  </si>
  <si>
    <t>+7 833-884-1180</t>
  </si>
  <si>
    <t>Ефремов Епифан Ильич</t>
  </si>
  <si>
    <t>Ефремов</t>
  </si>
  <si>
    <t>Епифан</t>
  </si>
  <si>
    <t>Ильич</t>
  </si>
  <si>
    <t>+380 369-038-6358</t>
  </si>
  <si>
    <t>Леонид Арсенович Давыдов</t>
  </si>
  <si>
    <t>Леонид</t>
  </si>
  <si>
    <t>Давыдов</t>
  </si>
  <si>
    <t>+380 341-215-3278</t>
  </si>
  <si>
    <t>Медведева Алина Алексеевна</t>
  </si>
  <si>
    <t>Медведева</t>
  </si>
  <si>
    <t>Алексеевна</t>
  </si>
  <si>
    <t>+998 801-433-5842</t>
  </si>
  <si>
    <t>Федотова Ангелина Максимовна</t>
  </si>
  <si>
    <t>Федотова</t>
  </si>
  <si>
    <t>Ангелина</t>
  </si>
  <si>
    <t>Максимовна</t>
  </si>
  <si>
    <t>+7 727-444-8253</t>
  </si>
  <si>
    <t>Николаева Зинаида Ивановна</t>
  </si>
  <si>
    <t>Николаева</t>
  </si>
  <si>
    <t>Зинаида</t>
  </si>
  <si>
    <t>+7 219-942-5792</t>
  </si>
  <si>
    <t>Дорофеев Тимур Валерьянович</t>
  </si>
  <si>
    <t>Тимур</t>
  </si>
  <si>
    <t>Валерьянович</t>
  </si>
  <si>
    <t>+7 430-487-6579</t>
  </si>
  <si>
    <t>Александра Владиславовна Беляева</t>
  </si>
  <si>
    <t>Владиславовна</t>
  </si>
  <si>
    <t>Беляева</t>
  </si>
  <si>
    <t>+998 827-959-0308</t>
  </si>
  <si>
    <t>Эмилия Олеговна Калинина</t>
  </si>
  <si>
    <t>Олеговна</t>
  </si>
  <si>
    <t>+998 880-147-7505</t>
  </si>
  <si>
    <t>тов. Копылова Жанна Архиповна</t>
  </si>
  <si>
    <t>тов.</t>
  </si>
  <si>
    <t>Копылова</t>
  </si>
  <si>
    <t>Жанна</t>
  </si>
  <si>
    <t>+992 234-736-4616</t>
  </si>
  <si>
    <t>Князева Акулина Алексеевна</t>
  </si>
  <si>
    <t>Князева</t>
  </si>
  <si>
    <t>Акулина</t>
  </si>
  <si>
    <t>+998 581-380-6694</t>
  </si>
  <si>
    <t>Евдокимов Януарий Феликсович</t>
  </si>
  <si>
    <t>Евдокимов</t>
  </si>
  <si>
    <t>Януарий</t>
  </si>
  <si>
    <t>+992 086-931-5836</t>
  </si>
  <si>
    <t>Соловьев Родион Данилович</t>
  </si>
  <si>
    <t>Соловьев</t>
  </si>
  <si>
    <t>Родион</t>
  </si>
  <si>
    <t>Данилович</t>
  </si>
  <si>
    <t>+7 007-157-8873</t>
  </si>
  <si>
    <t>Назар Августович Назаров</t>
  </si>
  <si>
    <t>Назар</t>
  </si>
  <si>
    <t>Августович</t>
  </si>
  <si>
    <t>Назаров</t>
  </si>
  <si>
    <t>+380 947-602-2812</t>
  </si>
  <si>
    <t>Кудряшова Василиса Болеславовна</t>
  </si>
  <si>
    <t>Кудряшова</t>
  </si>
  <si>
    <t>+380 697-469-4252</t>
  </si>
  <si>
    <t>Лазарев Софон Якубович</t>
  </si>
  <si>
    <t>Лазарев</t>
  </si>
  <si>
    <t>Софон</t>
  </si>
  <si>
    <t>Якубович</t>
  </si>
  <si>
    <t>+7 962-495-5040</t>
  </si>
  <si>
    <t>Бобылев Никодим Виленович</t>
  </si>
  <si>
    <t>Бобылев</t>
  </si>
  <si>
    <t>+380 349-100-4938</t>
  </si>
  <si>
    <t>Трофимова Василиса Матвеевна</t>
  </si>
  <si>
    <t>Трофимова</t>
  </si>
  <si>
    <t>+998 876-305-1700</t>
  </si>
  <si>
    <t>Горбунова Наина Филипповна</t>
  </si>
  <si>
    <t>Горбунова</t>
  </si>
  <si>
    <t>Наина</t>
  </si>
  <si>
    <t>+992 861-842-9595</t>
  </si>
  <si>
    <t>Блинов Натан Всеволодович</t>
  </si>
  <si>
    <t>Блинов</t>
  </si>
  <si>
    <t>Натан</t>
  </si>
  <si>
    <t>Всеволодович</t>
  </si>
  <si>
    <t>+7 724-995-2653</t>
  </si>
  <si>
    <t>Никитин Светозар Харлампьевич</t>
  </si>
  <si>
    <t>Никитин</t>
  </si>
  <si>
    <t>Харлампьевич</t>
  </si>
  <si>
    <t>+380 435-435-7454</t>
  </si>
  <si>
    <t>Фрол Авдеевич Фадеев</t>
  </si>
  <si>
    <t>Фрол</t>
  </si>
  <si>
    <t>Авдеевич</t>
  </si>
  <si>
    <t>Фадеев</t>
  </si>
  <si>
    <t>+380 667-385-3298</t>
  </si>
  <si>
    <t>Ермаков Вадим Юлианович</t>
  </si>
  <si>
    <t>Ермаков</t>
  </si>
  <si>
    <t>Вадим</t>
  </si>
  <si>
    <t>+7 858-333-4042</t>
  </si>
  <si>
    <t>Анжела Филипповна Новикова</t>
  </si>
  <si>
    <t>+380 828-307-7136</t>
  </si>
  <si>
    <t>Белозеров Лука Харлампьевич</t>
  </si>
  <si>
    <t>Белозеров</t>
  </si>
  <si>
    <t>Лука</t>
  </si>
  <si>
    <t>+998 678-470-2329</t>
  </si>
  <si>
    <t>Гурьев Евсей Гертрудович</t>
  </si>
  <si>
    <t>Евсей</t>
  </si>
  <si>
    <t>Гертрудович</t>
  </si>
  <si>
    <t>+992 908-369-0617</t>
  </si>
  <si>
    <t>Королев Феофан Бориславович</t>
  </si>
  <si>
    <t>Королев</t>
  </si>
  <si>
    <t>+7 669-661-5797</t>
  </si>
  <si>
    <t>Бурова Марфа Игоревна</t>
  </si>
  <si>
    <t>Бурова</t>
  </si>
  <si>
    <t>Марфа</t>
  </si>
  <si>
    <t>Игоревна</t>
  </si>
  <si>
    <t>+7 393-681-6723</t>
  </si>
  <si>
    <t>Прокл Тимурович Александров</t>
  </si>
  <si>
    <t>Прокл</t>
  </si>
  <si>
    <t>Тимурович</t>
  </si>
  <si>
    <t>Александров</t>
  </si>
  <si>
    <t>+998 583-780-6740</t>
  </si>
  <si>
    <t>Раиса Станиславовна Чернова</t>
  </si>
  <si>
    <t>Раиса</t>
  </si>
  <si>
    <t>Станиславовна</t>
  </si>
  <si>
    <t>+992 928-516-3980</t>
  </si>
  <si>
    <t>Фёкла Феликсовна Харитонова</t>
  </si>
  <si>
    <t>Фёкла</t>
  </si>
  <si>
    <t>Феликсовна</t>
  </si>
  <si>
    <t>Харитонова</t>
  </si>
  <si>
    <t>+992 358-380-4702</t>
  </si>
  <si>
    <t>Лазарев Арефий Анатольевич</t>
  </si>
  <si>
    <t>Арефий</t>
  </si>
  <si>
    <t>Анатольевич</t>
  </si>
  <si>
    <t>+375 156-538-5529</t>
  </si>
  <si>
    <t>Брагин Любомир Гертрудович</t>
  </si>
  <si>
    <t>Любомир</t>
  </si>
  <si>
    <t>+998 241-358-6988</t>
  </si>
  <si>
    <t>Маргарита Ждановна Зуева</t>
  </si>
  <si>
    <t>Маргарита</t>
  </si>
  <si>
    <t>Зуева</t>
  </si>
  <si>
    <t>+7 739-924-9444</t>
  </si>
  <si>
    <t>Авдей Брониславович Владимиров</t>
  </si>
  <si>
    <t>Авдей</t>
  </si>
  <si>
    <t>Брониславович</t>
  </si>
  <si>
    <t>Владимиров</t>
  </si>
  <si>
    <t>+992 904-682-2250</t>
  </si>
  <si>
    <t>Кириллов Валерьян Иосипович</t>
  </si>
  <si>
    <t>Кириллов</t>
  </si>
  <si>
    <t>Валерьян</t>
  </si>
  <si>
    <t>Иосипович</t>
  </si>
  <si>
    <t>+7 892-625-6649</t>
  </si>
  <si>
    <t>Тимофеева Анастасия Натановна</t>
  </si>
  <si>
    <t>Анастасия</t>
  </si>
  <si>
    <t>+998 049-489-2171</t>
  </si>
  <si>
    <t>Мария Кузьминична Борисова</t>
  </si>
  <si>
    <t>Мария</t>
  </si>
  <si>
    <t>Кузьминична</t>
  </si>
  <si>
    <t>Борисова</t>
  </si>
  <si>
    <t>+7 038-725-7867</t>
  </si>
  <si>
    <t>Самуил Зиновьевич Фокин</t>
  </si>
  <si>
    <t>Самуил</t>
  </si>
  <si>
    <t>Зиновьевич</t>
  </si>
  <si>
    <t>Фокин</t>
  </si>
  <si>
    <t>+380 833-248-7380</t>
  </si>
  <si>
    <t>Зайцев Ефрем Даниилович</t>
  </si>
  <si>
    <t>Зайцев</t>
  </si>
  <si>
    <t>Ефрем</t>
  </si>
  <si>
    <t>Даниилович</t>
  </si>
  <si>
    <t>+992 862-124-2046</t>
  </si>
  <si>
    <t>Арсений Вилорович Лобанов</t>
  </si>
  <si>
    <t>Арсений</t>
  </si>
  <si>
    <t>Вилорович</t>
  </si>
  <si>
    <t>Лобанов</t>
  </si>
  <si>
    <t>+7 139-999-3338</t>
  </si>
  <si>
    <t>Родионова Евпраксия Олеговна</t>
  </si>
  <si>
    <t>Родионова</t>
  </si>
  <si>
    <t>Евпраксия</t>
  </si>
  <si>
    <t>+380 030-138-6532</t>
  </si>
  <si>
    <t>Вишняков Фома Викентьевич</t>
  </si>
  <si>
    <t>Вишняков</t>
  </si>
  <si>
    <t>Фома</t>
  </si>
  <si>
    <t>Викентьевич</t>
  </si>
  <si>
    <t>+7 260-379-8995</t>
  </si>
  <si>
    <t>Носкова Ольга Ждановна</t>
  </si>
  <si>
    <t>Ольга</t>
  </si>
  <si>
    <t>+992 908-969-9000</t>
  </si>
  <si>
    <t>Жданов Аверьян Валерьевич</t>
  </si>
  <si>
    <t>Жданов</t>
  </si>
  <si>
    <t>Аверьян</t>
  </si>
  <si>
    <t>Валерьевич</t>
  </si>
  <si>
    <t>+998 153-345-5047</t>
  </si>
  <si>
    <t>Филиппов Павел Игнатович</t>
  </si>
  <si>
    <t>Филиппов</t>
  </si>
  <si>
    <t>Павел</t>
  </si>
  <si>
    <t>+380 487-238-5930</t>
  </si>
  <si>
    <t>Лапин Эрнест Антипович</t>
  </si>
  <si>
    <t>Лапин</t>
  </si>
  <si>
    <t>Эрнест</t>
  </si>
  <si>
    <t>+375 187-052-9526</t>
  </si>
  <si>
    <t>Зыкова Таисия Леонидовна</t>
  </si>
  <si>
    <t>Зыкова</t>
  </si>
  <si>
    <t>Таисия</t>
  </si>
  <si>
    <t>Леонидовна</t>
  </si>
  <si>
    <t>+380 174-160-6456</t>
  </si>
  <si>
    <t>Василиса Леоновна Назарова</t>
  </si>
  <si>
    <t>Назарова</t>
  </si>
  <si>
    <t>+7 048-020-5515</t>
  </si>
  <si>
    <t>Авдеев Филипп Елисеевич</t>
  </si>
  <si>
    <t>Авдеев</t>
  </si>
  <si>
    <t>Филипп</t>
  </si>
  <si>
    <t>Елисеевич</t>
  </si>
  <si>
    <t>+992 979-262-5049</t>
  </si>
  <si>
    <t>Васильев Милован Георгиевич</t>
  </si>
  <si>
    <t>Васильев</t>
  </si>
  <si>
    <t>Милован</t>
  </si>
  <si>
    <t>Георгиевич</t>
  </si>
  <si>
    <t>+7 981-183-3972</t>
  </si>
  <si>
    <t>г-н Копылов Лаврентий Артемьевич</t>
  </si>
  <si>
    <t>г-н</t>
  </si>
  <si>
    <t>Копылов</t>
  </si>
  <si>
    <t>Лаврентий</t>
  </si>
  <si>
    <t>+7 709-119-0759</t>
  </si>
  <si>
    <t>Маслов Сократ Анатольевич</t>
  </si>
  <si>
    <t>+992 292-122-7648</t>
  </si>
  <si>
    <t>г-н Савельев Федосий Феоктистович</t>
  </si>
  <si>
    <t>Савельев</t>
  </si>
  <si>
    <t>Федосий</t>
  </si>
  <si>
    <t>+998 265-405-9627</t>
  </si>
  <si>
    <t>Гущин Ипполит Яковлевич</t>
  </si>
  <si>
    <t>Гущин</t>
  </si>
  <si>
    <t>Ипполит</t>
  </si>
  <si>
    <t>Яковлевич</t>
  </si>
  <si>
    <t>+992 750-248-5649</t>
  </si>
  <si>
    <t>Спиридон Чеславович Абрамов</t>
  </si>
  <si>
    <t>Спиридон</t>
  </si>
  <si>
    <t>Чеславович</t>
  </si>
  <si>
    <t>Абрамов</t>
  </si>
  <si>
    <t>+380 992-850-2292</t>
  </si>
  <si>
    <t>Тихонова Евфросиния Феликсовна</t>
  </si>
  <si>
    <t>Тихонова</t>
  </si>
  <si>
    <t>Евфросиния</t>
  </si>
  <si>
    <t>+375 840-221-8767</t>
  </si>
  <si>
    <t>Сазонова Оксана Александровна</t>
  </si>
  <si>
    <t>Сазонова</t>
  </si>
  <si>
    <t>Оксана</t>
  </si>
  <si>
    <t>Александровна</t>
  </si>
  <si>
    <t>+380 855-516-3611</t>
  </si>
  <si>
    <t>Кулакова Нина Семеновна</t>
  </si>
  <si>
    <t>Кулакова</t>
  </si>
  <si>
    <t>Нина</t>
  </si>
  <si>
    <t>Семеновна</t>
  </si>
  <si>
    <t>+998 381-147-6466</t>
  </si>
  <si>
    <t>Анна Альбертовна Никифорова</t>
  </si>
  <si>
    <t>Анна</t>
  </si>
  <si>
    <t>Альбертовна</t>
  </si>
  <si>
    <t>Никифорова</t>
  </si>
  <si>
    <t>+380 705-295-2201</t>
  </si>
  <si>
    <t>Христофор Авдеевич Щукин</t>
  </si>
  <si>
    <t>Щукин</t>
  </si>
  <si>
    <t>+7 326-132-7435</t>
  </si>
  <si>
    <t>Русаков Лев Тимурович</t>
  </si>
  <si>
    <t>Русаков</t>
  </si>
  <si>
    <t>Лев</t>
  </si>
  <si>
    <t>+7 340-358-5907</t>
  </si>
  <si>
    <t>Глафира Николаевна Мельникова</t>
  </si>
  <si>
    <t>Глафира</t>
  </si>
  <si>
    <t>Мельникова</t>
  </si>
  <si>
    <t>+998 914-522-1318</t>
  </si>
  <si>
    <t>Якушев Мина Гавриилович</t>
  </si>
  <si>
    <t>Якушев</t>
  </si>
  <si>
    <t>Мина</t>
  </si>
  <si>
    <t>Гавриилович</t>
  </si>
  <si>
    <t>+992 891-393-2973</t>
  </si>
  <si>
    <t>тов. Степанова Синклитикия Александровна</t>
  </si>
  <si>
    <t>Степанова</t>
  </si>
  <si>
    <t>Синклитикия</t>
  </si>
  <si>
    <t>+998 197-437-6957</t>
  </si>
  <si>
    <t>Федорова Жанна Вадимовна</t>
  </si>
  <si>
    <t>Федорова</t>
  </si>
  <si>
    <t>+380 383-190-2360</t>
  </si>
  <si>
    <t>Евфросиния Петровна Чернова</t>
  </si>
  <si>
    <t>Петровна</t>
  </si>
  <si>
    <t>+375 226-003-8992</t>
  </si>
  <si>
    <t>Кир Васильевич Горбунов</t>
  </si>
  <si>
    <t>Кир</t>
  </si>
  <si>
    <t>Васильевич</t>
  </si>
  <si>
    <t>Горбунов</t>
  </si>
  <si>
    <t>+992 906-130-4174</t>
  </si>
  <si>
    <t>Зуев Гостомысл Игоревич</t>
  </si>
  <si>
    <t>Зуев</t>
  </si>
  <si>
    <t>Гостомысл</t>
  </si>
  <si>
    <t>+7 977-556-0650</t>
  </si>
  <si>
    <t>Любовь Романовна Данилова</t>
  </si>
  <si>
    <t>Романовна</t>
  </si>
  <si>
    <t>Данилова</t>
  </si>
  <si>
    <t>+375 820-460-9487</t>
  </si>
  <si>
    <t>Калинин Лев Феодосьевич</t>
  </si>
  <si>
    <t>Феодосьевич</t>
  </si>
  <si>
    <t>+998 608-979-4237</t>
  </si>
  <si>
    <t>Марк Яковлевич Корнилов</t>
  </si>
  <si>
    <t>Марк</t>
  </si>
  <si>
    <t>Корнилов</t>
  </si>
  <si>
    <t>+380 086-392-5406</t>
  </si>
  <si>
    <t>Таисия Богдановна Якушева</t>
  </si>
  <si>
    <t>Богдановна</t>
  </si>
  <si>
    <t>Якушева</t>
  </si>
  <si>
    <t>+380 264-466-6372</t>
  </si>
  <si>
    <t>Самойлова Жанна Семеновна</t>
  </si>
  <si>
    <t>+992 644-743-9326</t>
  </si>
  <si>
    <t>Валерия Владимировна Медведева</t>
  </si>
  <si>
    <t>Валерия</t>
  </si>
  <si>
    <t>Владимировна</t>
  </si>
  <si>
    <t>+380 403-818-2198</t>
  </si>
  <si>
    <t>Филимон Ефимьевич Беляков</t>
  </si>
  <si>
    <t>Ефимьевич</t>
  </si>
  <si>
    <t>Беляков</t>
  </si>
  <si>
    <t>+7 613-538-5501</t>
  </si>
  <si>
    <t>Миронов Аверкий Зиновьевич</t>
  </si>
  <si>
    <t>Миронов</t>
  </si>
  <si>
    <t>Аверкий</t>
  </si>
  <si>
    <t>+7 670-667-8381</t>
  </si>
  <si>
    <t>Валерия Семеновна Потапова</t>
  </si>
  <si>
    <t>+7 264-686-5607</t>
  </si>
  <si>
    <t>Сорокина Феврония Геннадьевна</t>
  </si>
  <si>
    <t>+7 535-345-7895</t>
  </si>
  <si>
    <t>Любовь Альбертовна Одинцова</t>
  </si>
  <si>
    <t>Одинцова</t>
  </si>
  <si>
    <t>+992 587-542-2147</t>
  </si>
  <si>
    <t>Спиридон Владленович Воронцов</t>
  </si>
  <si>
    <t>Владленович</t>
  </si>
  <si>
    <t>Воронцов</t>
  </si>
  <si>
    <t>+375 890-614-0667</t>
  </si>
  <si>
    <t>Алевтина Михайловна Зыкова</t>
  </si>
  <si>
    <t>Алевтина</t>
  </si>
  <si>
    <t>+7 197-654-6044</t>
  </si>
  <si>
    <t>Максимова Евпраксия Ждановна</t>
  </si>
  <si>
    <t>Максимова</t>
  </si>
  <si>
    <t>+998 777-844-5783</t>
  </si>
  <si>
    <t>Анжела Ивановна Григорьева</t>
  </si>
  <si>
    <t>Григорьева</t>
  </si>
  <si>
    <t>+375 285-458-8961</t>
  </si>
  <si>
    <t>Маслова Агафья Юрьевна</t>
  </si>
  <si>
    <t>Маслова</t>
  </si>
  <si>
    <t>Агафья</t>
  </si>
  <si>
    <t>+375 389-470-8585</t>
  </si>
  <si>
    <t>Флорентин Демьянович Родионов</t>
  </si>
  <si>
    <t>Флорентин</t>
  </si>
  <si>
    <t>Демьянович</t>
  </si>
  <si>
    <t>+7 984-361-4421</t>
  </si>
  <si>
    <t>Анжелика Валериевна Рожкова</t>
  </si>
  <si>
    <t>Анжелика</t>
  </si>
  <si>
    <t>Рожкова</t>
  </si>
  <si>
    <t>+998 643-985-0175</t>
  </si>
  <si>
    <t>Виктория Наумовна Никитина</t>
  </si>
  <si>
    <t>Виктория</t>
  </si>
  <si>
    <t>Никитина</t>
  </si>
  <si>
    <t>+992 330-173-6947</t>
  </si>
  <si>
    <t>Брагина Полина Евгеньевна</t>
  </si>
  <si>
    <t>+380 459-176-1508</t>
  </si>
  <si>
    <t>Суханова Алла Эльдаровна</t>
  </si>
  <si>
    <t>Суханова</t>
  </si>
  <si>
    <t>Алла</t>
  </si>
  <si>
    <t>+7 487-712-2137</t>
  </si>
  <si>
    <t>Юрий Августович Исаков</t>
  </si>
  <si>
    <t>Юрий</t>
  </si>
  <si>
    <t>+7 616-701-4879</t>
  </si>
  <si>
    <t>Конон Валентинович Владимиров</t>
  </si>
  <si>
    <t>Конон</t>
  </si>
  <si>
    <t>Валентинович</t>
  </si>
  <si>
    <t>+998 766-764-4076</t>
  </si>
  <si>
    <t>Елисей Игнатович Лобанов</t>
  </si>
  <si>
    <t>Елисей</t>
  </si>
  <si>
    <t>+380 270-120-1119</t>
  </si>
  <si>
    <t>Белов Симон Иосипович</t>
  </si>
  <si>
    <t>Белов</t>
  </si>
  <si>
    <t>Симон</t>
  </si>
  <si>
    <t>+992 257-520-2828</t>
  </si>
  <si>
    <t>Рожкова Маргарита Артемовна</t>
  </si>
  <si>
    <t>Артемовна</t>
  </si>
  <si>
    <t>+992 403-930-8580</t>
  </si>
  <si>
    <t>Андрон Валерьевич Морозов</t>
  </si>
  <si>
    <t>Андрон</t>
  </si>
  <si>
    <t>Морозов</t>
  </si>
  <si>
    <t>+992 672-498-6349</t>
  </si>
  <si>
    <t>Иванна Захаровна Сергеева</t>
  </si>
  <si>
    <t>Сергеева</t>
  </si>
  <si>
    <t>+380 921-086-4453</t>
  </si>
  <si>
    <t>Русаков Модест Захарьевич</t>
  </si>
  <si>
    <t>Модест</t>
  </si>
  <si>
    <t>Захарьевич</t>
  </si>
  <si>
    <t>+380 260-756-9533</t>
  </si>
  <si>
    <t>Шарова Екатерина Леоновна</t>
  </si>
  <si>
    <t>Шарова</t>
  </si>
  <si>
    <t>Екатерина</t>
  </si>
  <si>
    <t>+992 266-513-0456</t>
  </si>
  <si>
    <t>Цветков Лука Витальевич</t>
  </si>
  <si>
    <t>Цветков</t>
  </si>
  <si>
    <t>Витальевич</t>
  </si>
  <si>
    <t>+7 869-111-2094</t>
  </si>
  <si>
    <t>Мясников Зосима Якубович</t>
  </si>
  <si>
    <t>Мясников</t>
  </si>
  <si>
    <t>Зосима</t>
  </si>
  <si>
    <t>+7 412-542-8365</t>
  </si>
  <si>
    <t>Бирюкова Агафья Артемовна</t>
  </si>
  <si>
    <t>Бирюкова</t>
  </si>
  <si>
    <t>+7 844-239-9142</t>
  </si>
  <si>
    <t>Савельев Климент Гурьевич</t>
  </si>
  <si>
    <t>Климент</t>
  </si>
  <si>
    <t>+7 661-552-6669</t>
  </si>
  <si>
    <t>Волкова Валентина Николаевна</t>
  </si>
  <si>
    <t>Волкова</t>
  </si>
  <si>
    <t>+7 524-093-8464</t>
  </si>
  <si>
    <t>Автоном Терентьевич Филиппов</t>
  </si>
  <si>
    <t>+7 974-088-4889</t>
  </si>
  <si>
    <t>Абрамов Адриан Фролович</t>
  </si>
  <si>
    <t>Адриан</t>
  </si>
  <si>
    <t>Фролович</t>
  </si>
  <si>
    <t>+998 113-461-2855</t>
  </si>
  <si>
    <t>Самсонов Борислав Фролович</t>
  </si>
  <si>
    <t>Самсонов</t>
  </si>
  <si>
    <t>Борислав</t>
  </si>
  <si>
    <t>+7 925-005-3361</t>
  </si>
  <si>
    <t>Сысоева Светлана Захаровна</t>
  </si>
  <si>
    <t>Сысоева</t>
  </si>
  <si>
    <t>Светлана</t>
  </si>
  <si>
    <t>+380 524-191-7258</t>
  </si>
  <si>
    <t>Ия Робертовна Белова</t>
  </si>
  <si>
    <t>Робертовна</t>
  </si>
  <si>
    <t>Белова</t>
  </si>
  <si>
    <t>+375 690-843-0501</t>
  </si>
  <si>
    <t>Лукин Борис Власович</t>
  </si>
  <si>
    <t>Борис</t>
  </si>
  <si>
    <t>Власович</t>
  </si>
  <si>
    <t>+7 778-043-0691</t>
  </si>
  <si>
    <t>Никанор Феодосьевич Воронов</t>
  </si>
  <si>
    <t>Никанор</t>
  </si>
  <si>
    <t>Воронов</t>
  </si>
  <si>
    <t>+7 319-073-7259</t>
  </si>
  <si>
    <t>Александр Архипович Гущин</t>
  </si>
  <si>
    <t>Александр</t>
  </si>
  <si>
    <t>Архипович</t>
  </si>
  <si>
    <t>+992 943-140-9489</t>
  </si>
  <si>
    <t>Большаков Антип Тихонович</t>
  </si>
  <si>
    <t>Большаков</t>
  </si>
  <si>
    <t>Тихонович</t>
  </si>
  <si>
    <t>+998 154-674-1649</t>
  </si>
  <si>
    <t>Костина Жанна Рубеновна</t>
  </si>
  <si>
    <t>Костина</t>
  </si>
  <si>
    <t>Рубеновна</t>
  </si>
  <si>
    <t>+992 442-185-5422</t>
  </si>
  <si>
    <t>Устинов Милан Архипович</t>
  </si>
  <si>
    <t>Устинов</t>
  </si>
  <si>
    <t>Милан</t>
  </si>
  <si>
    <t>+7 584-823-9648</t>
  </si>
  <si>
    <t>Муравьева Алла Петровна</t>
  </si>
  <si>
    <t>Муравьева</t>
  </si>
  <si>
    <t>+998 838-480-9390</t>
  </si>
  <si>
    <t>Давыд Фёдорович Белоусов</t>
  </si>
  <si>
    <t>Давыд</t>
  </si>
  <si>
    <t>Фёдорович</t>
  </si>
  <si>
    <t>Белоусов</t>
  </si>
  <si>
    <t>+992 638-430-8419</t>
  </si>
  <si>
    <t>Никонов Софон Авдеевич</t>
  </si>
  <si>
    <t>+7 296-302-4718</t>
  </si>
  <si>
    <t>Фокин Глеб Елизарович</t>
  </si>
  <si>
    <t>Глеб</t>
  </si>
  <si>
    <t>Елизарович</t>
  </si>
  <si>
    <t>+7 572-970-7703</t>
  </si>
  <si>
    <t>Устинов Евграф Исидорович</t>
  </si>
  <si>
    <t>Евграф</t>
  </si>
  <si>
    <t>Исидорович</t>
  </si>
  <si>
    <t>+375 958-521-7488</t>
  </si>
  <si>
    <t>Ирина Анатольевна Васильева</t>
  </si>
  <si>
    <t>Анатольевна</t>
  </si>
  <si>
    <t>Васильева</t>
  </si>
  <si>
    <t>+380 315-815-3268</t>
  </si>
  <si>
    <t>Герман Арсеньевич Калинин</t>
  </si>
  <si>
    <t>Герман</t>
  </si>
  <si>
    <t>+998 697-530-0958</t>
  </si>
  <si>
    <t>Юлия Кузьминична Капустина</t>
  </si>
  <si>
    <t>+7 466-253-9021</t>
  </si>
  <si>
    <t>Суханов Станислав Архипович</t>
  </si>
  <si>
    <t>Суханов</t>
  </si>
  <si>
    <t>Станислав</t>
  </si>
  <si>
    <t>+375 299-252-6550</t>
  </si>
  <si>
    <t>Никита Венедиктович Третьяков</t>
  </si>
  <si>
    <t>Никита</t>
  </si>
  <si>
    <t>Венедиктович</t>
  </si>
  <si>
    <t>+7 449-357-2065</t>
  </si>
  <si>
    <t>Журавлева Александра Валентиновна</t>
  </si>
  <si>
    <t>Валентиновна</t>
  </si>
  <si>
    <t>+7 456-978-0873</t>
  </si>
  <si>
    <t>Алевтина Архиповна Ефимова</t>
  </si>
  <si>
    <t>Архиповна</t>
  </si>
  <si>
    <t>+380 286-003-5332</t>
  </si>
  <si>
    <t>Вероника Руслановна Ефремова</t>
  </si>
  <si>
    <t>Ефремова</t>
  </si>
  <si>
    <t>+7 362-778-4019</t>
  </si>
  <si>
    <t>Красильников Павел Ермилович</t>
  </si>
  <si>
    <t>Красильников</t>
  </si>
  <si>
    <t>Ермилович</t>
  </si>
  <si>
    <t>+998 169-477-8408</t>
  </si>
  <si>
    <t>Гуляева Раиса Кузьминична</t>
  </si>
  <si>
    <t>Гуляева</t>
  </si>
  <si>
    <t>+998 213-223-6638</t>
  </si>
  <si>
    <t>Маркова Василиса Юрьевна</t>
  </si>
  <si>
    <t>Маркова</t>
  </si>
  <si>
    <t>+7 244-331-6219</t>
  </si>
  <si>
    <t>Николай Гавриилович Савин</t>
  </si>
  <si>
    <t>Николай</t>
  </si>
  <si>
    <t>Савин</t>
  </si>
  <si>
    <t>+7 782-443-4000</t>
  </si>
  <si>
    <t>Максимова Елена Валериевна</t>
  </si>
  <si>
    <t>Елена</t>
  </si>
  <si>
    <t>+7 648-807-1917</t>
  </si>
  <si>
    <t>Никифоров Богдан Харитонович</t>
  </si>
  <si>
    <t>Богдан</t>
  </si>
  <si>
    <t>+7 225-063-9920</t>
  </si>
  <si>
    <t>Велимир Игоревич Макаров</t>
  </si>
  <si>
    <t>Велимир</t>
  </si>
  <si>
    <t>Макаров</t>
  </si>
  <si>
    <t>+7 421-153-6302</t>
  </si>
  <si>
    <t>Тимофеев Аполлинарий Фомич</t>
  </si>
  <si>
    <t>Тимофеев</t>
  </si>
  <si>
    <t>Аполлинарий</t>
  </si>
  <si>
    <t>+7 945-211-9429</t>
  </si>
  <si>
    <t>Потап Егорович Лапин</t>
  </si>
  <si>
    <t>Потап</t>
  </si>
  <si>
    <t>Егорович</t>
  </si>
  <si>
    <t>+7 379-140-2865</t>
  </si>
  <si>
    <t>Никита Виленович Степанов</t>
  </si>
  <si>
    <t>Степанов</t>
  </si>
  <si>
    <t>+7 685-361-2926</t>
  </si>
  <si>
    <t>Агап Валерьевич Логинов</t>
  </si>
  <si>
    <t>Агап</t>
  </si>
  <si>
    <t>Логинов</t>
  </si>
  <si>
    <t>+998 997-462-0828</t>
  </si>
  <si>
    <t>Исакова Людмила Олеговна</t>
  </si>
  <si>
    <t>Исакова</t>
  </si>
  <si>
    <t>Людмила</t>
  </si>
  <si>
    <t>+7 028-813-4020</t>
  </si>
  <si>
    <t>Вишняков Ярослав Анатольевич</t>
  </si>
  <si>
    <t>Ярослав</t>
  </si>
  <si>
    <t>+380 802-906-1048</t>
  </si>
  <si>
    <t>Нестеров Чеслав Аверьянович</t>
  </si>
  <si>
    <t>Нестеров</t>
  </si>
  <si>
    <t>Аверьянович</t>
  </si>
  <si>
    <t>+998 247-862-3690</t>
  </si>
  <si>
    <t>Валерьян Федосеевич Цветков</t>
  </si>
  <si>
    <t>Федосеевич</t>
  </si>
  <si>
    <t>+380 728-449-1745</t>
  </si>
  <si>
    <t>Матвей Адамович Богданов</t>
  </si>
  <si>
    <t>Матвей</t>
  </si>
  <si>
    <t>Адамович</t>
  </si>
  <si>
    <t>Богданов</t>
  </si>
  <si>
    <t>+375 524-220-8374</t>
  </si>
  <si>
    <t>Владимирова Алина Феликсовна</t>
  </si>
  <si>
    <t>Владимирова</t>
  </si>
  <si>
    <t>+992 028-876-8250</t>
  </si>
  <si>
    <t>Лора Вадимовна Турова</t>
  </si>
  <si>
    <t>Турова</t>
  </si>
  <si>
    <t>+380 280-785-9631</t>
  </si>
  <si>
    <t>Мирон Давидович Горбачев</t>
  </si>
  <si>
    <t>Мирон</t>
  </si>
  <si>
    <t>Давидович</t>
  </si>
  <si>
    <t>Горбачев</t>
  </si>
  <si>
    <t>+7 304-758-2488</t>
  </si>
  <si>
    <t>Юлия Геннадиевна Белякова</t>
  </si>
  <si>
    <t>Геннадиевна</t>
  </si>
  <si>
    <t>Белякова</t>
  </si>
  <si>
    <t>+7 212-350-2928</t>
  </si>
  <si>
    <t>Ермаков Ярослав Тихонович</t>
  </si>
  <si>
    <t>+998 438-329-1521</t>
  </si>
  <si>
    <t>Баранов Эраст Терентьевич</t>
  </si>
  <si>
    <t>Баранов</t>
  </si>
  <si>
    <t>Эраст</t>
  </si>
  <si>
    <t>+992 638-653-7931</t>
  </si>
  <si>
    <t>Вероника Геннадьевна Воронова</t>
  </si>
  <si>
    <t>Воронова</t>
  </si>
  <si>
    <t>+7 181-999-1398</t>
  </si>
  <si>
    <t>Назарова Ия Ивановна</t>
  </si>
  <si>
    <t>+7 052-743-8708</t>
  </si>
  <si>
    <t>Любомир Архипович Пономарев</t>
  </si>
  <si>
    <t>Пономарев</t>
  </si>
  <si>
    <t>+998 583-835-9258</t>
  </si>
  <si>
    <t>Елизавета Яковлевна Лапина</t>
  </si>
  <si>
    <t>Яковлевна</t>
  </si>
  <si>
    <t>+380 249-840-3292</t>
  </si>
  <si>
    <t>Гурьева Людмила Владимировна</t>
  </si>
  <si>
    <t>Гурьева</t>
  </si>
  <si>
    <t>+7 894-629-6946</t>
  </si>
  <si>
    <t>Фёкла Натановна Дементьева</t>
  </si>
  <si>
    <t>Дементьева</t>
  </si>
  <si>
    <t>+380 119-291-6424</t>
  </si>
  <si>
    <t>Маслова Иванна Макаровна</t>
  </si>
  <si>
    <t>Макаровна</t>
  </si>
  <si>
    <t>+7 629-137-1639</t>
  </si>
  <si>
    <t>Клавдия Богдановна Ковалева</t>
  </si>
  <si>
    <t>Клавдия</t>
  </si>
  <si>
    <t>Ковалева</t>
  </si>
  <si>
    <t>+7 560-711-8976</t>
  </si>
  <si>
    <t>Евсеев Ратмир Артемьевич</t>
  </si>
  <si>
    <t>Евсеев</t>
  </si>
  <si>
    <t>Ратмир</t>
  </si>
  <si>
    <t>Артемьевич</t>
  </si>
  <si>
    <t>+375 881-217-3017</t>
  </si>
  <si>
    <t>Клавдия Константиновна Хохлова</t>
  </si>
  <si>
    <t>Константиновна</t>
  </si>
  <si>
    <t>Хохлова</t>
  </si>
  <si>
    <t>+380 960-351-2387</t>
  </si>
  <si>
    <t>Анастасия Альбертовна Фролова</t>
  </si>
  <si>
    <t>Фролова</t>
  </si>
  <si>
    <t>+375 081-974-3402</t>
  </si>
  <si>
    <t>Федосеева Василиса Аскольдовна</t>
  </si>
  <si>
    <t>+992 046-188-5111</t>
  </si>
  <si>
    <t>Евгения Георгиевна Рожкова</t>
  </si>
  <si>
    <t>+7 219-084-6295</t>
  </si>
  <si>
    <t>Ксения Кузьминична Авдеева</t>
  </si>
  <si>
    <t>Ксения</t>
  </si>
  <si>
    <t>Авдеева</t>
  </si>
  <si>
    <t>+7 502-802-5787</t>
  </si>
  <si>
    <t>Елена Эдуардовна Кудряшова</t>
  </si>
  <si>
    <t>+7 269-195-3186</t>
  </si>
  <si>
    <t>Константин Ефимьевич Колесников</t>
  </si>
  <si>
    <t>Константин</t>
  </si>
  <si>
    <t>Колесников</t>
  </si>
  <si>
    <t>+7 836-233-8115</t>
  </si>
  <si>
    <t>Евпраксия Федоровна Фомина</t>
  </si>
  <si>
    <t>Фомина</t>
  </si>
  <si>
    <t>+380 469-601-0972</t>
  </si>
  <si>
    <t>Дмитрий Трифонович Денисов</t>
  </si>
  <si>
    <t>Дмитрий</t>
  </si>
  <si>
    <t>Трифонович</t>
  </si>
  <si>
    <t>Денисов</t>
  </si>
  <si>
    <t>+992 555-207-4186</t>
  </si>
  <si>
    <t>Пелагея Антоновна Цветкова</t>
  </si>
  <si>
    <t>Пелагея</t>
  </si>
  <si>
    <t>Антоновна</t>
  </si>
  <si>
    <t>Цветкова</t>
  </si>
  <si>
    <t>+380 937-173-7394</t>
  </si>
  <si>
    <t>Давыдов Амос Владиславович</t>
  </si>
  <si>
    <t>Амос</t>
  </si>
  <si>
    <t>Владиславович</t>
  </si>
  <si>
    <t>+992 059-483-3104</t>
  </si>
  <si>
    <t>Лазарев Аникей Венедиктович</t>
  </si>
  <si>
    <t>Аникей</t>
  </si>
  <si>
    <t>+992 226-423-7263</t>
  </si>
  <si>
    <t>Фомина Антонина Павловна</t>
  </si>
  <si>
    <t>Антонина</t>
  </si>
  <si>
    <t>+992 964-689-9206</t>
  </si>
  <si>
    <t>Ираида Феликсовна Белоусова</t>
  </si>
  <si>
    <t>Ираида</t>
  </si>
  <si>
    <t>Белоусова</t>
  </si>
  <si>
    <t>+380 671-809-3559</t>
  </si>
  <si>
    <t>Кира Степановна Рогова</t>
  </si>
  <si>
    <t>Кира</t>
  </si>
  <si>
    <t>Степановна</t>
  </si>
  <si>
    <t>Рогова</t>
  </si>
  <si>
    <t>+380 611-258-8704</t>
  </si>
  <si>
    <t>Кузнецов Севастьян Валерьевич</t>
  </si>
  <si>
    <t>Кузнецов</t>
  </si>
  <si>
    <t>Севастьян</t>
  </si>
  <si>
    <t>+375 242-923-3569</t>
  </si>
  <si>
    <t>Ираида Егоровна Родионова</t>
  </si>
  <si>
    <t>+7 069-852-7793</t>
  </si>
  <si>
    <t>Шубин Орест Августович</t>
  </si>
  <si>
    <t>Шубин</t>
  </si>
  <si>
    <t>Орест</t>
  </si>
  <si>
    <t>+7 891-832-3772</t>
  </si>
  <si>
    <t>Сорокина Марфа Викторовна</t>
  </si>
  <si>
    <t>+992 852-358-1111</t>
  </si>
  <si>
    <t>Лариса Степановна Гурьева</t>
  </si>
  <si>
    <t>Лариса</t>
  </si>
  <si>
    <t>+998 087-023-3754</t>
  </si>
  <si>
    <t>Олимпиада Львовна Михайлова</t>
  </si>
  <si>
    <t>Олимпиада</t>
  </si>
  <si>
    <t>Михайлова</t>
  </si>
  <si>
    <t>+998 276-111-5039</t>
  </si>
  <si>
    <t>Савватий Богданович Фролов</t>
  </si>
  <si>
    <t>Савватий</t>
  </si>
  <si>
    <t>Богданович</t>
  </si>
  <si>
    <t>Фролов</t>
  </si>
  <si>
    <t>+998 455-040-0995</t>
  </si>
  <si>
    <t>Евфросиния Тимофеевна Миронова</t>
  </si>
  <si>
    <t>Тимофеевна</t>
  </si>
  <si>
    <t>Миронова</t>
  </si>
  <si>
    <t>+7 689-265-9126</t>
  </si>
  <si>
    <t>Назаров Пантелеймон Трофимович</t>
  </si>
  <si>
    <t>Пантелеймон</t>
  </si>
  <si>
    <t>Трофимович</t>
  </si>
  <si>
    <t>+998 523-421-5092</t>
  </si>
  <si>
    <t>Любим Зиновьевич Брагин</t>
  </si>
  <si>
    <t>Любим</t>
  </si>
  <si>
    <t>+375 678-304-0891</t>
  </si>
  <si>
    <t>Вероника Сергеевна Блинова</t>
  </si>
  <si>
    <t>Блинова</t>
  </si>
  <si>
    <t>+992 647-315-8824</t>
  </si>
  <si>
    <t>Прасковья Яковлевна Белоусова</t>
  </si>
  <si>
    <t>Прасковья</t>
  </si>
  <si>
    <t>+998 737-854-0193</t>
  </si>
  <si>
    <t>Родион Яковлевич Коновалов</t>
  </si>
  <si>
    <t>Коновалов</t>
  </si>
  <si>
    <t>+7 772-932-9839</t>
  </si>
  <si>
    <t>Артемьева София Ильинична</t>
  </si>
  <si>
    <t>София</t>
  </si>
  <si>
    <t>Ильинична</t>
  </si>
  <si>
    <t>+380 737-667-7208</t>
  </si>
  <si>
    <t>Дьячков Серафим Дорофеевич</t>
  </si>
  <si>
    <t>Дьячков</t>
  </si>
  <si>
    <t>Серафим</t>
  </si>
  <si>
    <t>Дорофеевич</t>
  </si>
  <si>
    <t>+7 231-022-9731</t>
  </si>
  <si>
    <t>Боян Дорофеевич Калашников</t>
  </si>
  <si>
    <t>Калашников</t>
  </si>
  <si>
    <t>+992 013-075-6493</t>
  </si>
  <si>
    <t>Синклитикия Никифоровна Овчинникова</t>
  </si>
  <si>
    <t>Овчинникова</t>
  </si>
  <si>
    <t>+992 403-485-6889</t>
  </si>
  <si>
    <t>Елизар Архипович Щербаков</t>
  </si>
  <si>
    <t>Елизар</t>
  </si>
  <si>
    <t>Щербаков</t>
  </si>
  <si>
    <t>+375 342-835-7024</t>
  </si>
  <si>
    <t>Любовь Павловна Капустина</t>
  </si>
  <si>
    <t>+992 412-286-2797</t>
  </si>
  <si>
    <t>Арсений Ермолаевич Емельянов</t>
  </si>
  <si>
    <t>Ермолаевич</t>
  </si>
  <si>
    <t>Емельянов</t>
  </si>
  <si>
    <t>+992 878-995-1603</t>
  </si>
  <si>
    <t>Мария Анатольевна Смирнова</t>
  </si>
  <si>
    <t>Смирнова</t>
  </si>
  <si>
    <t>+992 841-082-9227</t>
  </si>
  <si>
    <t>Эдуард Фадеевич Сергеев</t>
  </si>
  <si>
    <t>Эдуард</t>
  </si>
  <si>
    <t>Фадеевич</t>
  </si>
  <si>
    <t>Сергеев</t>
  </si>
  <si>
    <t>+992 976-290-1474</t>
  </si>
  <si>
    <t>Анастасия Игоревна Белова</t>
  </si>
  <si>
    <t>+992 520-869-0598</t>
  </si>
  <si>
    <t>Демид Антонович Мясников</t>
  </si>
  <si>
    <t>+7 730-745-5768</t>
  </si>
  <si>
    <t>Феврония Антоновна Кулагина</t>
  </si>
  <si>
    <t>Кулагина</t>
  </si>
  <si>
    <t>+7 816-795-8885</t>
  </si>
  <si>
    <t>Ермакова Дарья Алексеевна</t>
  </si>
  <si>
    <t>Ермакова</t>
  </si>
  <si>
    <t>Дарья</t>
  </si>
  <si>
    <t>+992 980-571-8150</t>
  </si>
  <si>
    <t>Шестакова Элеонора Дмитриевна</t>
  </si>
  <si>
    <t>Дмитриевна</t>
  </si>
  <si>
    <t>+7 173-514-9301</t>
  </si>
  <si>
    <t>Михей Феликсович Лихачев</t>
  </si>
  <si>
    <t>Михей</t>
  </si>
  <si>
    <t>Лихачев</t>
  </si>
  <si>
    <t>+7 559-899-4463</t>
  </si>
  <si>
    <t>Ираклий Изотович Авдеев</t>
  </si>
  <si>
    <t>Ираклий</t>
  </si>
  <si>
    <t>Изотович</t>
  </si>
  <si>
    <t>+7 747-866-6152</t>
  </si>
  <si>
    <t>Кононова Прасковья Павловна</t>
  </si>
  <si>
    <t>Кононова</t>
  </si>
  <si>
    <t>+7 524-548-9435</t>
  </si>
  <si>
    <t>Любомир Валерианович Туров</t>
  </si>
  <si>
    <t>Валерианович</t>
  </si>
  <si>
    <t>Туров</t>
  </si>
  <si>
    <t>+998 833-068-3629</t>
  </si>
  <si>
    <t>Сергеев Панкратий Теймуразович</t>
  </si>
  <si>
    <t>Панкратий</t>
  </si>
  <si>
    <t>Теймуразович</t>
  </si>
  <si>
    <t>+380 250-699-1873</t>
  </si>
  <si>
    <t>Татьяна Павловна Павлова</t>
  </si>
  <si>
    <t>Павлова</t>
  </si>
  <si>
    <t>+380 672-066-4140</t>
  </si>
  <si>
    <t>Поляков Силантий Адамович</t>
  </si>
  <si>
    <t>Силантий</t>
  </si>
  <si>
    <t>+380 959-961-5281</t>
  </si>
  <si>
    <t>Герасимов Родион Харитонович</t>
  </si>
  <si>
    <t>+992 353-055-1290</t>
  </si>
  <si>
    <t>Эмилия Вадимовна Александрова</t>
  </si>
  <si>
    <t>Александрова</t>
  </si>
  <si>
    <t>+380 229-176-0124</t>
  </si>
  <si>
    <t>Нинель Кузьминична Журавлева</t>
  </si>
  <si>
    <t>+998 941-560-7307</t>
  </si>
  <si>
    <t>Маркова Ксения Максимовна</t>
  </si>
  <si>
    <t>+7 322-163-7549</t>
  </si>
  <si>
    <t>Фомичев Ипполит Артурович</t>
  </si>
  <si>
    <t>Артурович</t>
  </si>
  <si>
    <t>+998 087-830-4222</t>
  </si>
  <si>
    <t>Галактион Жанович Новиков</t>
  </si>
  <si>
    <t>Галактион</t>
  </si>
  <si>
    <t>Новиков</t>
  </si>
  <si>
    <t>+998 965-511-3258</t>
  </si>
  <si>
    <t>Алевтина Ефимовна Белякова</t>
  </si>
  <si>
    <t>+7 120-273-0435</t>
  </si>
  <si>
    <t>Куликова Евгения Григорьевна</t>
  </si>
  <si>
    <t>Куликова</t>
  </si>
  <si>
    <t>Григорьевна</t>
  </si>
  <si>
    <t>+7 529-529-9415</t>
  </si>
  <si>
    <t>Кошелева Марина Рудольфовна</t>
  </si>
  <si>
    <t>Кошелева</t>
  </si>
  <si>
    <t>Марина</t>
  </si>
  <si>
    <t>Рудольфовна</t>
  </si>
  <si>
    <t>+998 999-821-3025</t>
  </si>
  <si>
    <t>Пахом Даниилович Кузьмин</t>
  </si>
  <si>
    <t>Пахом</t>
  </si>
  <si>
    <t>Кузьмин</t>
  </si>
  <si>
    <t>+7 142-825-3773</t>
  </si>
  <si>
    <t>Морозова Феврония Николаевна</t>
  </si>
  <si>
    <t>+998 783-609-3463</t>
  </si>
  <si>
    <t>Дарья Степановна Потапова</t>
  </si>
  <si>
    <t>+7 731-326-3751</t>
  </si>
  <si>
    <t>Владимиров Орест Артемьевич</t>
  </si>
  <si>
    <t>+998 271-883-9995</t>
  </si>
  <si>
    <t>Калинин Никита Артурович</t>
  </si>
  <si>
    <t>+375 563-314-3708</t>
  </si>
  <si>
    <t>Зоя Вячеславовна Панова</t>
  </si>
  <si>
    <t>+375 280-614-3764</t>
  </si>
  <si>
    <t>Лука Игнатьевич Власов</t>
  </si>
  <si>
    <t>Игнатьевич</t>
  </si>
  <si>
    <t>Власов</t>
  </si>
  <si>
    <t>+375 844-419-2850</t>
  </si>
  <si>
    <t>Лавр Харлампович Беляков</t>
  </si>
  <si>
    <t>Лавр</t>
  </si>
  <si>
    <t>Харлампович</t>
  </si>
  <si>
    <t>+998 225-019-2493</t>
  </si>
  <si>
    <t>Прасковья Петровна Дементьева</t>
  </si>
  <si>
    <t>+998 955-643-6256</t>
  </si>
  <si>
    <t>Евдокия Ефимовна Карпова</t>
  </si>
  <si>
    <t>Карпова</t>
  </si>
  <si>
    <t>+7 191-068-2694</t>
  </si>
  <si>
    <t>Корнил Адрианович Комиссаров</t>
  </si>
  <si>
    <t>Корнил</t>
  </si>
  <si>
    <t>Адрианович</t>
  </si>
  <si>
    <t>Комиссаров</t>
  </si>
  <si>
    <t>+380 001-347-5456</t>
  </si>
  <si>
    <t>Алексей Трифонович Блинов</t>
  </si>
  <si>
    <t>Алексей</t>
  </si>
  <si>
    <t>+992 902-872-9763</t>
  </si>
  <si>
    <t>Орехова Кира Натановна</t>
  </si>
  <si>
    <t>Орехова</t>
  </si>
  <si>
    <t>+375 515-558-2884</t>
  </si>
  <si>
    <t>Рубен Димитриевич Веселов</t>
  </si>
  <si>
    <t>Рубен</t>
  </si>
  <si>
    <t>Димитриевич</t>
  </si>
  <si>
    <t>Веселов</t>
  </si>
  <si>
    <t>+992 124-441-2478</t>
  </si>
  <si>
    <t>Валентина Кирилловна Семенова</t>
  </si>
  <si>
    <t>Семенова</t>
  </si>
  <si>
    <t>+380 266-548-4802</t>
  </si>
  <si>
    <t>Журавлев Аристарх Евсеевич</t>
  </si>
  <si>
    <t>Журавлев</t>
  </si>
  <si>
    <t>Аристарх</t>
  </si>
  <si>
    <t>Евсеевич</t>
  </si>
  <si>
    <t>+998 286-143-0624</t>
  </si>
  <si>
    <t>Силина Татьяна Аркадьевна</t>
  </si>
  <si>
    <t>Силина</t>
  </si>
  <si>
    <t>Аркадьевна</t>
  </si>
  <si>
    <t>+380 169-087-4183</t>
  </si>
  <si>
    <t>Николай Феоктистович Дроздов</t>
  </si>
  <si>
    <t>Феоктистович</t>
  </si>
  <si>
    <t>Дроздов</t>
  </si>
  <si>
    <t>+7 916-678-5714</t>
  </si>
  <si>
    <t>Радислав Герасимович Колобов</t>
  </si>
  <si>
    <t>Герасимович</t>
  </si>
  <si>
    <t>Колобов</t>
  </si>
  <si>
    <t>+998 936-440-2703</t>
  </si>
  <si>
    <t>Мартын Августович Баранов</t>
  </si>
  <si>
    <t>Мартын</t>
  </si>
  <si>
    <t>+998 090-420-2619</t>
  </si>
  <si>
    <t>Алла Геннадьевна Фомина</t>
  </si>
  <si>
    <t>+7 722-155-8660</t>
  </si>
  <si>
    <t>Копылова Эмилия Тарасовна</t>
  </si>
  <si>
    <t>Тарасовна</t>
  </si>
  <si>
    <t>+998 437-737-9329</t>
  </si>
  <si>
    <t>Власов Адриан Чеславович</t>
  </si>
  <si>
    <t>+998 773-281-1360</t>
  </si>
  <si>
    <t>Григорьева Ульяна Артемовна</t>
  </si>
  <si>
    <t>+380 363-690-1507</t>
  </si>
  <si>
    <t>Давыд Филатович Мухин</t>
  </si>
  <si>
    <t>Филатович</t>
  </si>
  <si>
    <t>+380 922-338-1312</t>
  </si>
  <si>
    <t>Аггей Валентинович Артемьев</t>
  </si>
  <si>
    <t>Артемьев</t>
  </si>
  <si>
    <t>+7 189-378-6167</t>
  </si>
  <si>
    <t>Антонина Борисовна Жданова</t>
  </si>
  <si>
    <t>Жданова</t>
  </si>
  <si>
    <t>+7 747-226-1755</t>
  </si>
  <si>
    <t>Маслов Захар Феофанович</t>
  </si>
  <si>
    <t>Захар</t>
  </si>
  <si>
    <t>Феофанович</t>
  </si>
  <si>
    <t>+7 402-873-2919</t>
  </si>
  <si>
    <t>Станислав Ильясович Ширяев</t>
  </si>
  <si>
    <t>Ширяев</t>
  </si>
  <si>
    <t>+998 661-487-5525</t>
  </si>
  <si>
    <t>Наталья Геннадьевна Колесникова</t>
  </si>
  <si>
    <t>Наталья</t>
  </si>
  <si>
    <t>+375 972-832-7690</t>
  </si>
  <si>
    <t>Ермаков Степан Егорович</t>
  </si>
  <si>
    <t>Степан</t>
  </si>
  <si>
    <t>+7 729-805-4220</t>
  </si>
  <si>
    <t>Маслова Анастасия Станиславовна</t>
  </si>
  <si>
    <t>+998 035-761-6314</t>
  </si>
  <si>
    <t>Марфа Георгиевна Титова</t>
  </si>
  <si>
    <t>Титова</t>
  </si>
  <si>
    <t>+380 329-195-8747</t>
  </si>
  <si>
    <t>Копылов Мартьян Августович</t>
  </si>
  <si>
    <t>Мартьян</t>
  </si>
  <si>
    <t>+375 824-010-1358</t>
  </si>
  <si>
    <t>Рогов Сила Гордеевич</t>
  </si>
  <si>
    <t>Рогов</t>
  </si>
  <si>
    <t>Гордеевич</t>
  </si>
  <si>
    <t>+7 091-838-5158</t>
  </si>
  <si>
    <t>Леон Аверьянович Захаров</t>
  </si>
  <si>
    <t>Леон</t>
  </si>
  <si>
    <t>Захаров</t>
  </si>
  <si>
    <t>+992 852-094-1088</t>
  </si>
  <si>
    <t>Захар Артемьевич Воробьев</t>
  </si>
  <si>
    <t>+992 204-182-8433</t>
  </si>
  <si>
    <t>Вадим Артёмович Анисимов</t>
  </si>
  <si>
    <t>Артёмович</t>
  </si>
  <si>
    <t>Анисимов</t>
  </si>
  <si>
    <t>+7 147-975-5645</t>
  </si>
  <si>
    <t>Михеев Андроник Ефимьевич</t>
  </si>
  <si>
    <t>Михеев</t>
  </si>
  <si>
    <t>Андроник</t>
  </si>
  <si>
    <t>+380 916-341-6028</t>
  </si>
  <si>
    <t>Лаврентьева Маргарита Артемовна</t>
  </si>
  <si>
    <t>Лаврентьева</t>
  </si>
  <si>
    <t>+380 809-127-8060</t>
  </si>
  <si>
    <t>Измаил Глебович Зыков</t>
  </si>
  <si>
    <t>Зыков</t>
  </si>
  <si>
    <t>+7 885-064-8776</t>
  </si>
  <si>
    <t>Щукина Элеонора Робертовна</t>
  </si>
  <si>
    <t>Щукина</t>
  </si>
  <si>
    <t>+7 875-362-2366</t>
  </si>
  <si>
    <t>Амвросий Артемьевич Гаврилов</t>
  </si>
  <si>
    <t>Амвросий</t>
  </si>
  <si>
    <t>Гаврилов</t>
  </si>
  <si>
    <t>+998 301-225-3693</t>
  </si>
  <si>
    <t>Феврония Юрьевна Шубина</t>
  </si>
  <si>
    <t>Шубина</t>
  </si>
  <si>
    <t>+375 956-020-3484</t>
  </si>
  <si>
    <t>Никитина Лора Георгиевна</t>
  </si>
  <si>
    <t>+375 165-356-7542</t>
  </si>
  <si>
    <t>Максим Анатольевич Семенов</t>
  </si>
  <si>
    <t>Максим</t>
  </si>
  <si>
    <t>Семенов</t>
  </si>
  <si>
    <t>+998 455-746-0633</t>
  </si>
  <si>
    <t>Горбунова Алевтина Максимовна</t>
  </si>
  <si>
    <t>+992 443-164-9246</t>
  </si>
  <si>
    <t>Жанна Станиславовна Семенова</t>
  </si>
  <si>
    <t>+998 436-367-6830</t>
  </si>
  <si>
    <t>Виктория Ильинична Соколова</t>
  </si>
  <si>
    <t>Соколова</t>
  </si>
  <si>
    <t>+375 529-351-9731</t>
  </si>
  <si>
    <t>Новикова Ия Рубеновна</t>
  </si>
  <si>
    <t>+7 914-597-1350</t>
  </si>
  <si>
    <t>Гаврилов Матвей Трифонович</t>
  </si>
  <si>
    <t>+7 927-005-2176</t>
  </si>
  <si>
    <t>Пономарев Творимир Демидович</t>
  </si>
  <si>
    <t>Творимир</t>
  </si>
  <si>
    <t>+7 411-180-0061</t>
  </si>
  <si>
    <t>Екатерина Рудольфовна Кулакова</t>
  </si>
  <si>
    <t>+992 471-072-5643</t>
  </si>
  <si>
    <t>Соколова Кира Дмитриевна</t>
  </si>
  <si>
    <t>+992 994-189-2821</t>
  </si>
  <si>
    <t>Новиков Ростислав Августович</t>
  </si>
  <si>
    <t>Ростислав</t>
  </si>
  <si>
    <t>+380 971-032-0139</t>
  </si>
  <si>
    <t>Моисеев Евстафий Чеславович</t>
  </si>
  <si>
    <t>Моисеев</t>
  </si>
  <si>
    <t>Евстафий</t>
  </si>
  <si>
    <t>+7 085-149-7713</t>
  </si>
  <si>
    <t>Елизавета Артемовна Данилова</t>
  </si>
  <si>
    <t>+7 762-296-2673</t>
  </si>
  <si>
    <t>Фаина Аркадьевна Веселова</t>
  </si>
  <si>
    <t>Фаина</t>
  </si>
  <si>
    <t>Веселова</t>
  </si>
  <si>
    <t>+7 981-245-0102</t>
  </si>
  <si>
    <t>Алевтина Егоровна Кузнецова</t>
  </si>
  <si>
    <t>Кузнецова</t>
  </si>
  <si>
    <t>+998 220-798-0143</t>
  </si>
  <si>
    <t>Гостомысл Фомич Одинцов</t>
  </si>
  <si>
    <t>Одинцов</t>
  </si>
  <si>
    <t>+380 255-745-0289</t>
  </si>
  <si>
    <t>г-жа Миронова Клавдия Феликсовна</t>
  </si>
  <si>
    <t>г-жа</t>
  </si>
  <si>
    <t>+7 354-672-8947</t>
  </si>
  <si>
    <t>Марфа Эдуардовна Макарова</t>
  </si>
  <si>
    <t>Макарова</t>
  </si>
  <si>
    <t>+998 714-433-6940</t>
  </si>
  <si>
    <t>Елизар Харлампьевич Мамонтов</t>
  </si>
  <si>
    <t>+7 352-652-3977</t>
  </si>
  <si>
    <t>Октябрина Павловна Зимина</t>
  </si>
  <si>
    <t>Октябрина</t>
  </si>
  <si>
    <t>Зимина</t>
  </si>
  <si>
    <t>+992 654-311-2893</t>
  </si>
  <si>
    <t>Васильева Анжелика Наумовна</t>
  </si>
  <si>
    <t>+380 350-189-8989</t>
  </si>
  <si>
    <t>Эммануил Валерьевич Королев</t>
  </si>
  <si>
    <t>+375 869-843-0628</t>
  </si>
  <si>
    <t>Лыткина Ираида Александровна</t>
  </si>
  <si>
    <t>+7 724-347-2918</t>
  </si>
  <si>
    <t>Фомичева Феврония Даниловна</t>
  </si>
  <si>
    <t>Фомичева</t>
  </si>
  <si>
    <t>Даниловна</t>
  </si>
  <si>
    <t>+7 022-690-6735</t>
  </si>
  <si>
    <t>Баранова Раиса Эльдаровна</t>
  </si>
  <si>
    <t>Баранова</t>
  </si>
  <si>
    <t>+375 268-005-4917</t>
  </si>
  <si>
    <t>г-жа Ефимова Анна Филипповна</t>
  </si>
  <si>
    <t>+992 377-961-6550</t>
  </si>
  <si>
    <t>г-н Зуев Трифон Зиновьевич</t>
  </si>
  <si>
    <t>Трифон</t>
  </si>
  <si>
    <t>+7 414-973-8213</t>
  </si>
  <si>
    <t>Нестерова Таисия Яковлевна</t>
  </si>
  <si>
    <t>+375 841-273-5425</t>
  </si>
  <si>
    <t>Ирина Макаровна Шарова</t>
  </si>
  <si>
    <t>+992 550-001-8470</t>
  </si>
  <si>
    <t>Кононова Элеонора Юрьевна</t>
  </si>
  <si>
    <t>+375 253-379-5656</t>
  </si>
  <si>
    <t>Любовь Богдановна Новикова</t>
  </si>
  <si>
    <t>+992 544-936-8109</t>
  </si>
  <si>
    <t>Русакова Полина Михайловна</t>
  </si>
  <si>
    <t>Русакова</t>
  </si>
  <si>
    <t>+7 755-098-2625</t>
  </si>
  <si>
    <t>Ермаков Всеслав Эдуардович</t>
  </si>
  <si>
    <t>Всеслав</t>
  </si>
  <si>
    <t>Эдуардович</t>
  </si>
  <si>
    <t>+992 774-047-4624</t>
  </si>
  <si>
    <t>Гордей Матвеевич Медведев</t>
  </si>
  <si>
    <t>Гордей</t>
  </si>
  <si>
    <t>Матвеевич</t>
  </si>
  <si>
    <t>Медведев</t>
  </si>
  <si>
    <t>+998 692-163-4083</t>
  </si>
  <si>
    <t>Алевтина Алексеевна Исакова</t>
  </si>
  <si>
    <t>+998 856-058-2613</t>
  </si>
  <si>
    <t>Мартынов Фома Гордеевич</t>
  </si>
  <si>
    <t>Мартынов</t>
  </si>
  <si>
    <t>+7 352-977-7374</t>
  </si>
  <si>
    <t>Петрова Майя Богдановна</t>
  </si>
  <si>
    <t>Петрова</t>
  </si>
  <si>
    <t>+7 894-636-1225</t>
  </si>
  <si>
    <t>Бобылева Анна Мироновна</t>
  </si>
  <si>
    <t>Бобылева</t>
  </si>
  <si>
    <t>Мироновна</t>
  </si>
  <si>
    <t>+375 173-908-3215</t>
  </si>
  <si>
    <t>Кудряшов Влас Алексеевич</t>
  </si>
  <si>
    <t>Кудряшов</t>
  </si>
  <si>
    <t>+375 427-098-5558</t>
  </si>
  <si>
    <t>Миронов Фома Вилорович</t>
  </si>
  <si>
    <t>+992 000-000-7415</t>
  </si>
  <si>
    <t>Харлампий Демьянович Алексеев</t>
  </si>
  <si>
    <t>+380 668-055-3546</t>
  </si>
  <si>
    <t>Горшкова Клавдия Борисовна</t>
  </si>
  <si>
    <t>+380 245-175-6131</t>
  </si>
  <si>
    <t>Григорьев Сократ Ануфриевич</t>
  </si>
  <si>
    <t>Григорьев</t>
  </si>
  <si>
    <t>Ануфриевич</t>
  </si>
  <si>
    <t>+998 284-687-3096</t>
  </si>
  <si>
    <t>Овчинникова Зоя Вячеславовна</t>
  </si>
  <si>
    <t>+380 533-078-8885</t>
  </si>
  <si>
    <t>Титова Ксения Дмитриевна</t>
  </si>
  <si>
    <t>+7 450-475-2540</t>
  </si>
  <si>
    <t>Князев Платон Андреевич</t>
  </si>
  <si>
    <t>Князев</t>
  </si>
  <si>
    <t>Платон</t>
  </si>
  <si>
    <t>+7 592-632-8448</t>
  </si>
  <si>
    <t>Меркушева Марина Наумовна</t>
  </si>
  <si>
    <t>Меркушева</t>
  </si>
  <si>
    <t>+380 143-562-6602</t>
  </si>
  <si>
    <t>Якушева Светлана Даниловна</t>
  </si>
  <si>
    <t>+998 946-408-1930</t>
  </si>
  <si>
    <t>Тихонова Ираида Ефимовна</t>
  </si>
  <si>
    <t>+992 756-085-4605</t>
  </si>
  <si>
    <t>г-жа Воробьева Иванна Юрьевна</t>
  </si>
  <si>
    <t>Воробьева</t>
  </si>
  <si>
    <t>+375 722-671-7064</t>
  </si>
  <si>
    <t>Любомир Ермолаевич Стрелков</t>
  </si>
  <si>
    <t>+7 542-005-0327</t>
  </si>
  <si>
    <t>Галина Семеновна Петухова</t>
  </si>
  <si>
    <t>Петухова</t>
  </si>
  <si>
    <t>+380 265-102-2104</t>
  </si>
  <si>
    <t>Кириллова Пелагея Юльевна</t>
  </si>
  <si>
    <t>Кириллова</t>
  </si>
  <si>
    <t>Юльевна</t>
  </si>
  <si>
    <t>+375 986-655-6691</t>
  </si>
  <si>
    <t>Еремей Бориславович Воронов</t>
  </si>
  <si>
    <t>+992 869-966-7816</t>
  </si>
  <si>
    <t>Александра Геннадиевна Филатова</t>
  </si>
  <si>
    <t>Филатова</t>
  </si>
  <si>
    <t>+7 975-515-1931</t>
  </si>
  <si>
    <t>Марфа Архиповна Белоусова</t>
  </si>
  <si>
    <t>+380 004-121-0383</t>
  </si>
  <si>
    <t>Эммануил Филимонович Захаров</t>
  </si>
  <si>
    <t>Филимонович</t>
  </si>
  <si>
    <t>+380 606-168-8976</t>
  </si>
  <si>
    <t>Абрамов Амвросий Богданович</t>
  </si>
  <si>
    <t>+7 056-712-2591</t>
  </si>
  <si>
    <t>Волков Викентий Герасимович</t>
  </si>
  <si>
    <t>Викентий</t>
  </si>
  <si>
    <t>+380 254-333-6466</t>
  </si>
  <si>
    <t>Одинцов Анисим Евсеевич</t>
  </si>
  <si>
    <t>Анисим</t>
  </si>
  <si>
    <t>+998 481-371-2630</t>
  </si>
  <si>
    <t>Никодим Арсенович Потапов</t>
  </si>
  <si>
    <t>Потапов</t>
  </si>
  <si>
    <t>+998 313-336-2516</t>
  </si>
  <si>
    <t>Алла Рудольфовна Сидорова</t>
  </si>
  <si>
    <t>Сидорова</t>
  </si>
  <si>
    <t>+7 210-575-0459</t>
  </si>
  <si>
    <t>Агата Олеговна Мартынова</t>
  </si>
  <si>
    <t>Мартынова</t>
  </si>
  <si>
    <t>+7 289-019-1718</t>
  </si>
  <si>
    <t>Стрелкова Наина Эдуардовна</t>
  </si>
  <si>
    <t>Стрелкова</t>
  </si>
  <si>
    <t>+7 571-938-4741</t>
  </si>
  <si>
    <t>Ипат Дмитриевич Панов</t>
  </si>
  <si>
    <t>Ипат</t>
  </si>
  <si>
    <t>Панов</t>
  </si>
  <si>
    <t>+380 958-231-6305</t>
  </si>
  <si>
    <t>Творимир Артурович Гришин</t>
  </si>
  <si>
    <t>Гришин</t>
  </si>
  <si>
    <t>+998 849-649-9045</t>
  </si>
  <si>
    <t>Лаврентьева Вера Владиславовна</t>
  </si>
  <si>
    <t>+992 666-298-7733</t>
  </si>
  <si>
    <t>Корнилов Леон Иосипович</t>
  </si>
  <si>
    <t>+992 772-470-1976</t>
  </si>
  <si>
    <t>Игнатова Вера Вячеславовна</t>
  </si>
  <si>
    <t>Игнатова</t>
  </si>
  <si>
    <t>+7 411-977-9395</t>
  </si>
  <si>
    <t>Михайлова Лора Наумовна</t>
  </si>
  <si>
    <t>+380 537-432-3099</t>
  </si>
  <si>
    <t>Феликс Ааронович Яковлев</t>
  </si>
  <si>
    <t>Феликс</t>
  </si>
  <si>
    <t>Яковлев</t>
  </si>
  <si>
    <t>+380 950-384-1472</t>
  </si>
  <si>
    <t>Емельянов Игорь Андреевич</t>
  </si>
  <si>
    <t>Игорь</t>
  </si>
  <si>
    <t>+992 570-665-8734</t>
  </si>
  <si>
    <t>Любосмысл Тихонович Веселов</t>
  </si>
  <si>
    <t>Любосмысл</t>
  </si>
  <si>
    <t>+375 477-336-9780</t>
  </si>
  <si>
    <t>Ольга Аскольдовна Данилова</t>
  </si>
  <si>
    <t>+380 017-252-3368</t>
  </si>
  <si>
    <t>Эмилия Болеславовна Цветкова</t>
  </si>
  <si>
    <t>+375 933-846-4405</t>
  </si>
  <si>
    <t>Константинов Милован Денисович</t>
  </si>
  <si>
    <t>Константинов</t>
  </si>
  <si>
    <t>+998 782-759-1031</t>
  </si>
  <si>
    <t>Светлана Семеновна Николаева</t>
  </si>
  <si>
    <t>+992 614-322-7161</t>
  </si>
  <si>
    <t>Людмила Борисовна Иванова</t>
  </si>
  <si>
    <t>+998 662-959-7800</t>
  </si>
  <si>
    <t>Амос Гордеевич Евсеев</t>
  </si>
  <si>
    <t>+375 877-885-2826</t>
  </si>
  <si>
    <t>Якуб Филатович Молчанов</t>
  </si>
  <si>
    <t>Якуб</t>
  </si>
  <si>
    <t>Молчанов</t>
  </si>
  <si>
    <t>+992 145-030-4792</t>
  </si>
  <si>
    <t>Афанасьев Кузьма Исидорович</t>
  </si>
  <si>
    <t>Кузьма</t>
  </si>
  <si>
    <t>+7 997-792-5112</t>
  </si>
  <si>
    <t>Лариса Романовна Крюкова</t>
  </si>
  <si>
    <t>Крюкова</t>
  </si>
  <si>
    <t>+380 686-730-6702</t>
  </si>
  <si>
    <t>Авдеев Олимпий Жанович</t>
  </si>
  <si>
    <t>+998 342-700-2159</t>
  </si>
  <si>
    <t>Воробьева Анжела Аскольдовна</t>
  </si>
  <si>
    <t>+998 662-556-3959</t>
  </si>
  <si>
    <t>Белоусова Жанна Кузьминична</t>
  </si>
  <si>
    <t>+998 678-480-0704</t>
  </si>
  <si>
    <t>Амвросий Игнатович Юдин</t>
  </si>
  <si>
    <t>Юдин</t>
  </si>
  <si>
    <t>+380 293-011-4872</t>
  </si>
  <si>
    <t>Евдокия Эдуардовна Соловьева</t>
  </si>
  <si>
    <t>Соловьева</t>
  </si>
  <si>
    <t>+7 630-011-3417</t>
  </si>
  <si>
    <t>Лидия Андреевна Крюкова</t>
  </si>
  <si>
    <t>Андреевна</t>
  </si>
  <si>
    <t>Количество по полю Столбец1</t>
  </si>
  <si>
    <t>Код</t>
  </si>
  <si>
    <t>+7</t>
  </si>
  <si>
    <t>Казахстан</t>
  </si>
  <si>
    <t>+375</t>
  </si>
  <si>
    <t>+998</t>
  </si>
  <si>
    <t>+992</t>
  </si>
  <si>
    <t>+380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</si>
</sst>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d.MM.yyyy"/>
    <numFmt numFmtId="166" formatCode="m/d/yyyy h:mm:ss"/>
    <numFmt numFmtId="167" formatCode="#,##0\ &quot;₽&quot;;\-#,##0\ &quot;₽&quot;"/>
  </numFmts>
  <fonts count="8">
    <font>
      <sz val="11.0"/>
      <color theme="1"/>
      <name val="Calibri"/>
      <scheme val="minor"/>
    </font>
    <font>
      <sz val="12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Font="1"/>
    <xf borderId="2" fillId="0" fontId="4" numFmtId="0" xfId="0" applyBorder="1" applyFont="1"/>
    <xf borderId="3" fillId="0" fontId="4" numFmtId="0" xfId="0" applyBorder="1" applyFont="1"/>
    <xf borderId="0" fillId="0" fontId="4" numFmtId="0" xfId="0" applyFont="1"/>
    <xf borderId="4" fillId="0" fontId="1" numFmtId="0" xfId="0" applyBorder="1" applyFont="1"/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6" fillId="0" fontId="1" numFmtId="0" xfId="0" applyBorder="1" applyFont="1"/>
    <xf borderId="7" fillId="0" fontId="1" numFmtId="0" xfId="0" applyBorder="1" applyFont="1"/>
    <xf borderId="4" fillId="0" fontId="4" numFmtId="0" xfId="0" applyBorder="1" applyFont="1"/>
    <xf borderId="7" fillId="0" fontId="4" numFmtId="0" xfId="0" applyBorder="1" applyFont="1"/>
    <xf borderId="6" fillId="0" fontId="4" numFmtId="0" xfId="0" applyBorder="1" applyFont="1"/>
    <xf borderId="8" fillId="0" fontId="1" numFmtId="0" xfId="0" applyAlignment="1" applyBorder="1" applyFont="1">
      <alignment readingOrder="0"/>
    </xf>
    <xf borderId="9" fillId="0" fontId="4" numFmtId="0" xfId="0" applyBorder="1" applyFont="1"/>
    <xf borderId="10" fillId="0" fontId="1" numFmtId="0" xfId="0" applyBorder="1" applyFont="1"/>
    <xf borderId="0" fillId="0" fontId="1" numFmtId="0" xfId="0" applyAlignment="1" applyFont="1">
      <alignment horizontal="center"/>
    </xf>
    <xf borderId="11" fillId="0" fontId="1" numFmtId="0" xfId="0" applyBorder="1" applyFont="1"/>
    <xf borderId="0" fillId="2" fontId="5" numFmtId="0" xfId="0" applyFill="1" applyFont="1"/>
    <xf borderId="12" fillId="3" fontId="6" numFmtId="0" xfId="0" applyBorder="1" applyFill="1" applyFont="1"/>
    <xf borderId="12" fillId="3" fontId="5" numFmtId="0" xfId="0" applyBorder="1" applyFont="1"/>
    <xf borderId="12" fillId="0" fontId="6" numFmtId="0" xfId="0" applyAlignment="1" applyBorder="1" applyFont="1">
      <alignment horizontal="left"/>
    </xf>
    <xf borderId="12" fillId="0" fontId="6" numFmtId="9" xfId="0" applyBorder="1" applyFont="1" applyNumberFormat="1"/>
    <xf borderId="0" fillId="0" fontId="5" numFmtId="0" xfId="0" applyFont="1"/>
    <xf borderId="12" fillId="0" fontId="5" numFmtId="166" xfId="0" applyBorder="1" applyFont="1" applyNumberFormat="1"/>
    <xf borderId="12" fillId="0" fontId="5" numFmtId="0" xfId="0" applyBorder="1" applyFont="1"/>
    <xf borderId="12" fillId="0" fontId="6" numFmtId="167" xfId="0" applyBorder="1" applyFont="1" applyNumberFormat="1"/>
    <xf borderId="12" fillId="0" fontId="6" numFmtId="1" xfId="0" applyBorder="1" applyFont="1" applyNumberFormat="1"/>
    <xf borderId="12" fillId="0" fontId="6" numFmtId="0" xfId="0" applyBorder="1" applyFont="1"/>
    <xf borderId="0" fillId="0" fontId="6" numFmtId="0" xfId="0" applyFont="1"/>
    <xf borderId="0" fillId="0" fontId="5" numFmtId="1" xfId="0" applyFont="1" applyNumberFormat="1"/>
    <xf borderId="12" fillId="0" fontId="5" numFmtId="1" xfId="0" applyBorder="1" applyFont="1" applyNumberFormat="1"/>
    <xf borderId="0" fillId="0" fontId="5" numFmtId="0" xfId="0" applyAlignment="1" applyFont="1">
      <alignment horizontal="center"/>
    </xf>
    <xf borderId="13" fillId="4" fontId="7" numFmtId="0" xfId="0" applyAlignment="1" applyBorder="1" applyFill="1" applyFont="1">
      <alignment horizontal="center" vertical="top"/>
    </xf>
    <xf borderId="13" fillId="4" fontId="7" numFmtId="165" xfId="0" applyAlignment="1" applyBorder="1" applyFont="1" applyNumberFormat="1">
      <alignment horizontal="center" vertical="top"/>
    </xf>
    <xf borderId="0" fillId="4" fontId="7" numFmtId="0" xfId="0" applyAlignment="1" applyFont="1">
      <alignment horizontal="center" readingOrder="0" vertical="top"/>
    </xf>
    <xf borderId="0" fillId="4" fontId="7" numFmtId="165" xfId="0" applyAlignment="1" applyFont="1" applyNumberFormat="1">
      <alignment horizontal="center" readingOrder="0" vertical="top"/>
    </xf>
    <xf borderId="0" fillId="4" fontId="7" numFmtId="1" xfId="0" applyAlignment="1" applyFont="1" applyNumberFormat="1">
      <alignment horizontal="center" readingOrder="0" vertical="top"/>
    </xf>
    <xf borderId="0" fillId="4" fontId="7" numFmtId="0" xfId="0" applyAlignment="1" applyFont="1">
      <alignment horizontal="center" readingOrder="0" vertical="top"/>
    </xf>
    <xf borderId="0" fillId="5" fontId="5" numFmtId="0" xfId="0" applyFill="1" applyFont="1"/>
    <xf borderId="0" fillId="5" fontId="6" numFmtId="14" xfId="0" applyFont="1" applyNumberFormat="1"/>
    <xf borderId="0" fillId="5" fontId="6" numFmtId="164" xfId="0" applyFont="1" applyNumberFormat="1"/>
    <xf borderId="0" fillId="5" fontId="6" numFmtId="9" xfId="0" applyFont="1" applyNumberFormat="1"/>
    <xf borderId="0" fillId="5" fontId="6" numFmtId="1" xfId="0" applyFont="1" applyNumberFormat="1"/>
    <xf borderId="0" fillId="5" fontId="6" numFmtId="165" xfId="0" applyFont="1" applyNumberFormat="1"/>
    <xf borderId="0" fillId="5" fontId="5" numFmtId="165" xfId="0" applyFont="1" applyNumberFormat="1"/>
    <xf borderId="0" fillId="5" fontId="5" numFmtId="1" xfId="0" applyFont="1" applyNumberFormat="1"/>
    <xf borderId="0" fillId="2" fontId="6" numFmtId="14" xfId="0" applyFont="1" applyNumberFormat="1"/>
    <xf borderId="0" fillId="2" fontId="6" numFmtId="164" xfId="0" applyFont="1" applyNumberFormat="1"/>
    <xf borderId="0" fillId="2" fontId="6" numFmtId="9" xfId="0" applyFont="1" applyNumberFormat="1"/>
    <xf borderId="0" fillId="2" fontId="6" numFmtId="1" xfId="0" applyFont="1" applyNumberFormat="1"/>
    <xf borderId="0" fillId="2" fontId="6" numFmtId="165" xfId="0" applyFont="1" applyNumberFormat="1"/>
    <xf borderId="0" fillId="2" fontId="5" numFmtId="165" xfId="0" applyFont="1" applyNumberFormat="1"/>
    <xf borderId="0" fillId="2" fontId="5" numFmtId="1" xfId="0" applyFont="1" applyNumberFormat="1"/>
    <xf borderId="13" fillId="0" fontId="7" numFmtId="0" xfId="0" applyAlignment="1" applyBorder="1" applyFont="1">
      <alignment horizontal="center" vertical="top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6" numFmtId="14" xfId="0" applyFont="1" applyNumberFormat="1"/>
    <xf borderId="0" fillId="0" fontId="6" numFmtId="2" xfId="0" applyFont="1" applyNumberForma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3">
    <tableStyle count="3" pivot="0" name="товар-style">
      <tableStyleElement dxfId="1" type="headerRow"/>
      <tableStyleElement dxfId="2" type="firstRowStripe"/>
      <tableStyleElement dxfId="3" type="secondRowStripe"/>
    </tableStyle>
    <tableStyle count="3" pivot="0" name="клиенты-style">
      <tableStyleElement dxfId="1" type="headerRow"/>
      <tableStyleElement dxfId="2" type="firstRowStripe"/>
      <tableStyleElement dxfId="3" type="secondRowStripe"/>
    </tableStyle>
    <tableStyle count="3" pivot="0" name="коды стран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Arial"/>
              </a:defRPr>
            </a:pPr>
            <a:r>
              <a:rPr b="1" sz="2000">
                <a:solidFill>
                  <a:srgbClr val="000000"/>
                </a:solidFill>
                <a:latin typeface="Arial"/>
              </a:rPr>
              <a:t>Динамика продаж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'Продажи магазинов '!$B$2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'Продажи магазинов '!$A$3:$A$17</c:f>
            </c:strRef>
          </c:cat>
          <c:val>
            <c:numRef>
              <c:f>'Продажи магазинов '!$B$3:$B$17</c:f>
              <c:numCache/>
            </c:numRef>
          </c:val>
          <c:smooth val="0"/>
        </c:ser>
        <c:axId val="1447732219"/>
        <c:axId val="2140954770"/>
      </c:lineChart>
      <c:catAx>
        <c:axId val="1447732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40954770"/>
      </c:catAx>
      <c:valAx>
        <c:axId val="2140954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[$р.-419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47732219"/>
      </c:valAx>
    </c:plotArea>
    <c:legend>
      <c:legendPos val="t"/>
      <c:overlay val="0"/>
      <c:txPr>
        <a:bodyPr/>
        <a:lstStyle/>
        <a:p>
          <a:pPr lvl="0">
            <a:defRPr b="1" i="1" sz="1800">
              <a:solidFill>
                <a:srgbClr val="1A1A1A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Средний дисконт по магазинам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'Выгода клиентам'!$A$4:$A$23</c:f>
            </c:strRef>
          </c:cat>
          <c:val>
            <c:numRef>
              <c:f>'Выгода клиентам'!$B$4:$B$23</c:f>
              <c:numCache/>
            </c:numRef>
          </c:val>
        </c:ser>
        <c:axId val="244694833"/>
        <c:axId val="657113917"/>
      </c:barChart>
      <c:catAx>
        <c:axId val="244694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7113917"/>
      </c:catAx>
      <c:valAx>
        <c:axId val="657113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+mn-lt"/>
                  </a:rPr>
                  <a:t>Дисконт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469483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GMV по продуктовым сетям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'Суммарные продажи по магазинам'!$A$4:$A$23</c:f>
            </c:strRef>
          </c:cat>
          <c:val>
            <c:numRef>
              <c:f>'Суммарные продажи по магазинам'!$B$4:$B$23</c:f>
              <c:numCache/>
            </c:numRef>
          </c:val>
        </c:ser>
        <c:axId val="1618543261"/>
        <c:axId val="518191395"/>
      </c:barChart>
      <c:catAx>
        <c:axId val="1618543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518191395"/>
      </c:catAx>
      <c:valAx>
        <c:axId val="5181913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854326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Суммарные продажи по поставщикам</a:t>
            </a:r>
          </a:p>
        </c:rich>
      </c:tx>
      <c:layout>
        <c:manualLayout>
          <c:xMode val="edge"/>
          <c:yMode val="edge"/>
          <c:x val="0.3567184691827889"/>
          <c:y val="0.0918074343271193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'Суммарн продажи по поставщикам'!$A$4:$A$81</c:f>
            </c:strRef>
          </c:cat>
          <c:val>
            <c:numRef>
              <c:f>'Суммарн продажи по поставщикам'!$B$4:$B$81</c:f>
              <c:numCache/>
            </c:numRef>
          </c:val>
        </c:ser>
        <c:axId val="870788496"/>
        <c:axId val="312184570"/>
      </c:barChart>
      <c:catAx>
        <c:axId val="87078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4665974912032285"/>
              <c:y val="0.859581454561769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12184570"/>
      </c:catAx>
      <c:valAx>
        <c:axId val="312184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Сумма продаж</a:t>
                </a:r>
              </a:p>
            </c:rich>
          </c:tx>
          <c:layout>
            <c:manualLayout>
              <c:xMode val="edge"/>
              <c:yMode val="edge"/>
              <c:x val="0.013374415239454488"/>
              <c:y val="0.26093876031963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078849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Количество одного наименования  в чеке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'Среднее кол-во по категории'!$A$4:$A$23</c:f>
            </c:strRef>
          </c:cat>
          <c:val>
            <c:numRef>
              <c:f>'Среднее кол-во по категории'!$B$4:$B$23</c:f>
              <c:numCache/>
            </c:numRef>
          </c:val>
        </c:ser>
        <c:axId val="1625316138"/>
        <c:axId val="71227790"/>
      </c:barChart>
      <c:catAx>
        <c:axId val="1625316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Категории товара</a:t>
                </a:r>
              </a:p>
            </c:rich>
          </c:tx>
          <c:layout>
            <c:manualLayout>
              <c:xMode val="edge"/>
              <c:yMode val="edge"/>
              <c:x val="0.4542411401146283"/>
              <c:y val="0.888605988396187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71227790"/>
      </c:catAx>
      <c:valAx>
        <c:axId val="7122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Arial"/>
                  </a:rPr>
                  <a:t>Среднее кол-во в чеке</a:t>
                </a:r>
              </a:p>
            </c:rich>
          </c:tx>
          <c:layout>
            <c:manualLayout>
              <c:xMode val="edge"/>
              <c:yMode val="edge"/>
              <c:x val="0.02008201982924566"/>
              <c:y val="0.256939820570674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531613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Распределение клиентов по странам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'География клиентов'!$A$4:$A$9</c:f>
            </c:strRef>
          </c:cat>
          <c:val>
            <c:numRef>
              <c:f>'География клиентов'!$B$4:$B$9</c:f>
              <c:numCache/>
            </c:numRef>
          </c:val>
        </c:ser>
        <c:axId val="631031410"/>
        <c:axId val="2045729218"/>
      </c:barChart>
      <c:catAx>
        <c:axId val="63103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2045729218"/>
      </c:catAx>
      <c:valAx>
        <c:axId val="20457292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103141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Суммарные продажи по категориям товара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'Суммарные продажи по категориям'!$A$2:$A$21</c:f>
            </c:strRef>
          </c:cat>
          <c:val>
            <c:numRef>
              <c:f>'Суммарные продажи по категориям'!$B$2:$B$21</c:f>
              <c:numCache/>
            </c:numRef>
          </c:val>
        </c:ser>
        <c:axId val="653285324"/>
        <c:axId val="1862024958"/>
      </c:barChart>
      <c:catAx>
        <c:axId val="653285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Категория товара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024958"/>
      </c:catAx>
      <c:valAx>
        <c:axId val="1862024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Сумма продаж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285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Количество клиентов по программе лояльности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да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'Клиенты в программе лояльности'!$A$5:$A$9</c:f>
            </c:strRef>
          </c:cat>
          <c:val>
            <c:numRef>
              <c:f>'Клиенты в программе лояльности'!$B$5:$B$9</c:f>
              <c:numCache/>
            </c:numRef>
          </c:val>
        </c:ser>
        <c:ser>
          <c:idx val="1"/>
          <c:order val="1"/>
          <c:tx>
            <c:v>нет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'Клиенты в программе лояльности'!$A$5:$A$9</c:f>
            </c:strRef>
          </c:cat>
          <c:val>
            <c:numRef>
              <c:f>'Клиенты в программе лояльности'!$C$5:$C$9</c:f>
              <c:numCache/>
            </c:numRef>
          </c:val>
        </c:ser>
        <c:axId val="1760183230"/>
        <c:axId val="2068955669"/>
      </c:barChart>
      <c:catAx>
        <c:axId val="1760183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4797607952780367"/>
              <c:y val="0.817455890930300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2068955669"/>
      </c:catAx>
      <c:valAx>
        <c:axId val="20689556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10872941907424665"/>
              <c:y val="0.43182487605715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76018323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Частотность имен</a:t>
            </a:r>
          </a:p>
        </c:rich>
      </c:tx>
      <c:overlay val="0"/>
    </c:title>
    <c:plotArea>
      <c:layout>
        <c:manualLayout>
          <c:xMode val="edge"/>
          <c:yMode val="edge"/>
          <c:x val="0.029700887287152308"/>
          <c:y val="0.28180336832895886"/>
          <c:w val="0.9655576692057224"/>
          <c:h val="0.3466790609507145"/>
        </c:manualLayout>
      </c:layout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'Частотность имен'!$A$4:$A$238</c:f>
            </c:strRef>
          </c:cat>
          <c:val>
            <c:numRef>
              <c:f>'Частотность имен'!$B$4:$B$238</c:f>
              <c:numCache/>
            </c:numRef>
          </c:val>
        </c:ser>
        <c:axId val="2067178958"/>
        <c:axId val="243654669"/>
      </c:barChart>
      <c:catAx>
        <c:axId val="2067178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3654669"/>
      </c:catAx>
      <c:valAx>
        <c:axId val="24365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717895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Платежеспособность по странам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'Платежеспособность'!$B$1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'Платежеспособность'!$A$2:$A$6</c:f>
            </c:strRef>
          </c:cat>
          <c:val>
            <c:numRef>
              <c:f>'Платежеспособность'!$B$2:$B$6</c:f>
              <c:numCache/>
            </c:numRef>
          </c:val>
        </c:ser>
        <c:axId val="1862124419"/>
        <c:axId val="994739742"/>
      </c:barChart>
      <c:catAx>
        <c:axId val="1862124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Страна клиента</a:t>
                </a:r>
              </a:p>
            </c:rich>
          </c:tx>
          <c:layout>
            <c:manualLayout>
              <c:xMode val="edge"/>
              <c:yMode val="edge"/>
              <c:x val="0.025267333984375"/>
              <c:y val="0.884718100890207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739742"/>
      </c:catAx>
      <c:valAx>
        <c:axId val="994739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124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Средний дисконт по магазинам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'Выгода клиентам'!$A$4:$A$23</c:f>
            </c:strRef>
          </c:cat>
          <c:val>
            <c:numRef>
              <c:f>'Выгода клиентам'!$B$4:$B$23</c:f>
              <c:numCache/>
            </c:numRef>
          </c:val>
        </c:ser>
        <c:axId val="1017032699"/>
        <c:axId val="361827172"/>
      </c:barChart>
      <c:catAx>
        <c:axId val="1017032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1827172"/>
      </c:catAx>
      <c:valAx>
        <c:axId val="361827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Дисконт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7032699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erif"/>
              </a:defRPr>
            </a:pPr>
            <a:r>
              <a:rPr b="1" sz="2400">
                <a:solidFill>
                  <a:srgbClr val="000000"/>
                </a:solidFill>
                <a:latin typeface="serif"/>
              </a:rPr>
              <a:t>Динамика продаж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'Продажи магазинов '!$B$2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'Продажи магазинов '!$A$3:$A$17</c:f>
            </c:strRef>
          </c:cat>
          <c:val>
            <c:numRef>
              <c:f>'Продажи магазинов '!$B$3:$B$17</c:f>
              <c:numCache/>
            </c:numRef>
          </c:val>
          <c:smooth val="0"/>
        </c:ser>
        <c:axId val="424787043"/>
        <c:axId val="1710004029"/>
      </c:lineChart>
      <c:catAx>
        <c:axId val="424787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10004029"/>
      </c:catAx>
      <c:valAx>
        <c:axId val="1710004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[$р.-419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24787043"/>
      </c:valAx>
    </c:plotArea>
    <c:legend>
      <c:legendPos val="t"/>
      <c:overlay val="0"/>
      <c:txPr>
        <a:bodyPr/>
        <a:lstStyle/>
        <a:p>
          <a:pPr lvl="0">
            <a:defRPr b="1" i="1" sz="1800">
              <a:solidFill>
                <a:srgbClr val="1A1A1A"/>
              </a:solidFill>
              <a:latin typeface="Arial"/>
            </a:defRPr>
          </a:pPr>
        </a:p>
      </c:txPr>
    </c:legend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GMV по продуктовым сетям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'Суммарные продажи по магазинам'!$A$4:$A$23</c:f>
            </c:strRef>
          </c:cat>
          <c:val>
            <c:numRef>
              <c:f>'Суммарные продажи по магазинам'!$B$4:$B$23</c:f>
              <c:numCache/>
            </c:numRef>
          </c:val>
        </c:ser>
        <c:axId val="227696826"/>
        <c:axId val="815357922"/>
      </c:barChart>
      <c:catAx>
        <c:axId val="227696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5357922"/>
      </c:catAx>
      <c:valAx>
        <c:axId val="8153579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7696826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Сравнение средней цены по поставщикам и категориям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'Средняя цена по поставщикам'!$A$4:$A$81</c:f>
            </c:strRef>
          </c:cat>
          <c:val>
            <c:numRef>
              <c:f>'Средняя цена по поставщикам'!$B$4:$B$81</c:f>
              <c:numCache/>
            </c:numRef>
          </c:val>
        </c:ser>
        <c:axId val="1825224638"/>
        <c:axId val="1376416465"/>
      </c:barChart>
      <c:catAx>
        <c:axId val="1825224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6416465"/>
      </c:catAx>
      <c:valAx>
        <c:axId val="1376416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Средняя стоимость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5224638"/>
      </c:valAx>
    </c:plotArea>
    <c:plotVisOnly val="1"/>
  </c:chart>
  <c:spPr>
    <a:solidFill>
      <a:schemeClr val="lt1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Суммарные продажи по поставщикам</a:t>
            </a:r>
          </a:p>
        </c:rich>
      </c:tx>
      <c:layout>
        <c:manualLayout>
          <c:xMode val="edge"/>
          <c:yMode val="edge"/>
          <c:x val="0.2981209667812519"/>
          <c:y val="0.04586148838117342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'Суммарн продажи по поставщикам'!$A$4:$A$81</c:f>
            </c:strRef>
          </c:cat>
          <c:val>
            <c:numRef>
              <c:f>'Суммарн продажи по поставщикам'!$B$4:$B$81</c:f>
              <c:numCache/>
            </c:numRef>
          </c:val>
        </c:ser>
        <c:axId val="1954329283"/>
        <c:axId val="804233736"/>
      </c:barChart>
      <c:catAx>
        <c:axId val="1954329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4665974912032285"/>
              <c:y val="0.859581454561769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4233736"/>
      </c:catAx>
      <c:valAx>
        <c:axId val="804233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Сумма продаж</a:t>
                </a:r>
              </a:p>
            </c:rich>
          </c:tx>
          <c:layout>
            <c:manualLayout>
              <c:xMode val="edge"/>
              <c:yMode val="edge"/>
              <c:x val="0.007303780032922307"/>
              <c:y val="0.35173688982744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4329283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Количество одного наименования  в чеке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'Среднее кол-во по категории'!$A$4:$A$23</c:f>
            </c:strRef>
          </c:cat>
          <c:val>
            <c:numRef>
              <c:f>'Среднее кол-во по категории'!$B$4:$B$23</c:f>
              <c:numCache/>
            </c:numRef>
          </c:val>
        </c:ser>
        <c:axId val="1744063020"/>
        <c:axId val="1096367549"/>
      </c:barChart>
      <c:catAx>
        <c:axId val="1744063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+mn-lt"/>
                  </a:rPr>
                  <a:t>Категории товара</a:t>
                </a:r>
              </a:p>
            </c:rich>
          </c:tx>
          <c:layout>
            <c:manualLayout>
              <c:xMode val="edge"/>
              <c:yMode val="edge"/>
              <c:x val="0.4542411401146283"/>
              <c:y val="0.888605988396187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6367549"/>
      </c:catAx>
      <c:valAx>
        <c:axId val="1096367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Среднее кол-во в чеке</a:t>
                </a:r>
              </a:p>
            </c:rich>
          </c:tx>
          <c:layout>
            <c:manualLayout>
              <c:xMode val="edge"/>
              <c:yMode val="edge"/>
              <c:x val="0.02008201982924566"/>
              <c:y val="0.256939820570674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4063020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Суммарные продажи по категориям товара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'Суммарные продажи по категориям'!$A$2:$A$21</c:f>
            </c:strRef>
          </c:cat>
          <c:val>
            <c:numRef>
              <c:f>'Суммарные продажи по категориям'!$B$2:$B$21</c:f>
              <c:numCache/>
            </c:numRef>
          </c:val>
        </c:ser>
        <c:axId val="1382356704"/>
        <c:axId val="87196128"/>
      </c:barChart>
      <c:catAx>
        <c:axId val="138235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Категория товара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96128"/>
      </c:catAx>
      <c:valAx>
        <c:axId val="87196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Сумма продаж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356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Платежеспособность по странам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'Платежеспособность'!$B$1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'Платежеспособность'!$A$2:$A$6</c:f>
            </c:strRef>
          </c:cat>
          <c:val>
            <c:numRef>
              <c:f>'Платежеспособность'!$B$2:$B$6</c:f>
              <c:numCache/>
            </c:numRef>
          </c:val>
        </c:ser>
        <c:axId val="1334048571"/>
        <c:axId val="2018197995"/>
      </c:barChart>
      <c:catAx>
        <c:axId val="133404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Страна клиента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197995"/>
      </c:catAx>
      <c:valAx>
        <c:axId val="2018197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048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Количество клиентов по программе лояльности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да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'Клиенты в программе лояльности'!$A$5:$A$9</c:f>
            </c:strRef>
          </c:cat>
          <c:val>
            <c:numRef>
              <c:f>'Клиенты в программе лояльности'!$B$5:$B$9</c:f>
              <c:numCache/>
            </c:numRef>
          </c:val>
        </c:ser>
        <c:ser>
          <c:idx val="1"/>
          <c:order val="1"/>
          <c:tx>
            <c:v>нет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'Клиенты в программе лояльности'!$A$5:$A$9</c:f>
            </c:strRef>
          </c:cat>
          <c:val>
            <c:numRef>
              <c:f>'Клиенты в программе лояльности'!$C$5:$C$9</c:f>
              <c:numCache/>
            </c:numRef>
          </c:val>
        </c:ser>
        <c:axId val="1199429233"/>
        <c:axId val="1804185995"/>
      </c:barChart>
      <c:catAx>
        <c:axId val="1199429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4797607952780367"/>
              <c:y val="0.817455890930300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4185995"/>
      </c:catAx>
      <c:valAx>
        <c:axId val="18041859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10872941907424665"/>
              <c:y val="0.43182487605715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42923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+mn-lt"/>
              </a:defRPr>
            </a:pPr>
            <a:r>
              <a:rPr b="1" i="0" sz="2000">
                <a:solidFill>
                  <a:srgbClr val="000000"/>
                </a:solidFill>
                <a:latin typeface="+mn-lt"/>
              </a:rPr>
              <a:t>Распределение клиентов по странам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'География клиентов'!$A$4:$A$9</c:f>
            </c:strRef>
          </c:cat>
          <c:val>
            <c:numRef>
              <c:f>'География клиентов'!$B$4:$B$9</c:f>
              <c:numCache/>
            </c:numRef>
          </c:val>
        </c:ser>
        <c:axId val="686126912"/>
        <c:axId val="2076985734"/>
      </c:barChart>
      <c:catAx>
        <c:axId val="68612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6985734"/>
      </c:catAx>
      <c:valAx>
        <c:axId val="20769857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6126912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Частотность имен</a:t>
            </a:r>
          </a:p>
        </c:rich>
      </c:tx>
      <c:overlay val="0"/>
    </c:title>
    <c:plotArea>
      <c:layout>
        <c:manualLayout>
          <c:xMode val="edge"/>
          <c:yMode val="edge"/>
          <c:x val="0.029700887287152308"/>
          <c:y val="0.28180336832895886"/>
          <c:w val="0.9655576692057224"/>
          <c:h val="0.3466790609507145"/>
        </c:manualLayout>
      </c:layout>
      <c:barChart>
        <c:barDir val="col"/>
        <c:ser>
          <c:idx val="0"/>
          <c:order val="0"/>
          <c:tx>
            <c:v>Итог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'Частотность имен'!$A$4:$A$238</c:f>
            </c:strRef>
          </c:cat>
          <c:val>
            <c:numRef>
              <c:f>'Частотность имен'!$B$4:$B$238</c:f>
              <c:numCache/>
            </c:numRef>
          </c:val>
        </c:ser>
        <c:axId val="642755490"/>
        <c:axId val="1893508786"/>
      </c:barChart>
      <c:catAx>
        <c:axId val="642755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3508786"/>
      </c:catAx>
      <c:valAx>
        <c:axId val="1893508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755490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9.xml"/><Relationship Id="rId10" Type="http://schemas.openxmlformats.org/officeDocument/2006/relationships/image" Target="../media/Chart10.png"/><Relationship Id="rId12" Type="http://schemas.openxmlformats.org/officeDocument/2006/relationships/chart" Target="../charts/chart10.xml"/><Relationship Id="rId9" Type="http://schemas.openxmlformats.org/officeDocument/2006/relationships/image" Target="../media/Chart9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28575</xdr:rowOff>
    </xdr:from>
    <xdr:ext cx="12192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600075</xdr:colOff>
      <xdr:row>21</xdr:row>
      <xdr:rowOff>28575</xdr:rowOff>
    </xdr:from>
    <xdr:ext cx="12192000" cy="37909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600075</xdr:colOff>
      <xdr:row>42</xdr:row>
      <xdr:rowOff>142875</xdr:rowOff>
    </xdr:from>
    <xdr:ext cx="12192000" cy="34194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600075</xdr:colOff>
      <xdr:row>62</xdr:row>
      <xdr:rowOff>180975</xdr:rowOff>
    </xdr:from>
    <xdr:ext cx="12192000" cy="32480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600075</xdr:colOff>
      <xdr:row>102</xdr:row>
      <xdr:rowOff>133350</xdr:rowOff>
    </xdr:from>
    <xdr:ext cx="12192000" cy="37623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600075</xdr:colOff>
      <xdr:row>124</xdr:row>
      <xdr:rowOff>123825</xdr:rowOff>
    </xdr:from>
    <xdr:ext cx="12192000" cy="31623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600075</xdr:colOff>
      <xdr:row>81</xdr:row>
      <xdr:rowOff>133350</xdr:rowOff>
    </xdr:from>
    <xdr:ext cx="12192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600075</xdr:colOff>
      <xdr:row>144</xdr:row>
      <xdr:rowOff>0</xdr:rowOff>
    </xdr:from>
    <xdr:ext cx="12192000" cy="30575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600075</xdr:colOff>
      <xdr:row>162</xdr:row>
      <xdr:rowOff>152400</xdr:rowOff>
    </xdr:from>
    <xdr:ext cx="12192000" cy="3533775"/>
    <xdr:pic>
      <xdr:nvPicPr>
        <xdr:cNvPr id="1780305572" name="Chart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184</xdr:row>
      <xdr:rowOff>19050</xdr:rowOff>
    </xdr:from>
    <xdr:ext cx="12192000" cy="3533775"/>
    <xdr:pic>
      <xdr:nvPicPr>
        <xdr:cNvPr id="1125144938" name="Chart1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204</xdr:row>
      <xdr:rowOff>152400</xdr:rowOff>
    </xdr:from>
    <xdr:ext cx="12192000" cy="29432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600075</xdr:colOff>
      <xdr:row>222</xdr:row>
      <xdr:rowOff>85725</xdr:rowOff>
    </xdr:from>
    <xdr:ext cx="12192000" cy="320992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</xdr:row>
      <xdr:rowOff>47625</xdr:rowOff>
    </xdr:from>
    <xdr:ext cx="8982075" cy="323850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1</xdr:row>
      <xdr:rowOff>0</xdr:rowOff>
    </xdr:from>
    <xdr:ext cx="9048750" cy="35337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</xdr:row>
      <xdr:rowOff>152400</xdr:rowOff>
    </xdr:from>
    <xdr:ext cx="10506075" cy="43053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7</xdr:row>
      <xdr:rowOff>123825</xdr:rowOff>
    </xdr:from>
    <xdr:ext cx="11229975" cy="31908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180975</xdr:rowOff>
    </xdr:from>
    <xdr:ext cx="9915525" cy="3524250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4</xdr:row>
      <xdr:rowOff>47625</xdr:rowOff>
    </xdr:from>
    <xdr:ext cx="8820150" cy="271462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2</xdr:row>
      <xdr:rowOff>152400</xdr:rowOff>
    </xdr:from>
    <xdr:ext cx="8239125" cy="3533775"/>
    <xdr:pic>
      <xdr:nvPicPr>
        <xdr:cNvPr id="1113094535" name="Chart1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2</xdr:row>
      <xdr:rowOff>47625</xdr:rowOff>
    </xdr:from>
    <xdr:ext cx="9705975" cy="35337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0</xdr:row>
      <xdr:rowOff>47625</xdr:rowOff>
    </xdr:from>
    <xdr:ext cx="7362825" cy="35337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2</xdr:row>
      <xdr:rowOff>123825</xdr:rowOff>
    </xdr:from>
    <xdr:ext cx="9134475" cy="332422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2</xdr:row>
      <xdr:rowOff>9525</xdr:rowOff>
    </xdr:from>
    <xdr:ext cx="8382000" cy="2990850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2</xdr:row>
      <xdr:rowOff>95250</xdr:rowOff>
    </xdr:from>
    <xdr:ext cx="10096500" cy="271462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астасия Алексеева" id="{a2c5985e-8fb4-4c14-8bc1-8d00c2f45589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продажи"/>
  </cacheSource>
  <cacheFields>
    <cacheField name="id чека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id товара" numFmtId="0">
      <sharedItems containsSemiMixedTypes="0" containsString="0" containsNumber="1" containsInteger="1">
        <n v="300.0"/>
        <n v="486.0"/>
        <n v="76.0"/>
        <n v="240.0"/>
        <n v="32.0"/>
        <n v="162.0"/>
        <n v="323.0"/>
        <n v="60.0"/>
        <n v="401.0"/>
        <n v="100.0"/>
        <n v="217.0"/>
        <n v="445.0"/>
        <n v="284.0"/>
        <n v="116.0"/>
        <n v="378.0"/>
        <n v="299.0"/>
        <n v="359.0"/>
        <n v="337.0"/>
        <n v="226.0"/>
        <n v="310.0"/>
        <n v="137.0"/>
        <n v="385.0"/>
        <n v="451.0"/>
        <n v="7.0"/>
        <n v="495.0"/>
        <n v="415.0"/>
        <n v="176.0"/>
        <n v="181.0"/>
        <n v="399.0"/>
        <n v="382.0"/>
        <n v="103.0"/>
        <n v="104.0"/>
        <n v="213.0"/>
        <n v="157.0"/>
        <n v="237.0"/>
        <n v="8.0"/>
        <n v="65.0"/>
        <n v="45.0"/>
        <n v="36.0"/>
        <n v="443.0"/>
        <n v="384.0"/>
        <n v="41.0"/>
        <n v="484.0"/>
        <n v="390.0"/>
        <n v="57.0"/>
        <n v="285.0"/>
        <n v="444.0"/>
        <n v="35.0"/>
        <n v="296.0"/>
        <n v="227.0"/>
        <n v="167.0"/>
        <n v="146.0"/>
        <n v="338.0"/>
        <n v="155.0"/>
        <n v="239.0"/>
        <n v="158.0"/>
        <n v="147.0"/>
        <n v="311.0"/>
        <n v="465.0"/>
        <n v="449.0"/>
        <n v="144.0"/>
        <n v="375.0"/>
        <n v="408.0"/>
        <n v="425.0"/>
        <n v="277.0"/>
        <n v="130.0"/>
        <n v="30.0"/>
        <n v="75.0"/>
        <n v="118.0"/>
        <n v="19.0"/>
        <n v="204.0"/>
        <n v="304.0"/>
        <n v="189.0"/>
        <n v="392.0"/>
        <n v="10.0"/>
        <n v="64.0"/>
        <n v="334.0"/>
        <n v="345.0"/>
        <n v="281.0"/>
        <n v="276.0"/>
        <n v="234.0"/>
        <n v="319.0"/>
        <n v="24.0"/>
        <n v="357.0"/>
        <n v="265.0"/>
        <n v="102.0"/>
        <n v="212.0"/>
        <n v="215.0"/>
        <n v="364.0"/>
        <n v="499.0"/>
        <n v="202.0"/>
        <n v="244.0"/>
        <n v="363.0"/>
        <n v="434.0"/>
        <n v="305.0"/>
        <n v="37.0"/>
        <n v="242.0"/>
        <n v="332.0"/>
        <n v="452.0"/>
        <n v="132.0"/>
        <n v="457.0"/>
        <n v="250.0"/>
        <n v="195.0"/>
        <n v="186.0"/>
        <n v="490.0"/>
        <n v="72.0"/>
        <n v="430.0"/>
        <n v="223.0"/>
        <n v="164.0"/>
        <n v="393.0"/>
        <n v="166.0"/>
        <n v="249.0"/>
        <n v="83.0"/>
        <n v="236.0"/>
        <n v="379.0"/>
        <n v="431.0"/>
        <n v="463.0"/>
        <n v="494.0"/>
        <n v="394.0"/>
        <n v="380.0"/>
        <n v="309.0"/>
        <n v="112.0"/>
        <n v="81.0"/>
        <n v="4.0"/>
        <n v="209.0"/>
        <n v="156.0"/>
        <n v="441.0"/>
        <n v="180.0"/>
        <n v="438.0"/>
        <n v="232.0"/>
        <n v="206.0"/>
        <n v="295.0"/>
        <n v="221.0"/>
        <n v="333.0"/>
        <n v="498.0"/>
        <n v="476.0"/>
        <n v="126.0"/>
        <n v="255.0"/>
        <n v="138.0"/>
        <n v="403.0"/>
        <n v="280.0"/>
        <n v="356.0"/>
        <n v="282.0"/>
        <n v="459.0"/>
        <n v="402.0"/>
        <n v="320.0"/>
        <n v="447.0"/>
        <n v="406.0"/>
        <n v="391.0"/>
        <n v="82.0"/>
        <n v="243.0"/>
        <n v="432.0"/>
        <n v="159.0"/>
        <n v="197.0"/>
        <n v="110.0"/>
        <n v="288.0"/>
        <n v="493.0"/>
        <n v="446.0"/>
        <n v="428.0"/>
        <n v="192.0"/>
        <n v="69.0"/>
        <n v="270.0"/>
        <n v="348.0"/>
        <n v="321.0"/>
        <n v="341.0"/>
        <n v="473.0"/>
        <n v="482.0"/>
        <n v="169.0"/>
        <n v="397.0"/>
        <n v="436.0"/>
        <n v="369.0"/>
        <n v="361.0"/>
        <n v="87.0"/>
        <n v="376.0"/>
        <n v="111.0"/>
        <n v="344.0"/>
        <n v="462.0"/>
        <n v="279.0"/>
        <n v="322.0"/>
        <n v="317.0"/>
        <n v="25.0"/>
        <n v="410.0"/>
        <n v="207.0"/>
        <n v="131.0"/>
        <n v="96.0"/>
        <n v="268.0"/>
        <n v="358.0"/>
        <n v="160.0"/>
        <n v="23.0"/>
        <n v="49.0"/>
        <n v="485.0"/>
        <n v="40.0"/>
        <n v="275.0"/>
        <n v="205.0"/>
        <n v="219.0"/>
        <n v="435.0"/>
        <n v="26.0"/>
        <n v="273.0"/>
        <n v="340.0"/>
        <n v="34.0"/>
        <n v="117.0"/>
        <n v="201.0"/>
        <n v="377.0"/>
        <n v="251.0"/>
        <n v="409.0"/>
        <n v="422.0"/>
        <n v="222.0"/>
        <n v="497.0"/>
        <n v="351.0"/>
        <n v="464.0"/>
        <n v="241.0"/>
        <n v="258.0"/>
        <n v="216.0"/>
        <n v="272.0"/>
        <n v="225.0"/>
        <n v="467.0"/>
        <n v="139.0"/>
        <n v="404.0"/>
        <n v="328.0"/>
        <n v="424.0"/>
        <n v="86.0"/>
        <n v="17.0"/>
        <n v="43.0"/>
        <n v="5.0"/>
        <n v="298.0"/>
        <n v="421.0"/>
        <n v="483.0"/>
        <n v="414.0"/>
        <n v="389.0"/>
        <n v="367.0"/>
        <n v="128.0"/>
        <n v="368.0"/>
        <n v="74.0"/>
        <n v="149.0"/>
        <n v="229.0"/>
        <n v="28.0"/>
        <n v="260.0"/>
        <n v="140.0"/>
        <n v="67.0"/>
        <n v="448.0"/>
        <n v="331.0"/>
        <n v="325.0"/>
        <n v="346.0"/>
        <n v="115.0"/>
        <n v="360.0"/>
        <n v="230.0"/>
        <n v="353.0"/>
        <n v="188.0"/>
        <n v="405.0"/>
        <n v="99.0"/>
        <n v="196.0"/>
        <n v="271.0"/>
        <n v="210.0"/>
        <n v="178.0"/>
        <n v="423.0"/>
        <n v="70.0"/>
        <n v="335.0"/>
        <n v="427.0"/>
        <n v="303.0"/>
        <n v="398.0"/>
        <n v="290.0"/>
        <n v="386.0"/>
        <n v="350.0"/>
        <n v="329.0"/>
        <n v="233.0"/>
        <n v="293.0"/>
        <n v="286.0"/>
        <n v="11.0"/>
        <n v="142.0"/>
        <n v="466.0"/>
        <n v="71.0"/>
        <n v="480.0"/>
        <n v="129.0"/>
        <n v="283.0"/>
        <n v="313.0"/>
        <n v="18.0"/>
        <n v="145.0"/>
        <n v="491.0"/>
        <n v="29.0"/>
        <n v="50.0"/>
        <n v="336.0"/>
        <n v="440.0"/>
        <n v="51.0"/>
        <n v="371.0"/>
        <n v="14.0"/>
        <n v="312.0"/>
        <n v="477.0"/>
        <n v="91.0"/>
        <n v="52.0"/>
        <n v="383.0"/>
        <n v="252.0"/>
        <n v="365.0"/>
        <n v="420.0"/>
        <n v="97.0"/>
        <n v="47.0"/>
        <n v="187.0"/>
        <n v="429.0"/>
        <n v="93.0"/>
        <n v="198.0"/>
        <n v="362.0"/>
        <n v="461.0"/>
        <n v="84.0"/>
        <n v="172.0"/>
        <n v="171.0"/>
        <n v="194.0"/>
        <n v="235.0"/>
        <n v="458.0"/>
        <n v="193.0"/>
        <n v="450.0"/>
        <n v="163.0"/>
        <n v="12.0"/>
        <n v="61.0"/>
        <n v="15.0"/>
        <n v="90.0"/>
        <n v="396.0"/>
        <n v="481.0"/>
        <n v="246.0"/>
        <n v="174.0"/>
        <n v="479.0"/>
        <n v="224.0"/>
        <n v="42.0"/>
        <n v="267.0"/>
        <n v="161.0"/>
        <n v="315.0"/>
        <n v="121.0"/>
        <n v="433.0"/>
        <n v="453.0"/>
        <n v="248.0"/>
        <n v="492.0"/>
        <n v="122.0"/>
        <n v="62.0"/>
        <n v="119.0"/>
        <n v="388.0"/>
        <n v="66.0"/>
        <n v="125.0"/>
        <n v="274.0"/>
        <n v="471.0"/>
        <n v="395.0"/>
        <n v="474.0"/>
        <n v="63.0"/>
        <n v="89.0"/>
        <n v="27.0"/>
        <n v="127.0"/>
        <n v="426.0"/>
        <n v="355.0"/>
        <n v="113.0"/>
        <n v="291.0"/>
        <n v="182.0"/>
        <n v="105.0"/>
        <n v="199.0"/>
        <n v="211.0"/>
        <n v="22.0"/>
        <n v="150.0"/>
        <n v="191.0"/>
        <n v="245.0"/>
        <n v="154.0"/>
        <n v="266.0"/>
        <n v="143.0"/>
        <n v="475.0"/>
        <n v="292.0"/>
        <n v="307.0"/>
        <n v="39.0"/>
        <n v="316.0"/>
        <n v="228.0"/>
        <n v="269.0"/>
        <n v="151.0"/>
        <n v="101.0"/>
        <n v="411.0"/>
        <n v="381.0"/>
        <n v="400.0"/>
        <n v="55.0"/>
        <n v="372.0"/>
        <n v="80.0"/>
        <n v="413.0"/>
        <n v="46.0"/>
        <n v="1.0"/>
        <n v="478.0"/>
        <n v="456.0"/>
        <n v="38.0"/>
        <n v="134.0"/>
        <n v="77.0"/>
        <n v="455.0"/>
        <n v="218.0"/>
        <n v="263.0"/>
        <n v="254.0"/>
        <n v="370.0"/>
        <n v="301.0"/>
        <n v="259.0"/>
        <n v="468.0"/>
        <n v="200.0"/>
        <n v="354.0"/>
        <n v="460.0"/>
        <n v="184.0"/>
        <n v="308.0"/>
        <n v="407.0"/>
        <n v="148.0"/>
        <n v="152.0"/>
        <n v="326.0"/>
        <n v="352.0"/>
        <n v="44.0"/>
        <n v="183.0"/>
        <n v="88.0"/>
        <n v="347.0"/>
        <n v="342.0"/>
        <n v="59.0"/>
        <n v="16.0"/>
        <n v="220.0"/>
        <n v="439.0"/>
        <n v="437.0"/>
        <n v="73.0"/>
        <n v="208.0"/>
        <n v="6.0"/>
        <n v="318.0"/>
        <n v="327.0"/>
        <n v="416.0"/>
        <n v="374.0"/>
        <n v="289.0"/>
        <n v="173.0"/>
        <n v="114.0"/>
        <n v="170.0"/>
        <n v="9.0"/>
        <n v="302.0"/>
        <n v="48.0"/>
        <n v="3.0"/>
        <n v="168.0"/>
        <n v="13.0"/>
        <n v="141.0"/>
        <n v="120.0"/>
        <n v="418.0"/>
        <n v="294.0"/>
        <n v="175.0"/>
        <n v="469.0"/>
      </sharedItems>
    </cacheField>
    <cacheField name="цена за шт в рублях" numFmtId="0">
      <sharedItems containsSemiMixedTypes="0" containsString="0" containsNumber="1" containsInteger="1">
        <n v="103.0"/>
        <n v="296.0"/>
        <n v="139.0"/>
        <n v="141.0"/>
        <n v="123.0"/>
        <n v="452.0"/>
        <n v="149.0"/>
        <n v="489.0"/>
        <n v="416.0"/>
        <n v="449.0"/>
        <n v="109.0"/>
        <n v="213.0"/>
        <n v="190.0"/>
        <n v="237.0"/>
        <n v="178.0"/>
        <n v="320.0"/>
        <n v="419.0"/>
        <n v="458.0"/>
        <n v="152.0"/>
        <n v="352.0"/>
        <n v="228.0"/>
        <n v="161.0"/>
        <n v="362.0"/>
        <n v="312.0"/>
        <n v="311.0"/>
        <n v="220.0"/>
        <n v="476.0"/>
        <n v="198.0"/>
        <n v="254.0"/>
        <n v="351.0"/>
        <n v="387.0"/>
        <n v="55.0"/>
        <n v="336.0"/>
        <n v="480.0"/>
        <n v="214.0"/>
        <n v="60.0"/>
        <n v="414.0"/>
        <n v="62.0"/>
        <n v="357.0"/>
        <n v="493.0"/>
        <n v="305.0"/>
        <n v="162.0"/>
        <n v="78.0"/>
        <n v="343.0"/>
        <n v="498.0"/>
        <n v="133.0"/>
        <n v="242.0"/>
        <n v="101.0"/>
        <n v="65.0"/>
        <n v="143.0"/>
        <n v="402.0"/>
        <n v="97.0"/>
        <n v="482.0"/>
        <n v="59.0"/>
        <n v="87.0"/>
        <n v="238.0"/>
        <n v="392.0"/>
        <n v="473.0"/>
        <n v="231.0"/>
        <n v="438.0"/>
        <n v="365.0"/>
        <n v="324.0"/>
        <n v="208.0"/>
        <n v="115.0"/>
        <n v="261.0"/>
        <n v="257.0"/>
        <n v="459.0"/>
        <n v="112.0"/>
        <n v="491.0"/>
        <n v="278.0"/>
        <n v="484.0"/>
        <n v="53.0"/>
        <n v="131.0"/>
        <n v="120.0"/>
        <n v="396.0"/>
        <n v="267.0"/>
        <n v="371.0"/>
        <n v="295.0"/>
        <n v="75.0"/>
        <n v="247.0"/>
        <n v="281.0"/>
        <n v="136.0"/>
        <n v="142.0"/>
        <n v="206.0"/>
        <n v="66.0"/>
        <n v="175.0"/>
        <n v="323.0"/>
        <n v="96.0"/>
        <n v="422.0"/>
        <n v="57.0"/>
        <n v="272.0"/>
        <n v="478.0"/>
        <n v="333.0"/>
        <n v="327.0"/>
        <n v="89.0"/>
        <n v="211.0"/>
        <n v="240.0"/>
        <n v="244.0"/>
        <n v="219.0"/>
        <n v="119.0"/>
        <n v="174.0"/>
        <n v="229.0"/>
        <n v="411.0"/>
        <n v="245.0"/>
        <n v="113.0"/>
        <n v="73.0"/>
        <n v="368.0"/>
        <n v="221.0"/>
        <n v="442.0"/>
        <n v="465.0"/>
        <n v="380.0"/>
        <n v="313.0"/>
        <n v="348.0"/>
        <n v="349.0"/>
        <n v="379.0"/>
        <n v="448.0"/>
        <n v="173.0"/>
        <n v="304.0"/>
        <n v="344.0"/>
        <n v="470.0"/>
        <n v="116.0"/>
        <n v="314.0"/>
        <n v="284.0"/>
        <n v="332.0"/>
        <n v="239.0"/>
        <n v="86.0"/>
        <n v="154.0"/>
        <n v="230.0"/>
        <n v="88.0"/>
        <n v="477.0"/>
        <n v="74.0"/>
        <n v="430.0"/>
        <n v="286.0"/>
        <n v="273.0"/>
        <n v="279.0"/>
        <n v="210.0"/>
        <n v="192.0"/>
        <n v="373.0"/>
        <n v="315.0"/>
        <n v="321.0"/>
        <n v="189.0"/>
        <n v="405.0"/>
        <n v="426.0"/>
        <n v="271.0"/>
        <n v="356.0"/>
        <n v="233.0"/>
        <n v="494.0"/>
        <n v="177.0"/>
        <n v="114.0"/>
        <n v="427.0"/>
        <n v="376.0"/>
        <n v="51.0"/>
        <n v="316.0"/>
        <n v="156.0"/>
        <n v="215.0"/>
        <n v="497.0"/>
        <n v="194.0"/>
        <n v="171.0"/>
        <n v="386.0"/>
        <n v="148.0"/>
        <n v="291.0"/>
        <n v="339.0"/>
        <n v="487.0"/>
        <n v="335.0"/>
        <n v="172.0"/>
        <n v="104.0"/>
        <n v="433.0"/>
        <n v="79.0"/>
        <n v="181.0"/>
        <n v="196.0"/>
        <n v="125.0"/>
        <n v="472.0"/>
        <n v="163.0"/>
        <n v="70.0"/>
        <n v="417.0"/>
        <n v="345.0"/>
        <n v="81.0"/>
        <n v="184.0"/>
        <n v="288.0"/>
        <n v="292.0"/>
        <n v="243.0"/>
        <n v="382.0"/>
        <n v="308.0"/>
        <n v="82.0"/>
        <n v="117.0"/>
        <n v="474.0"/>
        <n v="334.0"/>
        <n v="282.0"/>
        <n v="499.0"/>
        <n v="170.0"/>
        <n v="52.0"/>
        <n v="450.0"/>
        <n v="366.0"/>
        <n v="102.0"/>
        <n v="355.0"/>
        <n v="403.0"/>
        <n v="294.0"/>
        <n v="299.0"/>
        <n v="500.0"/>
        <n v="412.0"/>
        <n v="155.0"/>
        <n v="290.0"/>
        <n v="326.0"/>
        <n v="420.0"/>
        <n v="71.0"/>
        <n v="400.0"/>
        <n v="217.0"/>
        <n v="428.0"/>
        <n v="83.0"/>
        <n v="488.0"/>
        <n v="421.0"/>
        <n v="232.0"/>
        <n v="93.0"/>
        <n v="157.0"/>
        <n v="363.0"/>
        <n v="289.0"/>
        <n v="226.0"/>
        <n v="253.0"/>
        <n v="457.0"/>
        <n v="145.0"/>
        <n v="467.0"/>
        <n v="124.0"/>
        <n v="406.0"/>
        <n v="76.0"/>
        <n v="466.0"/>
        <n v="265.0"/>
        <n v="397.0"/>
        <n v="359.0"/>
        <n v="168.0"/>
        <n v="106.0"/>
        <n v="204.0"/>
        <n v="317.0"/>
        <n v="99.0"/>
        <n v="479.0"/>
        <n v="463.0"/>
        <n v="431.0"/>
        <n v="455.0"/>
        <n v="176.0"/>
        <n v="212.0"/>
        <n v="389.0"/>
        <n v="222.0"/>
        <n v="100.0"/>
        <n v="92.0"/>
        <n v="179.0"/>
        <n v="209.0"/>
        <n v="486.0"/>
        <n v="218.0"/>
        <n v="68.0"/>
        <n v="404.0"/>
        <n v="193.0"/>
        <n v="424.0"/>
        <n v="147.0"/>
        <n v="319.0"/>
        <n v="361.0"/>
        <n v="187.0"/>
        <n v="122.0"/>
        <n v="199.0"/>
        <n v="160.0"/>
        <n v="325.0"/>
        <n v="425.0"/>
        <n v="227.0"/>
        <n v="235.0"/>
        <n v="107.0"/>
        <n v="50.0"/>
        <n v="269.0"/>
        <n v="385.0"/>
        <n v="64.0"/>
        <n v="223.0"/>
        <n v="91.0"/>
        <n v="61.0"/>
        <n v="95.0"/>
        <n v="469.0"/>
        <n v="275.0"/>
        <n v="129.0"/>
        <n v="164.0"/>
        <n v="201.0"/>
        <n v="251.0"/>
        <n v="443.0"/>
        <n v="234.0"/>
        <n v="260.0"/>
        <n v="203.0"/>
        <n v="413.0"/>
        <n v="435.0"/>
        <n v="303.0"/>
        <n v="429.0"/>
        <n v="127.0"/>
        <n v="390.0"/>
        <n v="298.0"/>
        <n v="471.0"/>
        <n v="185.0"/>
        <n v="67.0"/>
        <n v="358.0"/>
        <n v="464.0"/>
        <n v="307.0"/>
        <n v="121.0"/>
        <n v="451.0"/>
        <n v="407.0"/>
        <n v="338.0"/>
        <n v="268.0"/>
        <n v="216.0"/>
        <n v="94.0"/>
        <n v="309.0"/>
        <n v="118.0"/>
        <n v="322.0"/>
        <n v="328.0"/>
        <n v="276.0"/>
        <n v="134.0"/>
        <n v="436.0"/>
        <n v="318.0"/>
        <n v="183.0"/>
        <n v="58.0"/>
        <n v="461.0"/>
        <n v="293.0"/>
        <n v="63.0"/>
        <n v="432.0"/>
        <n v="301.0"/>
        <n v="225.0"/>
        <n v="110.0"/>
        <n v="77.0"/>
        <n v="158.0"/>
        <n v="263.0"/>
        <n v="369.0"/>
        <n v="258.0"/>
        <n v="370.0"/>
        <n v="454.0"/>
        <n v="492.0"/>
        <n v="384.0"/>
        <n v="383.0"/>
        <n v="340.0"/>
        <n v="378.0"/>
        <n v="69.0"/>
        <n v="137.0"/>
        <n v="496.0"/>
        <n v="302.0"/>
        <n v="138.0"/>
        <n v="350.0"/>
        <n v="347.0"/>
        <n v="144.0"/>
        <n v="132.0"/>
        <n v="151.0"/>
        <n v="105.0"/>
        <n v="207.0"/>
        <n v="440.0"/>
        <n v="453.0"/>
        <n v="375.0"/>
        <n v="374.0"/>
        <n v="456.0"/>
        <n v="388.0"/>
        <n v="300.0"/>
        <n v="415.0"/>
        <n v="84.0"/>
        <n v="166.0"/>
        <n v="252.0"/>
        <n v="485.0"/>
        <n v="150.0"/>
        <n v="135.0"/>
        <n v="277.0"/>
        <n v="169.0"/>
        <n v="342.0"/>
        <n v="248.0"/>
        <n v="202.0"/>
        <n v="72.0"/>
        <n v="191.0"/>
        <n v="394.0"/>
        <n v="126.0"/>
        <n v="54.0"/>
        <n v="490.0"/>
        <n v="439.0"/>
        <n v="274.0"/>
        <n v="140.0"/>
        <n v="353.0"/>
        <n v="80.0"/>
        <n v="90.0"/>
        <n v="167.0"/>
        <n v="310.0"/>
        <n v="98.0"/>
        <n v="241.0"/>
        <n v="182.0"/>
        <n v="441.0"/>
        <n v="423.0"/>
        <n v="111.0"/>
        <n v="306.0"/>
        <n v="391.0"/>
        <n v="398.0"/>
        <n v="445.0"/>
        <n v="197.0"/>
        <n v="146.0"/>
        <n v="337.0"/>
        <n v="437.0"/>
        <n v="205.0"/>
        <n v="270.0"/>
        <n v="280.0"/>
        <n v="259.0"/>
        <n v="246.0"/>
        <n v="180.0"/>
        <n v="200.0"/>
        <n v="401.0"/>
        <n v="468.0"/>
        <n v="283.0"/>
      </sharedItems>
    </cacheField>
    <cacheField name="кол-во штук в чеке" numFmtId="0">
      <sharedItems containsSemiMixedTypes="0" containsString="0" containsNumber="1" containsInteger="1">
        <n v="4.0"/>
        <n v="3.0"/>
        <n v="5.0"/>
        <n v="2.0"/>
        <n v="1.0"/>
      </sharedItems>
    </cacheField>
    <cacheField name="Сумма чека" numFmtId="0">
      <sharedItems containsSemiMixedTypes="0" containsString="0" containsNumber="1" containsInteger="1">
        <n v="412.0"/>
        <n v="888.0"/>
        <n v="695.0"/>
        <n v="705.0"/>
        <n v="246.0"/>
        <n v="904.0"/>
        <n v="745.0"/>
        <n v="1956.0"/>
        <n v="2080.0"/>
        <n v="898.0"/>
        <n v="592.0"/>
        <n v="545.0"/>
        <n v="639.0"/>
        <n v="760.0"/>
        <n v="237.0"/>
        <n v="534.0"/>
        <n v="1600.0"/>
        <n v="838.0"/>
        <n v="950.0"/>
        <n v="916.0"/>
        <n v="304.0"/>
        <n v="704.0"/>
        <n v="456.0"/>
        <n v="644.0"/>
        <n v="362.0"/>
        <n v="312.0"/>
        <n v="1555.0"/>
        <n v="220.0"/>
        <n v="1904.0"/>
        <n v="190.0"/>
        <n v="990.0"/>
        <n v="762.0"/>
        <n v="351.0"/>
        <n v="387.0"/>
        <n v="110.0"/>
        <n v="336.0"/>
        <n v="1920.0"/>
        <n v="642.0"/>
        <n v="120.0"/>
        <n v="1242.0"/>
        <n v="186.0"/>
        <n v="357.0"/>
        <n v="1479.0"/>
        <n v="610.0"/>
        <n v="648.0"/>
        <n v="78.0"/>
        <n v="1715.0"/>
        <n v="1992.0"/>
        <n v="133.0"/>
        <n v="1244.0"/>
        <n v="484.0"/>
        <n v="303.0"/>
        <n v="65.0"/>
        <n v="429.0"/>
        <n v="2010.0"/>
        <n v="97.0"/>
        <n v="482.0"/>
        <n v="59.0"/>
        <n v="348.0"/>
        <n v="1190.0"/>
        <n v="622.0"/>
        <n v="1176.0"/>
        <n v="2365.0"/>
        <n v="462.0"/>
        <n v="1314.0"/>
        <n v="730.0"/>
        <n v="1040.0"/>
        <n v="345.0"/>
        <n v="261.0"/>
        <n v="514.0"/>
        <n v="918.0"/>
        <n v="448.0"/>
        <n v="1964.0"/>
        <n v="162.0"/>
        <n v="556.0"/>
        <n v="1936.0"/>
        <n v="53.0"/>
        <n v="655.0"/>
        <n v="240.0"/>
        <n v="1584.0"/>
        <n v="1335.0"/>
        <n v="371.0"/>
        <n v="295.0"/>
        <n v="375.0"/>
        <n v="494.0"/>
        <n v="562.0"/>
        <n v="272.0"/>
        <n v="710.0"/>
        <n v="414.0"/>
        <n v="66.0"/>
        <n v="452.0"/>
        <n v="175.0"/>
        <n v="109.0"/>
        <n v="646.0"/>
        <n v="96.0"/>
        <n v="844.0"/>
        <n v="171.0"/>
        <n v="1656.0"/>
        <n v="544.0"/>
        <n v="1676.0"/>
        <n v="1912.0"/>
        <n v="999.0"/>
        <n v="654.0"/>
        <n v="267.0"/>
        <n v="234.0"/>
        <n v="834.0"/>
        <n v="485.0"/>
        <n v="480.0"/>
        <n v="244.0"/>
        <n v="219.0"/>
        <n v="687.0"/>
        <n v="2055.0"/>
        <n v="980.0"/>
        <n v="565.0"/>
        <n v="292.0"/>
        <n v="736.0"/>
        <n v="1105.0"/>
        <n v="2210.0"/>
        <n v="465.0"/>
        <n v="380.0"/>
        <n v="313.0"/>
        <n v="696.0"/>
        <n v="349.0"/>
        <n v="1895.0"/>
        <n v="1792.0"/>
        <n v="346.0"/>
        <n v="912.0"/>
        <n v="1720.0"/>
        <n v="1880.0"/>
        <n v="498.0"/>
        <n v="1053.0"/>
        <n v="116.0"/>
        <n v="1256.0"/>
        <n v="1420.0"/>
        <n v="332.0"/>
        <n v="478.0"/>
        <n v="344.0"/>
        <n v="616.0"/>
        <n v="436.0"/>
        <n v="365.0"/>
        <n v="920.0"/>
        <n v="352.0"/>
        <n v="1908.0"/>
        <n v="148.0"/>
        <n v="2150.0"/>
        <n v="572.0"/>
        <n v="819.0"/>
        <n v="837.0"/>
        <n v="420.0"/>
        <n v="229.0"/>
        <n v="384.0"/>
        <n v="373.0"/>
        <n v="945.0"/>
        <n v="1605.0"/>
        <n v="378.0"/>
        <n v="1215.0"/>
        <n v="852.0"/>
        <n v="271.0"/>
        <n v="426.0"/>
        <n v="712.0"/>
        <n v="466.0"/>
        <n v="2470.0"/>
        <n v="915.0"/>
        <n v="692.0"/>
        <n v="354.0"/>
        <n v="342.0"/>
        <n v="1281.0"/>
        <n v="376.0"/>
        <n v="102.0"/>
        <n v="632.0"/>
        <n v="156.0"/>
        <n v="215.0"/>
        <n v="257.0"/>
        <n v="1491.0"/>
        <n v="230.0"/>
        <n v="368.0"/>
        <n v="582.0"/>
        <n v="684.0"/>
        <n v="1930.0"/>
        <n v="74.0"/>
        <n v="245.0"/>
        <n v="1356.0"/>
        <n v="487.0"/>
        <n v="1675.0"/>
        <n v="428.0"/>
        <n v="1808.0"/>
        <n v="860.0"/>
        <n v="416.0"/>
        <n v="1732.0"/>
        <n v="395.0"/>
        <n v="181.0"/>
        <n v="588.0"/>
        <n v="174.0"/>
        <n v="1068.0"/>
        <n v="625.0"/>
        <n v="2360.0"/>
        <n v="489.0"/>
        <n v="70.0"/>
        <n v="1668.0"/>
        <n v="392.0"/>
        <n v="1448.0"/>
        <n v="1725.0"/>
        <n v="243.0"/>
        <n v="388.0"/>
        <n v="172.0"/>
        <n v="576.0"/>
        <n v="522.0"/>
        <n v="876.0"/>
        <n v="729.0"/>
        <n v="1910.0"/>
        <n v="308.0"/>
        <n v="1428.0"/>
        <n v="82.0"/>
        <n v="585.0"/>
        <n v="2370.0"/>
        <n v="668.0"/>
        <n v="1100.0"/>
        <n v="1410.0"/>
        <n v="2495.0"/>
        <n v="170.0"/>
        <n v="52.0"/>
        <n v="780.0"/>
        <n v="1350.0"/>
        <n v="1464.0"/>
        <n v="210.0"/>
        <n v="1516.0"/>
        <n v="408.0"/>
        <n v="1900.0"/>
        <n v="1775.0"/>
        <n v="1612.0"/>
        <n v="101.0"/>
        <n v="294.0"/>
        <n v="299.0"/>
        <n v="698.0"/>
        <n v="1000.0"/>
        <n v="774.0"/>
        <n v="824.0"/>
        <n v="775.0"/>
        <n v="214.0"/>
        <n v="870.0"/>
        <n v="542.0"/>
        <n v="652.0"/>
        <n v="840.0"/>
        <n v="284.0"/>
        <n v="1200.0"/>
        <n v="218.0"/>
        <n v="217.0"/>
        <n v="104.0"/>
        <n v="1712.0"/>
        <n v="249.0"/>
        <n v="339.0"/>
        <n v="884.0"/>
        <n v="2105.0"/>
        <n v="279.0"/>
        <n v="785.0"/>
        <n v="1452.0"/>
        <n v="1445.0"/>
        <n v="1305.0"/>
        <n v="759.0"/>
        <n v="1371.0"/>
        <n v="325.0"/>
        <n v="960.0"/>
        <n v="580.0"/>
        <n v="2335.0"/>
        <n v="496.0"/>
        <n v="1218.0"/>
        <n v="1325.0"/>
        <n v="794.0"/>
        <n v="718.0"/>
        <n v="672.0"/>
        <n v="624.0"/>
        <n v="1467.0"/>
        <n v="318.0"/>
        <n v="612.0"/>
        <n v="1268.0"/>
        <n v="442.0"/>
        <n v="264.0"/>
        <n v="198.0"/>
        <n v="890.0"/>
        <n v="897.0"/>
        <n v="479.0"/>
        <n v="1389.0"/>
        <n v="1293.0"/>
        <n v="213.0"/>
        <n v="2275.0"/>
        <n v="528.0"/>
        <n v="636.0"/>
        <n v="1945.0"/>
        <n v="255.0"/>
        <n v="666.0"/>
        <n v="100.0"/>
        <n v="382.0"/>
        <n v="1116.0"/>
        <n v="184.0"/>
        <n v="895.0"/>
        <n v="836.0"/>
        <n v="2430.0"/>
        <n v="123.0"/>
        <n v="179.0"/>
        <n v="51.0"/>
        <n v="1960.0"/>
        <n v="1365.0"/>
        <n v="154.0"/>
        <n v="404.0"/>
        <n v="193.0"/>
        <n v="1280.0"/>
        <n v="2350.0"/>
        <n v="1272.0"/>
        <n v="957.0"/>
        <n v="958.0"/>
        <n v="905.0"/>
        <n v="1805.0"/>
        <n v="254.0"/>
        <n v="748.0"/>
        <n v="620.0"/>
        <n v="956.0"/>
        <n v="880.0"/>
        <n v="716.0"/>
        <n v="796.0"/>
        <n v="519.0"/>
        <n v="314.0"/>
        <n v="640.0"/>
        <n v="650.0"/>
        <n v="457.0"/>
        <n v="2125.0"/>
        <n v="500.0"/>
        <n v="681.0"/>
        <n v="2130.0"/>
        <n v="386.0"/>
        <n v="470.0"/>
        <n v="321.0"/>
        <n v="250.0"/>
        <n v="1345.0"/>
        <n v="1540.0"/>
        <n v="320.0"/>
        <n v="446.0"/>
        <n v="1377.0"/>
        <n v="113.0"/>
        <n v="455.0"/>
        <n v="305.0"/>
        <n v="938.0"/>
        <n v="474.0"/>
        <n v="825.0"/>
        <n v="129.0"/>
        <n v="1996.0"/>
        <n v="328.0"/>
        <n v="795.0"/>
        <n v="1544.0"/>
        <n v="1440.0"/>
        <n v="1005.0"/>
        <n v="1084.0"/>
        <n v="627.0"/>
        <n v="251.0"/>
        <n v="1772.0"/>
        <n v="1300.0"/>
        <n v="812.0"/>
        <n v="502.0"/>
        <n v="630.0"/>
        <n v="324.0"/>
        <n v="826.0"/>
        <n v="816.0"/>
        <n v="435.0"/>
        <n v="606.0"/>
        <n v="693.0"/>
        <n v="1716.0"/>
        <n v="50.0"/>
        <n v="127.0"/>
        <n v="1170.0"/>
        <n v="596.0"/>
        <n v="1413.0"/>
        <n v="801.0"/>
        <n v="114.0"/>
        <n v="147.0"/>
        <n v="370.0"/>
        <n v="1752.0"/>
        <n v="201.0"/>
        <n v="948.0"/>
        <n v="1432.0"/>
        <n v="1329.0"/>
        <n v="928.0"/>
        <n v="1535.0"/>
        <n v="605.0"/>
        <n v="530.0"/>
        <n v="902.0"/>
        <n v="1060.0"/>
        <n v="1344.0"/>
        <n v="814.0"/>
        <n v="1236.0"/>
        <n v="508.0"/>
        <n v="1014.0"/>
        <n v="1340.0"/>
        <n v="379.0"/>
        <n v="1876.0"/>
        <n v="282.0"/>
        <n v="1976.0"/>
        <n v="1545.0"/>
        <n v="118.0"/>
        <n v="966.0"/>
        <n v="1312.0"/>
        <n v="552.0"/>
        <n v="340.0"/>
        <n v="89.0"/>
        <n v="134.0"/>
        <n v="1590.0"/>
        <n v="183.0"/>
        <n v="896.0"/>
        <n v="232.0"/>
        <n v="486.0"/>
        <n v="964.0"/>
        <n v="256.0"/>
        <n v="1383.0"/>
        <n v="732.0"/>
        <n v="832.0"/>
        <n v="879.0"/>
        <n v="63.0"/>
        <n v="2160.0"/>
        <n v="1972.0"/>
        <n v="872.0"/>
        <n v="2060.0"/>
        <n v="1204.0"/>
        <n v="564.0"/>
        <n v="926.0"/>
        <n v="1296.0"/>
        <n v="476.0"/>
        <n v="225.0"/>
        <n v="322.0"/>
        <n v="440.0"/>
        <n v="316.0"/>
        <n v="664.0"/>
        <n v="130.0"/>
        <n v="2445.0"/>
        <n v="77.0"/>
        <n v="310.0"/>
        <n v="858.0"/>
        <n v="460.0"/>
        <n v="790.0"/>
        <n v="994.0"/>
        <n v="1052.0"/>
        <n v="670.0"/>
        <n v="927.0"/>
        <n v="2295.0"/>
        <n v="88.0"/>
        <n v="158.0"/>
        <n v="738.0"/>
        <n v="107.0"/>
        <n v="1032.0"/>
        <n v="935.0"/>
        <n v="468.0"/>
        <n v="1104.0"/>
        <n v="1850.0"/>
        <n v="142.0"/>
        <n v="1416.0"/>
        <n v="260.0"/>
        <n v="2270.0"/>
        <n v="1950.0"/>
        <n v="1988.0"/>
        <n v="984.0"/>
        <n v="449.0"/>
        <n v="768.0"/>
        <n v="1424.0"/>
        <n v="438.0"/>
        <n v="1160.0"/>
        <n v="766.0"/>
        <n v="2095.0"/>
        <n v="69.0"/>
        <n v="274.0"/>
        <n v="850.0"/>
        <n v="992.0"/>
        <n v="411.0"/>
        <n v="1208.0"/>
        <n v="187.0"/>
        <n v="942.0"/>
        <n v="516.0"/>
        <n v="1928.0"/>
        <n v="350.0"/>
        <n v="222.0"/>
        <n v="1352.0"/>
        <n v="286.0"/>
        <n v="651.0"/>
        <n v="1041.0"/>
        <n v="568.0"/>
        <n v="459.0"/>
        <n v="58.0"/>
        <n v="930.0"/>
        <n v="152.0"/>
        <n v="1434.0"/>
        <n v="75.0"/>
        <n v="735.0"/>
        <n v="1616.0"/>
        <n v="361.0"/>
        <n v="2020.0"/>
        <n v="396.0"/>
        <n v="1332.0"/>
        <n v="604.0"/>
        <n v="618.0"/>
        <n v="1450.0"/>
        <n v="1620.0"/>
        <n v="1405.0"/>
        <n v="1035.0"/>
        <n v="756.0"/>
        <n v="1635.0"/>
        <n v="407.0"/>
        <n v="711.0"/>
        <n v="1359.0"/>
        <n v="750.0"/>
        <n v="1870.0"/>
        <n v="1284.0"/>
        <n v="1368.0"/>
        <n v="988.0"/>
        <n v="1552.0"/>
        <n v="1488.0"/>
        <n v="885.0"/>
        <n v="301.0"/>
        <n v="293.0"/>
        <n v="764.0"/>
        <n v="1184.0"/>
        <n v="690.0"/>
        <n v="1113.0"/>
        <n v="441.0"/>
        <n v="2200.0"/>
        <n v="908.0"/>
        <n v="1660.0"/>
        <n v="784.0"/>
        <n v="356.0"/>
        <n v="830.0"/>
        <n v="1984.0"/>
        <n v="1285.0"/>
        <n v="952.0"/>
        <n v="464.0"/>
        <n v="1940.0"/>
        <n v="300.0"/>
        <n v="1896.0"/>
        <n v="270.0"/>
        <n v="1385.0"/>
        <n v="2135.0"/>
        <n v="676.0"/>
        <n v="1140.0"/>
        <n v="1026.0"/>
        <n v="1260.0"/>
        <n v="946.0"/>
        <n v="1029.0"/>
        <n v="309.0"/>
        <n v="1290.0"/>
        <n v="1010.0"/>
        <n v="155.0"/>
        <n v="360.0"/>
        <n v="955.0"/>
        <n v="724.0"/>
        <n v="1970.0"/>
        <n v="2250.0"/>
        <n v="323.0"/>
        <n v="2485.0"/>
        <n v="144.0"/>
        <n v="291.0"/>
        <n v="504.0"/>
        <n v="108.0"/>
        <n v="600.0"/>
        <n v="932.0"/>
        <n v="1812.0"/>
        <n v="285.0"/>
        <n v="326.0"/>
        <n v="490.0"/>
        <n v="475.0"/>
        <n v="1510.0"/>
        <n v="2195.0"/>
        <n v="680.0"/>
        <n v="1096.0"/>
        <n v="567.0"/>
        <n v="2320.0"/>
        <n v="700.0"/>
        <n v="706.0"/>
        <n v="400.0"/>
        <n v="1240.0"/>
        <n v="1050.0"/>
        <n v="67.0"/>
        <n v="1470.0"/>
        <n v="808.0"/>
        <n v="196.0"/>
        <n v="417.0"/>
        <n v="910.0"/>
        <n v="364.0"/>
        <n v="1015.0"/>
        <n v="515.0"/>
        <n v="688.0"/>
        <n v="1308.0"/>
        <n v="1017.0"/>
        <n v="1044.0"/>
        <n v="1192.0"/>
        <n v="882.0"/>
        <n v="1664.0"/>
        <n v="1548.0"/>
        <n v="302.0"/>
        <n v="471.0"/>
        <n v="275.0"/>
        <n v="1175.0"/>
        <n v="1916.0"/>
        <n v="1108.0"/>
        <n v="635.0"/>
        <n v="2115.0"/>
        <n v="940.0"/>
        <n v="996.0"/>
        <n v="431.0"/>
        <n v="1528.0"/>
        <n v="281.0"/>
        <n v="444.0"/>
        <n v="1530.0"/>
        <n v="391.0"/>
        <n v="252.0"/>
        <n v="1592.0"/>
        <n v="200.0"/>
        <n v="402.0"/>
        <n v="226.0"/>
        <n v="73.0"/>
        <n v="194.0"/>
        <n v="2225.0"/>
        <n v="265.0"/>
        <n v="1076.0"/>
        <n v="810.0"/>
        <n v="394.0"/>
        <n v="1220.0"/>
        <n v="513.0"/>
        <n v="1398.0"/>
        <n v="289.0"/>
        <n v="573.0"/>
        <n v="986.0"/>
        <n v="1695.0"/>
        <n v="1264.0"/>
        <n v="1136.0"/>
        <n v="868.0"/>
        <n v="363.0"/>
        <n v="560.0"/>
        <n v="590.0"/>
        <n v="419.0"/>
        <n v="146.0"/>
        <n v="758.0"/>
        <n v="804.0"/>
        <n v="1011.0"/>
        <n v="160.0"/>
        <n v="985.0"/>
        <n v="874.0"/>
        <n v="410.0"/>
        <n v="1095.0"/>
        <n v="1269.0"/>
        <n v="540.0"/>
        <n v="1112.0"/>
        <n v="2380.0"/>
        <n v="280.0"/>
        <n v="315.0"/>
        <n v="353.0"/>
        <n v="397.0"/>
        <n v="177.0"/>
        <n v="1648.0"/>
        <n v="558.0"/>
        <n v="472.0"/>
        <n v="720.0"/>
        <n v="1482.0"/>
        <n v="355.0"/>
        <n v="488.0"/>
        <n v="848.0"/>
        <n v="1145.0"/>
        <n v="1295.0"/>
        <n v="921.0"/>
        <n v="334.0"/>
        <n v="1059.0"/>
        <n v="2355.0"/>
        <n v="939.0"/>
        <n v="1360.0"/>
        <n v="296.0"/>
        <n v="782.0"/>
        <n v="800.0"/>
        <n v="2100.0"/>
        <n v="278.0"/>
        <n v="1455.0"/>
        <n v="1436.0"/>
        <n v="594.0"/>
        <n v="103.0"/>
        <n v="802.0"/>
        <n v="139.0"/>
        <n v="1520.0"/>
        <n v="445.0"/>
        <n v="1415.0"/>
        <n v="1836.0"/>
        <n v="976.0"/>
        <n v="598.0"/>
        <n v="1263.0"/>
        <n v="453.0"/>
      </sharedItems>
    </cacheField>
    <cacheField name="дата создания чека" numFmtId="14">
      <sharedItems containsSemiMixedTypes="0" containsDate="1" containsString="0">
        <d v="2023-09-18T00:00:00Z"/>
        <d v="2023-06-06T00:00:00Z"/>
        <d v="2024-03-12T00:00:00Z"/>
        <d v="2023-12-02T00:00:00Z"/>
        <d v="2023-08-13T00:00:00Z"/>
        <d v="2023-12-21T00:00:00Z"/>
        <d v="2024-02-27T00:00:00Z"/>
        <d v="2024-02-05T00:00:00Z"/>
        <d v="2024-03-25T00:00:00Z"/>
        <d v="2023-04-16T00:00:00Z"/>
        <d v="2023-07-29T00:00:00Z"/>
        <d v="2024-04-12T00:00:00Z"/>
        <d v="2023-12-06T00:00:00Z"/>
        <d v="2023-07-26T00:00:00Z"/>
        <d v="2023-02-15T00:00:00Z"/>
        <d v="2023-02-23T00:00:00Z"/>
        <d v="2023-10-17T00:00:00Z"/>
        <d v="2023-07-09T00:00:00Z"/>
        <d v="2023-05-12T00:00:00Z"/>
        <d v="2023-08-20T00:00:00Z"/>
        <d v="2023-11-14T00:00:00Z"/>
        <d v="2023-07-16T00:00:00Z"/>
        <d v="2023-04-11T00:00:00Z"/>
        <d v="2023-02-09T00:00:00Z"/>
        <d v="2024-02-04T00:00:00Z"/>
        <d v="2023-09-05T00:00:00Z"/>
        <d v="2023-06-22T00:00:00Z"/>
        <d v="2024-03-17T00:00:00Z"/>
        <d v="2023-04-24T00:00:00Z"/>
        <d v="2024-05-02T00:00:00Z"/>
        <d v="2023-07-18T00:00:00Z"/>
        <d v="2024-03-01T00:00:00Z"/>
        <d v="2023-03-12T00:00:00Z"/>
        <d v="2023-12-07T00:00:00Z"/>
        <d v="2024-03-30T00:00:00Z"/>
        <d v="2023-02-14T00:00:00Z"/>
        <d v="2023-01-21T00:00:00Z"/>
        <d v="2023-07-22T00:00:00Z"/>
        <d v="2024-04-24T00:00:00Z"/>
        <d v="2023-07-10T00:00:00Z"/>
        <d v="2023-09-25T00:00:00Z"/>
        <d v="2023-09-27T00:00:00Z"/>
        <d v="2023-06-27T00:00:00Z"/>
        <d v="2023-11-04T00:00:00Z"/>
        <d v="2024-04-05T00:00:00Z"/>
        <d v="2023-02-19T00:00:00Z"/>
        <d v="2023-05-17T00:00:00Z"/>
        <d v="2023-10-09T00:00:00Z"/>
        <d v="2024-04-16T00:00:00Z"/>
        <d v="2023-11-09T00:00:00Z"/>
        <d v="2023-06-03T00:00:00Z"/>
        <d v="2024-01-17T00:00:00Z"/>
        <d v="2023-11-16T00:00:00Z"/>
        <d v="2024-03-05T00:00:00Z"/>
        <d v="2024-04-18T00:00:00Z"/>
        <d v="2023-10-15T00:00:00Z"/>
        <d v="2024-05-11T00:00:00Z"/>
        <d v="2023-02-24T00:00:00Z"/>
        <d v="2023-11-15T00:00:00Z"/>
        <d v="2023-01-08T00:00:00Z"/>
        <d v="2023-12-20T00:00:00Z"/>
        <d v="2023-07-07T00:00:00Z"/>
        <d v="2023-02-16T00:00:00Z"/>
        <d v="2023-03-04T00:00:00Z"/>
        <d v="2023-12-27T00:00:00Z"/>
        <d v="2023-02-18T00:00:00Z"/>
        <d v="2023-04-30T00:00:00Z"/>
        <d v="2023-03-15T00:00:00Z"/>
        <d v="2024-01-15T00:00:00Z"/>
        <d v="2023-03-08T00:00:00Z"/>
        <d v="2024-03-09T00:00:00Z"/>
        <d v="2023-01-04T00:00:00Z"/>
        <d v="2024-01-25T00:00:00Z"/>
        <d v="2023-07-02T00:00:00Z"/>
        <d v="2024-01-11T00:00:00Z"/>
        <d v="2023-08-26T00:00:00Z"/>
        <d v="2023-01-20T00:00:00Z"/>
        <d v="2023-09-04T00:00:00Z"/>
        <d v="2023-03-19T00:00:00Z"/>
        <d v="2023-12-12T00:00:00Z"/>
        <d v="2023-01-13T00:00:00Z"/>
        <d v="2023-09-20T00:00:00Z"/>
        <d v="2023-06-02T00:00:00Z"/>
        <d v="2023-01-01T00:00:00Z"/>
        <d v="2023-10-27T00:00:00Z"/>
        <d v="2024-04-06T00:00:00Z"/>
        <d v="2024-05-12T00:00:00Z"/>
        <d v="2023-09-14T00:00:00Z"/>
        <d v="2023-10-19T00:00:00Z"/>
        <d v="2023-12-30T00:00:00Z"/>
        <d v="2023-11-05T00:00:00Z"/>
        <d v="2023-09-28T00:00:00Z"/>
        <d v="2023-01-16T00:00:00Z"/>
        <d v="2023-05-31T00:00:00Z"/>
        <d v="2024-02-09T00:00:00Z"/>
        <d v="2023-10-11T00:00:00Z"/>
        <d v="2023-06-05T00:00:00Z"/>
        <d v="2023-09-02T00:00:00Z"/>
        <d v="2023-11-29T00:00:00Z"/>
        <d v="2023-06-18T00:00:00Z"/>
        <d v="2023-04-17T00:00:00Z"/>
        <d v="2023-12-25T00:00:00Z"/>
        <d v="2023-03-28T00:00:00Z"/>
        <d v="2023-04-23T00:00:00Z"/>
        <d v="2023-12-17T00:00:00Z"/>
        <d v="2023-09-07T00:00:00Z"/>
        <d v="2023-01-22T00:00:00Z"/>
        <d v="2023-02-02T00:00:00Z"/>
        <d v="2023-11-11T00:00:00Z"/>
        <d v="2024-02-16T00:00:00Z"/>
        <d v="2024-02-21T00:00:00Z"/>
        <d v="2023-02-03T00:00:00Z"/>
        <d v="2024-05-21T00:00:00Z"/>
        <d v="2024-01-22T00:00:00Z"/>
        <d v="2024-03-10T00:00:00Z"/>
        <d v="2023-04-09T00:00:00Z"/>
        <d v="2024-03-28T00:00:00Z"/>
        <d v="2023-11-30T00:00:00Z"/>
        <d v="2023-03-24T00:00:00Z"/>
        <d v="2023-04-13T00:00:00Z"/>
        <d v="2024-04-02T00:00:00Z"/>
        <d v="2024-01-23T00:00:00Z"/>
        <d v="2024-05-22T00:00:00Z"/>
        <d v="2023-04-22T00:00:00Z"/>
        <d v="2023-05-24T00:00:00Z"/>
        <d v="2023-07-03T00:00:00Z"/>
        <d v="2024-03-21T00:00:00Z"/>
        <d v="2024-02-14T00:00:00Z"/>
        <d v="2023-08-29T00:00:00Z"/>
        <d v="2023-05-23T00:00:00Z"/>
        <d v="2023-06-26T00:00:00Z"/>
        <d v="2023-12-04T00:00:00Z"/>
        <d v="2024-01-19T00:00:00Z"/>
        <d v="2023-03-05T00:00:00Z"/>
        <d v="2023-09-16T00:00:00Z"/>
        <d v="2023-08-15T00:00:00Z"/>
        <d v="2023-06-29T00:00:00Z"/>
        <d v="2023-05-05T00:00:00Z"/>
        <d v="2023-06-04T00:00:00Z"/>
        <d v="2023-03-27T00:00:00Z"/>
        <d v="2023-03-06T00:00:00Z"/>
        <d v="2023-12-23T00:00:00Z"/>
        <d v="2023-12-31T00:00:00Z"/>
        <d v="2023-10-03T00:00:00Z"/>
        <d v="2023-01-23T00:00:00Z"/>
        <d v="2024-04-30T00:00:00Z"/>
        <d v="2023-04-25T00:00:00Z"/>
        <d v="2024-02-19T00:00:00Z"/>
        <d v="2023-12-29T00:00:00Z"/>
        <d v="2023-09-06T00:00:00Z"/>
        <d v="2024-03-18T00:00:00Z"/>
        <d v="2024-03-02T00:00:00Z"/>
        <d v="2024-05-01T00:00:00Z"/>
        <d v="2023-08-27T00:00:00Z"/>
        <d v="2024-02-03T00:00:00Z"/>
        <d v="2023-10-13T00:00:00Z"/>
        <d v="2023-11-23T00:00:00Z"/>
        <d v="2024-05-09T00:00:00Z"/>
        <d v="2024-04-29T00:00:00Z"/>
        <d v="2024-01-18T00:00:00Z"/>
        <d v="2023-06-07T00:00:00Z"/>
        <d v="2023-02-12T00:00:00Z"/>
        <d v="2023-12-16T00:00:00Z"/>
        <d v="2024-03-29T00:00:00Z"/>
        <d v="2023-09-24T00:00:00Z"/>
        <d v="2024-02-13T00:00:00Z"/>
        <d v="2023-11-25T00:00:00Z"/>
        <d v="2023-02-10T00:00:00Z"/>
        <d v="2023-03-25T00:00:00Z"/>
        <d v="2023-09-09T00:00:00Z"/>
        <d v="2023-11-21T00:00:00Z"/>
        <d v="2023-04-03T00:00:00Z"/>
        <d v="2023-02-26T00:00:00Z"/>
        <d v="2023-04-15T00:00:00Z"/>
        <d v="2023-06-15T00:00:00Z"/>
        <d v="2023-06-28T00:00:00Z"/>
        <d v="2023-12-05T00:00:00Z"/>
        <d v="2023-07-01T00:00:00Z"/>
        <d v="2024-03-20T00:00:00Z"/>
        <d v="2023-04-06T00:00:00Z"/>
        <d v="2023-04-02T00:00:00Z"/>
        <d v="2023-12-22T00:00:00Z"/>
        <d v="2023-10-25T00:00:00Z"/>
        <d v="2023-09-26T00:00:00Z"/>
        <d v="2023-08-01T00:00:00Z"/>
        <d v="2023-05-30T00:00:00Z"/>
        <d v="2023-03-20T00:00:00Z"/>
        <d v="2024-02-29T00:00:00Z"/>
        <d v="2024-05-18T00:00:00Z"/>
        <d v="2024-05-15T00:00:00Z"/>
        <d v="2024-04-27T00:00:00Z"/>
        <d v="2023-08-09T00:00:00Z"/>
        <d v="2023-03-11T00:00:00Z"/>
        <d v="2024-04-14T00:00:00Z"/>
        <d v="2023-05-13T00:00:00Z"/>
        <d v="2023-03-02T00:00:00Z"/>
        <d v="2024-03-14T00:00:00Z"/>
        <d v="2024-01-31T00:00:00Z"/>
        <d v="2023-05-11T00:00:00Z"/>
        <d v="2023-03-26T00:00:00Z"/>
        <d v="2023-04-12T00:00:00Z"/>
        <d v="2023-03-21T00:00:00Z"/>
        <d v="2024-01-09T00:00:00Z"/>
        <d v="2023-01-25T00:00:00Z"/>
        <d v="2024-04-23T00:00:00Z"/>
        <d v="2023-02-04T00:00:00Z"/>
        <d v="2023-01-07T00:00:00Z"/>
        <d v="2023-12-01T00:00:00Z"/>
        <d v="2024-02-07T00:00:00Z"/>
        <d v="2024-02-15T00:00:00Z"/>
        <d v="2023-04-29T00:00:00Z"/>
        <d v="2023-08-19T00:00:00Z"/>
        <d v="2023-01-19T00:00:00Z"/>
        <d v="2023-08-04T00:00:00Z"/>
        <d v="2023-04-21T00:00:00Z"/>
        <d v="2023-11-20T00:00:00Z"/>
        <d v="2024-05-04T00:00:00Z"/>
        <d v="2023-09-30T00:00:00Z"/>
        <d v="2023-08-28T00:00:00Z"/>
        <d v="2023-07-19T00:00:00Z"/>
        <d v="2024-04-09T00:00:00Z"/>
        <d v="2024-04-10T00:00:00Z"/>
        <d v="2024-03-11T00:00:00Z"/>
        <d v="2023-03-16T00:00:00Z"/>
        <d v="2023-01-17T00:00:00Z"/>
        <d v="2023-02-28T00:00:00Z"/>
        <d v="2024-02-01T00:00:00Z"/>
        <d v="2024-01-08T00:00:00Z"/>
        <d v="2023-05-21T00:00:00Z"/>
        <d v="2023-06-30T00:00:00Z"/>
        <d v="2023-02-27T00:00:00Z"/>
        <d v="2023-09-23T00:00:00Z"/>
        <d v="2023-01-10T00:00:00Z"/>
        <d v="2023-08-30T00:00:00Z"/>
        <d v="2023-01-29T00:00:00Z"/>
        <d v="2024-01-06T00:00:00Z"/>
        <d v="2023-10-23T00:00:00Z"/>
        <d v="2023-10-12T00:00:00Z"/>
        <d v="2023-09-15T00:00:00Z"/>
        <d v="2023-05-18T00:00:00Z"/>
        <d v="2023-11-28T00:00:00Z"/>
        <d v="2023-12-19T00:00:00Z"/>
        <d v="2023-06-10T00:00:00Z"/>
        <d v="2024-03-19T00:00:00Z"/>
        <d v="2023-11-13T00:00:00Z"/>
        <d v="2024-03-15T00:00:00Z"/>
        <d v="2023-06-25T00:00:00Z"/>
        <d v="2023-08-23T00:00:00Z"/>
        <d v="2023-09-13T00:00:00Z"/>
        <d v="2023-10-28T00:00:00Z"/>
        <d v="2023-11-02T00:00:00Z"/>
        <d v="2023-06-14T00:00:00Z"/>
        <d v="2024-02-28T00:00:00Z"/>
        <d v="2024-02-24T00:00:00Z"/>
        <d v="2023-01-12T00:00:00Z"/>
        <d v="2023-04-20T00:00:00Z"/>
        <d v="2023-10-18T00:00:00Z"/>
        <d v="2024-01-01T00:00:00Z"/>
        <d v="2024-04-03T00:00:00Z"/>
        <d v="2023-05-08T00:00:00Z"/>
        <d v="2023-12-14T00:00:00Z"/>
        <d v="2023-01-06T00:00:00Z"/>
        <d v="2024-03-23T00:00:00Z"/>
        <d v="2023-05-29T00:00:00Z"/>
        <d v="2023-08-22T00:00:00Z"/>
        <d v="2023-07-25T00:00:00Z"/>
        <d v="2023-06-21T00:00:00Z"/>
        <d v="2023-10-08T00:00:00Z"/>
        <d v="2023-05-06T00:00:00Z"/>
        <d v="2023-02-25T00:00:00Z"/>
        <d v="2024-02-18T00:00:00Z"/>
        <d v="2023-11-24T00:00:00Z"/>
        <d v="2024-02-20T00:00:00Z"/>
        <d v="2024-03-22T00:00:00Z"/>
        <d v="2024-02-10T00:00:00Z"/>
        <d v="2024-03-24T00:00:00Z"/>
        <d v="2023-01-02T00:00:00Z"/>
        <d v="2023-11-01T00:00:00Z"/>
        <d v="2023-07-17T00:00:00Z"/>
        <d v="2023-08-07T00:00:00Z"/>
        <d v="2024-02-26T00:00:00Z"/>
        <d v="2023-11-03T00:00:00Z"/>
        <d v="2023-10-06T00:00:00Z"/>
        <d v="2024-03-06T00:00:00Z"/>
        <d v="2023-01-28T00:00:00Z"/>
        <d v="2023-03-01T00:00:00Z"/>
        <d v="2023-01-05T00:00:00Z"/>
        <d v="2023-09-29T00:00:00Z"/>
        <d v="2024-03-26T00:00:00Z"/>
        <d v="2023-05-28T00:00:00Z"/>
        <d v="2023-07-13T00:00:00Z"/>
        <d v="2023-05-20T00:00:00Z"/>
        <d v="2023-10-07T00:00:00Z"/>
        <d v="2024-05-13T00:00:00Z"/>
        <d v="2023-11-26T00:00:00Z"/>
        <d v="2023-03-22T00:00:00Z"/>
        <d v="2023-01-09T00:00:00Z"/>
        <d v="2023-03-23T00:00:00Z"/>
        <d v="2023-10-20T00:00:00Z"/>
        <d v="2024-01-21T00:00:00Z"/>
        <d v="2024-04-28T00:00:00Z"/>
        <d v="2024-05-08T00:00:00Z"/>
        <d v="2023-10-14T00:00:00Z"/>
        <d v="2023-08-18T00:00:00Z"/>
        <d v="2023-04-05T00:00:00Z"/>
        <d v="2023-12-11T00:00:00Z"/>
        <d v="2024-04-26T00:00:00Z"/>
        <d v="2023-09-19T00:00:00Z"/>
        <d v="2023-03-18T00:00:00Z"/>
        <d v="2023-06-17T00:00:00Z"/>
        <d v="2024-01-13T00:00:00Z"/>
        <d v="2024-04-07T00:00:00Z"/>
        <d v="2023-06-01T00:00:00Z"/>
        <d v="2024-04-25T00:00:00Z"/>
        <d v="2024-02-22T00:00:00Z"/>
        <d v="2023-07-24T00:00:00Z"/>
        <d v="2024-01-10T00:00:00Z"/>
        <d v="2024-03-08T00:00:00Z"/>
        <d v="2023-08-17T00:00:00Z"/>
        <d v="2023-11-17T00:00:00Z"/>
        <d v="2024-03-31T00:00:00Z"/>
        <d v="2024-01-26T00:00:00Z"/>
        <d v="2023-12-09T00:00:00Z"/>
        <d v="2024-03-13T00:00:00Z"/>
        <d v="2023-02-08T00:00:00Z"/>
        <d v="2023-03-31T00:00:00Z"/>
        <d v="2024-01-20T00:00:00Z"/>
        <d v="2023-09-08T00:00:00Z"/>
        <d v="2023-12-24T00:00:00Z"/>
        <d v="2023-07-14T00:00:00Z"/>
        <d v="2024-04-15T00:00:00Z"/>
        <d v="2023-03-17T00:00:00Z"/>
        <d v="2023-05-01T00:00:00Z"/>
        <d v="2024-02-08T00:00:00Z"/>
        <d v="2023-10-04T00:00:00Z"/>
        <d v="2024-03-04T00:00:00Z"/>
        <d v="2024-03-27T00:00:00Z"/>
        <d v="2024-04-04T00:00:00Z"/>
        <d v="2023-09-17T00:00:00Z"/>
        <d v="2023-05-27T00:00:00Z"/>
        <d v="2023-12-03T00:00:00Z"/>
        <d v="2023-08-08T00:00:00Z"/>
        <d v="2023-01-24T00:00:00Z"/>
        <d v="2023-04-07T00:00:00Z"/>
        <d v="2023-07-30T00:00:00Z"/>
        <d v="2023-09-12T00:00:00Z"/>
        <d v="2023-06-11T00:00:00Z"/>
        <d v="2023-02-01T00:00:00Z"/>
        <d v="2023-07-05T00:00:00Z"/>
        <d v="2023-05-09T00:00:00Z"/>
        <d v="2023-12-18T00:00:00Z"/>
        <d v="2024-04-20T00:00:00Z"/>
        <d v="2023-09-22T00:00:00Z"/>
        <d v="2023-05-15T00:00:00Z"/>
        <d v="2023-03-14T00:00:00Z"/>
        <d v="2024-04-11T00:00:00Z"/>
        <d v="2024-01-27T00:00:00Z"/>
        <d v="2023-05-07T00:00:00Z"/>
        <d v="2024-04-22T00:00:00Z"/>
        <d v="2023-08-10T00:00:00Z"/>
        <d v="2024-05-17T00:00:00Z"/>
        <d v="2023-10-24T00:00:00Z"/>
        <d v="2024-03-07T00:00:00Z"/>
        <d v="2023-01-03T00:00:00Z"/>
        <d v="2023-02-22T00:00:00Z"/>
        <d v="2023-08-12T00:00:00Z"/>
        <d v="2023-03-29T00:00:00Z"/>
        <d v="2023-07-06T00:00:00Z"/>
        <d v="2024-01-04T00:00:00Z"/>
        <d v="2023-12-26T00:00:00Z"/>
        <d v="2023-12-28T00:00:00Z"/>
        <d v="2024-02-02T00:00:00Z"/>
        <d v="2023-06-09T00:00:00Z"/>
        <d v="2024-05-03T00:00:00Z"/>
        <d v="2024-01-02T00:00:00Z"/>
        <d v="2023-08-02T00:00:00Z"/>
        <d v="2023-08-05T00:00:00Z"/>
        <d v="2023-10-30T00:00:00Z"/>
        <d v="2023-01-18T00:00:00Z"/>
        <d v="2024-05-19T00:00:00Z"/>
        <d v="2024-01-24T00:00:00Z"/>
        <d v="2023-07-15T00:00:00Z"/>
        <d v="2023-04-04T00:00:00Z"/>
        <d v="2023-03-07T00:00:00Z"/>
        <d v="2024-01-05T00:00:00Z"/>
        <d v="2023-02-07T00:00:00Z"/>
        <d v="2023-04-01T00:00:00Z"/>
        <d v="2024-05-10T00:00:00Z"/>
        <d v="2023-06-23T00:00:00Z"/>
        <d v="2023-08-06T00:00:00Z"/>
        <d v="2023-07-27T00:00:00Z"/>
        <d v="2023-05-19T00:00:00Z"/>
        <d v="2024-01-12T00:00:00Z"/>
        <d v="2023-04-18T00:00:00Z"/>
        <d v="2024-04-08T00:00:00Z"/>
        <d v="2023-11-07T00:00:00Z"/>
        <d v="2023-05-16T00:00:00Z"/>
        <d v="2024-01-07T00:00:00Z"/>
        <d v="2023-05-10T00:00:00Z"/>
        <d v="2024-02-11T00:00:00Z"/>
        <d v="2023-08-25T00:00:00Z"/>
        <d v="2023-11-06T00:00:00Z"/>
        <d v="2023-10-31T00:00:00Z"/>
        <d v="2023-12-15T00:00:00Z"/>
        <d v="2024-01-03T00:00:00Z"/>
        <d v="2024-05-07T00:00:00Z"/>
        <d v="2023-07-21T00:00:00Z"/>
        <d v="2024-01-28T00:00:00Z"/>
        <d v="2024-04-13T00:00:00Z"/>
        <d v="2023-08-21T00:00:00Z"/>
        <d v="2023-05-14T00:00:00Z"/>
        <d v="2023-06-16T00:00:00Z"/>
        <d v="2023-08-16T00:00:00Z"/>
        <d v="2024-01-29T00:00:00Z"/>
        <d v="2023-07-28T00:00:00Z"/>
        <d v="2023-05-04T00:00:00Z"/>
        <d v="2023-11-10T00:00:00Z"/>
        <d v="2023-07-04T00:00:00Z"/>
        <d v="2023-02-13T00:00:00Z"/>
        <d v="2024-04-19T00:00:00Z"/>
        <d v="2023-01-11T00:00:00Z"/>
        <d v="2023-04-14T00:00:00Z"/>
        <d v="2023-06-24T00:00:00Z"/>
        <d v="2023-02-05T00:00:00Z"/>
        <d v="2024-02-17T00:00:00Z"/>
        <d v="2023-04-10T00:00:00Z"/>
        <d v="2023-06-20T00:00:00Z"/>
        <d v="2023-11-08T00:00:00Z"/>
        <d v="2023-05-26T00:00:00Z"/>
        <d v="2023-11-22T00:00:00Z"/>
        <d v="2023-07-31T00:00:00Z"/>
        <d v="2023-01-14T00:00:00Z"/>
        <d v="2023-11-19T00:00:00Z"/>
        <d v="2023-03-10T00:00:00Z"/>
        <d v="2023-12-13T00:00:00Z"/>
        <d v="2023-11-18T00:00:00Z"/>
      </sharedItems>
    </cacheField>
    <cacheField name="магазин покупки" numFmtId="0">
      <sharedItems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>
        <n v="315.0"/>
        <n v="253.0"/>
        <n v="12.0"/>
        <n v="116.0"/>
        <n v="471.0"/>
        <n v="374.0"/>
        <n v="477.0"/>
        <n v="335.0"/>
        <n v="350.0"/>
        <n v="413.0"/>
        <n v="495.0"/>
        <n v="353.0"/>
        <n v="332.0"/>
        <n v="414.0"/>
        <n v="236.0"/>
        <n v="164.0"/>
        <n v="490.0"/>
        <n v="223.0"/>
        <n v="204.0"/>
        <n v="481.0"/>
        <n v="363.0"/>
        <n v="397.0"/>
        <n v="280.0"/>
        <n v="39.0"/>
        <n v="303.0"/>
        <n v="422.0"/>
        <n v="24.0"/>
        <n v="112.0"/>
        <n v="451.0"/>
        <n v="131.0"/>
        <n v="160.0"/>
        <n v="408.0"/>
        <n v="324.0"/>
        <n v="310.0"/>
        <n v="179.0"/>
        <n v="64.0"/>
        <n v="318.0"/>
        <n v="239.0"/>
        <n v="194.0"/>
        <n v="267.0"/>
        <n v="334.0"/>
        <n v="47.0"/>
        <n v="287.0"/>
        <n v="145.0"/>
        <n v="270.0"/>
        <n v="183.0"/>
        <n v="2.0"/>
        <n v="229.0"/>
        <n v="385.0"/>
        <n v="407.0"/>
        <n v="493.0"/>
        <n v="34.0"/>
        <n v="190.0"/>
        <n v="266.0"/>
        <n v="222.0"/>
        <n v="382.0"/>
        <n v="142.0"/>
        <n v="150.0"/>
        <n v="14.0"/>
        <n v="371.0"/>
        <n v="328.0"/>
        <n v="171.0"/>
        <n v="68.0"/>
        <n v="346.0"/>
        <n v="415.0"/>
        <n v="115.0"/>
        <n v="42.0"/>
        <n v="378.0"/>
        <n v="449.0"/>
        <n v="317.0"/>
        <n v="426.0"/>
        <n v="25.0"/>
        <n v="462.0"/>
        <n v="252.0"/>
        <n v="392.0"/>
        <n v="487.0"/>
        <n v="134.0"/>
        <n v="11.0"/>
        <n v="458.0"/>
        <n v="130.0"/>
        <n v="330.0"/>
        <n v="167.0"/>
        <n v="140.0"/>
        <n v="423.0"/>
        <n v="365.0"/>
        <n v="452.0"/>
        <n v="424.0"/>
        <n v="75.0"/>
        <n v="71.0"/>
        <n v="313.0"/>
        <n v="301.0"/>
        <n v="359.0"/>
        <n v="474.0"/>
        <n v="111.0"/>
        <n v="126.0"/>
        <n v="356.0"/>
        <n v="166.0"/>
        <n v="162.0"/>
        <n v="459.0"/>
        <n v="211.0"/>
        <n v="132.0"/>
        <n v="333.0"/>
        <n v="298.0"/>
        <n v="273.0"/>
        <n v="321.0"/>
        <n v="119.0"/>
        <n v="472.0"/>
        <n v="396.0"/>
        <n v="269.0"/>
        <n v="16.0"/>
        <n v="281.0"/>
        <n v="149.0"/>
        <n v="380.0"/>
        <n v="114.0"/>
        <n v="381.0"/>
        <n v="342.0"/>
        <n v="276.0"/>
        <n v="293.0"/>
        <n v="386.0"/>
        <n v="362.0"/>
        <n v="283.0"/>
        <n v="388.0"/>
        <n v="437.0"/>
        <n v="450.0"/>
        <n v="136.0"/>
        <n v="61.0"/>
        <n v="364.0"/>
        <n v="496.0"/>
        <n v="464.0"/>
        <n v="419.0"/>
        <n v="247.0"/>
        <n v="73.0"/>
        <n v="139.0"/>
        <n v="258.0"/>
        <n v="349.0"/>
        <n v="325.0"/>
        <n v="250.0"/>
        <n v="153.0"/>
        <n v="286.0"/>
        <n v="32.0"/>
        <n v="49.0"/>
        <n v="420.0"/>
        <n v="202.0"/>
        <n v="37.0"/>
        <n v="366.0"/>
        <n v="434.0"/>
        <n v="172.0"/>
        <n v="52.0"/>
        <n v="395.0"/>
        <n v="46.0"/>
        <n v="361.0"/>
        <n v="358.0"/>
        <n v="44.0"/>
        <n v="416.0"/>
        <n v="74.0"/>
        <n v="180.0"/>
        <n v="159.0"/>
        <n v="106.0"/>
        <n v="65.0"/>
        <n v="457.0"/>
        <n v="255.0"/>
        <n v="436.0"/>
        <n v="175.0"/>
        <n v="274.0"/>
        <n v="59.0"/>
        <n v="411.0"/>
        <n v="259.0"/>
        <n v="337.0"/>
        <n v="354.0"/>
        <n v="329.0"/>
        <n v="186.0"/>
        <n v="448.0"/>
        <n v="377.0"/>
        <n v="316.0"/>
        <n v="322.0"/>
        <n v="62.0"/>
        <n v="295.0"/>
        <n v="235.0"/>
        <n v="156.0"/>
        <n v="327.0"/>
        <n v="275.0"/>
        <n v="177.0"/>
        <n v="181.0"/>
        <n v="478.0"/>
        <n v="429.0"/>
        <n v="431.0"/>
        <n v="147.0"/>
        <n v="312.0"/>
        <n v="41.0"/>
        <n v="389.0"/>
        <n v="249.0"/>
        <n v="168.0"/>
        <n v="121.0"/>
        <n v="405.0"/>
        <n v="376.0"/>
        <n v="489.0"/>
        <n v="483.0"/>
        <n v="107.0"/>
        <n v="51.0"/>
        <n v="9.0"/>
        <n v="456.0"/>
        <n v="110.0"/>
        <n v="216.0"/>
        <n v="77.0"/>
        <n v="192.0"/>
        <n v="308.0"/>
        <n v="455.0"/>
        <n v="480.0"/>
        <n v="203.0"/>
        <n v="21.0"/>
        <n v="302.0"/>
        <n v="341.0"/>
        <n v="463.0"/>
        <n v="421.0"/>
        <n v="86.0"/>
        <n v="319.0"/>
        <n v="290.0"/>
        <n v="13.0"/>
        <n v="453.0"/>
        <n v="120.0"/>
        <n v="292.0"/>
        <n v="1.0"/>
        <n v="98.0"/>
        <n v="226.0"/>
        <n v="296.0"/>
        <n v="29.0"/>
        <n v="297.0"/>
        <n v="497.0"/>
        <n v="191.0"/>
        <n v="58.0"/>
        <n v="446.0"/>
        <n v="117.0"/>
        <n v="187.0"/>
        <n v="231.0"/>
        <n v="265.0"/>
        <n v="391.0"/>
        <n v="355.0"/>
        <n v="277.0"/>
        <n v="104.0"/>
        <n v="109.0"/>
        <n v="369.0"/>
        <n v="78.0"/>
        <n v="66.0"/>
        <n v="261.0"/>
        <n v="307.0"/>
        <n v="144.0"/>
        <n v="76.0"/>
        <n v="84.0"/>
        <n v="81.0"/>
        <n v="157.0"/>
        <n v="57.0"/>
        <n v="479.0"/>
        <n v="406.0"/>
        <n v="56.0"/>
        <n v="10.0"/>
        <n v="174.0"/>
        <n v="72.0"/>
        <n v="38.0"/>
        <n v="18.0"/>
        <n v="88.0"/>
        <n v="129.0"/>
        <n v="19.0"/>
        <n v="304.0"/>
        <n v="285.0"/>
        <n v="461.0"/>
        <n v="278.0"/>
        <n v="246.0"/>
        <n v="205.0"/>
        <n v="357.0"/>
        <n v="152.0"/>
        <n v="323.0"/>
        <n v="185.0"/>
        <n v="314.0"/>
        <n v="476.0"/>
        <n v="375.0"/>
        <n v="233.0"/>
        <n v="69.0"/>
        <n v="254.0"/>
        <n v="219.0"/>
        <n v="232.0"/>
        <n v="372.0"/>
        <n v="432.0"/>
        <n v="221.0"/>
        <n v="148.0"/>
        <n v="209.0"/>
        <n v="263.0"/>
        <n v="101.0"/>
        <n v="124.0"/>
        <n v="257.0"/>
        <n v="309.0"/>
        <n v="103.0"/>
        <n v="31.0"/>
        <n v="306.0"/>
        <n v="383.0"/>
        <n v="367.0"/>
        <n v="138.0"/>
        <n v="158.0"/>
        <n v="217.0"/>
        <n v="102.0"/>
        <n v="425.0"/>
        <n v="43.0"/>
        <n v="326.0"/>
        <n v="402.0"/>
        <n v="23.0"/>
        <n v="468.0"/>
        <n v="141.0"/>
        <n v="182.0"/>
        <n v="225.0"/>
        <n v="151.0"/>
        <n v="428.0"/>
        <n v="438.0"/>
        <n v="465.0"/>
        <n v="215.0"/>
        <n v="15.0"/>
        <n v="370.0"/>
        <n v="80.0"/>
        <n v="17.0"/>
        <n v="127.0"/>
        <n v="441.0"/>
        <n v="220.0"/>
        <n v="206.0"/>
        <n v="210.0"/>
        <n v="67.0"/>
        <n v="125.0"/>
        <n v="213.0"/>
        <n v="336.0"/>
        <n v="294.0"/>
        <n v="27.0"/>
        <n v="53.0"/>
        <n v="143.0"/>
        <n v="135.0"/>
        <n v="279.0"/>
        <n v="271.0"/>
        <n v="444.0"/>
        <n v="133.0"/>
        <n v="300.0"/>
        <n v="54.0"/>
        <n v="340.0"/>
        <n v="272.0"/>
        <n v="165.0"/>
        <n v="214.0"/>
        <n v="409.0"/>
        <n v="348.0"/>
        <n v="351.0"/>
        <n v="40.0"/>
        <n v="245.0"/>
        <n v="466.0"/>
        <n v="122.0"/>
        <n v="199.0"/>
        <n v="447.0"/>
        <n v="163.0"/>
        <n v="320.0"/>
        <n v="173.0"/>
        <n v="485.0"/>
        <n v="401.0"/>
        <n v="379.0"/>
        <n v="201.0"/>
        <n v="498.0"/>
        <n v="237.0"/>
        <n v="403.0"/>
        <n v="460.0"/>
        <n v="50.0"/>
        <n v="197.0"/>
        <n v="243.0"/>
        <n v="45.0"/>
        <n v="242.0"/>
        <n v="79.0"/>
        <n v="70.0"/>
        <n v="345.0"/>
        <n v="33.0"/>
        <n v="7.0"/>
        <n v="494.0"/>
        <n v="83.0"/>
        <n v="352.0"/>
        <n v="8.0"/>
        <n v="291.0"/>
        <n v="418.0"/>
        <n v="470.0"/>
        <n v="123.0"/>
        <n v="442.0"/>
        <n v="218.0"/>
        <n v="331.0"/>
        <n v="196.0"/>
        <n v="36.0"/>
        <n v="22.0"/>
        <n v="360.0"/>
        <n v="188.0"/>
        <n v="63.0"/>
        <n v="238.0"/>
        <n v="105.0"/>
        <n v="260.0"/>
        <n v="394.0"/>
        <n v="248.0"/>
        <n v="3.0"/>
        <n v="435.0"/>
        <n v="262.0"/>
        <n v="264.0"/>
        <n v="99.0"/>
        <n v="404.0"/>
        <n v="146.0"/>
        <n v="338.0"/>
        <n v="445.0"/>
        <n v="208.0"/>
        <n v="343.0"/>
        <n v="486.0"/>
        <n v="299.0"/>
        <n v="368.0"/>
        <n v="108.0"/>
        <n v="443.0"/>
        <n v="91.0"/>
        <n v="473.0"/>
        <n v="482.0"/>
        <n v="48.0"/>
        <n v="26.0"/>
        <n v="417.0"/>
        <n v="491.0"/>
        <n v="492.0"/>
        <n v="155.0"/>
        <n v="430.0"/>
        <n v="488.0"/>
        <n v="6.0"/>
        <n v="400.0"/>
        <n v="282.0"/>
        <n v="433.0"/>
        <n v="212.0"/>
        <n v="499.0"/>
        <n v="347.0"/>
        <n v="469.0"/>
        <n v="93.0"/>
        <n v="200.0"/>
        <n v="95.0"/>
        <n v="20.0"/>
        <n v="94.0"/>
        <n v="427.0"/>
      </sharedItems>
    </cacheField>
    <cacheField name="Категория товара" numFmtId="0">
      <sharedItems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4">
      <sharedItems containsSemiMixedTypes="0" containsString="0" containsNumber="1">
        <n v="252.76271186440678"/>
        <n v="264.8679245283019"/>
        <n v="283.468085106383"/>
        <n v="265.4767441860465"/>
        <n v="250.4878048780488"/>
        <n v="268.6034482758621"/>
        <n v="258.5128205128205"/>
        <n v="249.02380952380952"/>
        <n v="271.1818181818182"/>
        <n v="263.2542372881356"/>
        <n v="271.74545454545455"/>
        <n v="262.63492063492066"/>
        <n v="274.16279069767444"/>
        <n v="258.375"/>
        <n v="273.72549019607845"/>
        <n v="294.95238095238096"/>
        <n v="300.3181818181818"/>
        <n v="267.85483870967744"/>
        <n v="255.11627906976744"/>
        <n v="286.9230769230769"/>
      </sharedItems>
    </cacheField>
    <cacheField name="Выгода для клиента" numFmtId="9">
      <sharedItems containsSemiMixedTypes="0" containsString="0" containsNumber="1">
        <n v="-0.5925031851404814"/>
        <n v="0.11753811084200017"/>
        <n v="-0.5096449748555131"/>
        <n v="-0.4688800315360694"/>
        <n v="-0.5089581304771178"/>
        <n v="0.6827780987226393"/>
        <n v="-0.4236262646300337"/>
        <n v="0.9636676546514964"/>
        <n v="0.5340261481729802"/>
        <n v="0.7055755858872006"/>
        <n v="0.08925465007359823"/>
        <n v="-0.5687655066049755"/>
        <n v="-0.2161782416700121"/>
        <n v="-0.2826613477703377"/>
        <n v="-0.11765838628923564"/>
        <n v="-0.34361381159906135"/>
        <n v="0.1775725946741602"/>
        <n v="0.5782926722438788"/>
        <n v="-0.2765623111326001"/>
        <n v="0.72519819543603"/>
        <n v="-0.4455848672491306"/>
        <n v="0.3259165170163374"/>
        <n v="-0.13187477335912012"/>
        <n v="-0.3768746976294146"/>
        <n v="0.3783391756315724"/>
        <n v="0.1505196111297351"/>
        <n v="0.13617478510028636"/>
        <n v="-0.12961845369811575"/>
        <n v="0.6138198256377139"/>
        <n v="-0.36733767216588464"/>
        <n v="-0.2095423563777995"/>
        <n v="-0.017456853798849425"/>
        <n v="0.3333118722637136"/>
        <n v="0.5310802655401328"/>
        <n v="-0.7905838269068053"/>
        <n v="0.2544107906304569"/>
        <n v="0.808067977749551"/>
        <n v="-0.28742243075525953"/>
        <n v="-0.7766223762757558"/>
        <n v="0.5594586308089877"/>
        <n v="-0.7510278229276222"/>
        <n v="0.41239187286260304"/>
        <n v="0.9080793420416062"/>
        <n v="0.07595886812279518"/>
        <n v="-0.3831741810709538"/>
        <n v="-0.7096090891584825"/>
        <n v="0.21001275988891388"/>
        <n v="0.8758705269151592"/>
        <n v="-0.5095541401273885"/>
        <n v="0.18136749935616803"/>
        <n v="-0.051412944393801285"/>
        <n v="-0.6041020966271651"/>
        <n v="-0.7551574613464149"/>
        <n v="-0.47377224675498464"/>
        <n v="0.4966300789524358"/>
        <n v="-0.6306660219992748"/>
        <n v="0.8309296935359258"/>
        <n v="-0.7758820499613701"/>
        <n v="-0.655803661235164"/>
        <n v="-0.11145902330342627"/>
        <n v="-0.10349962769918097"/>
        <n v="0.44252642847584633"/>
        <n v="0.7817003197407033"/>
        <n v="-0.12986728570802852"/>
        <n v="0.6637908833376256"/>
        <n v="0.3780453055990882"/>
        <n v="0.19477036540395565"/>
        <n v="-0.21470294913805388"/>
        <n v="-0.5668170469975033"/>
        <n v="-0.04648997134670496"/>
        <n v="-0.09337236358177592"/>
        <n v="0.815932407966204"/>
        <n v="-0.5878495918640438"/>
        <n v="0.7321173909780079"/>
        <n v="-0.39519479737460106"/>
        <n v="-0.074315120326926"/>
        <n v="0.9435892532746917"/>
        <n v="-0.8026830990435844"/>
        <n v="-0.5434316353887398"/>
        <n v="-0.546944009118108"/>
        <n v="0.34258960284145945"/>
        <n v="-0.0031914253025833172"/>
        <n v="0.36808581964465303"/>
        <n v="0.028150134048257502"/>
        <n v="-0.7234327857861214"/>
        <n v="-0.061743497295905225"/>
        <n v="0.058473128640883054"/>
        <n v="-0.453867482550913"/>
        <n v="-0.4812320916905445"/>
        <n v="0.5726242595930982"/>
        <n v="-0.24193764217850933"/>
        <n v="-0.7571256523484544"/>
        <n v="0.5945357652180439"/>
        <n v="-0.3606733524355301"/>
        <n v="-0.5941973169009565"/>
        <n v="0.27787836116140285"/>
        <n v="-0.6613375365908579"/>
        <n v="0.6847127555988315"/>
        <n v="-0.7902448815736652"/>
        <n v="0.378537914333283"/>
        <n v="0.16905444126074487"/>
        <n v="0.035658165115435736"/>
        <n v="0.4781205434211513"/>
        <n v="0.8046730303462031"/>
        <n v="0.3294060370009737"/>
        <n v="0.20583305397251084"/>
        <n v="-0.6753753499024515"/>
        <n v="-0.715497497667317"/>
        <n v="0.07538186867684993"/>
        <n v="-0.21445535656974135"/>
        <n v="-0.6461956060734584"/>
        <n v="-0.20084758589374907"/>
        <n v="-0.07095370482291807"/>
        <n v="-0.16614287441073383"/>
        <n v="-0.5611800201139792"/>
        <n v="-0.3583640630238015"/>
        <n v="-0.22360348724572165"/>
        <n v="0.515588333892055"/>
        <n v="-0.09842098220259599"/>
        <n v="-0.5628843483435826"/>
        <n v="-0.728223891135503"/>
        <n v="0.35702313107609784"/>
        <n v="0.3067590987868283"/>
        <n v="-0.11772151898734184"/>
        <n v="0.6299027824337915"/>
        <n v="0.6403963071380319"/>
        <n v="0.4434715426216844"/>
        <n v="0.18172104288360158"/>
        <n v="-0.43709834469328146"/>
        <n v="0.29921117601011615"/>
        <n v="0.2729663245398253"/>
        <n v="0.513047711781889"/>
        <n v="0.6340656544236152"/>
        <n v="-0.30528731236255857"/>
        <n v="0.15750030218783984"/>
        <n v="0.9797303757529401"/>
        <n v="0.2842777142168964"/>
        <n v="0.729559748427673"/>
        <n v="0.8592159932558558"/>
        <n v="0.19002260251856629"/>
        <n v="-0.5722427086825344"/>
        <n v="0.21528785679729068"/>
        <n v="-0.05433630997426975"/>
        <n v="0.21095936890321476"/>
        <n v="-0.11867247737177344"/>
        <n v="-0.6858166189111747"/>
        <n v="-0.3815852375944163"/>
        <n v="-0.6304488214401034"/>
        <n v="-0.7525024216984179"/>
        <n v="-0.18862118141559714"/>
        <n v="-0.6895594085416198"/>
        <n v="-0.2308158014227335"/>
        <n v="0.742621776504298"/>
        <n v="-0.7137472723665939"/>
        <n v="0.4578624475298676"/>
        <n v="0.10632810950208293"/>
        <n v="0.08006437336551997"/>
        <n v="0.12037479682570029"/>
        <n v="-0.20041097546234743"/>
        <n v="-0.1555481059336239"/>
        <n v="-0.26894717756557485"/>
        <n v="0.3158447797042707"/>
        <n v="0.21915820029027566"/>
        <n v="0.2193535925830543"/>
        <n v="-0.2685050798258345"/>
        <n v="0.5875113947128532"/>
        <n v="0.4184955350385955"/>
        <n v="0.011742036490636432"/>
        <n v="-0.6467282215977519"/>
        <n v="-0.7530903940252383"/>
        <n v="0.5859811284421335"/>
        <n v="0.37710771672287247"/>
        <n v="-0.11283693944155693"/>
        <n v="0.9119496855345912"/>
        <n v="0.14887652752836056"/>
        <n v="-0.32187784867821334"/>
        <n v="-0.3755910830893944"/>
        <n v="-0.016863037098681644"/>
        <n v="-0.24610177686449908"/>
        <n v="-0.5659373866795601"/>
        <n v="0.6084271385397046"/>
        <n v="0.5010710808179162"/>
        <n v="-0.7982297324481995"/>
        <n v="0.15444126074498565"/>
        <n v="-0.4175949900644307"/>
        <n v="-0.2088184129532985"/>
        <n v="-0.7716497339138848"/>
        <n v="-0.6785100286532951"/>
        <n v="0.8273258298902977"/>
        <n v="-0.04052507978563258"/>
        <n v="0.8156876790830945"/>
        <n v="-0.5943105907077986"/>
        <n v="0.35420848387528436"/>
        <n v="-0.5529403875813049"/>
        <n v="-0.2692391923262232"/>
        <n v="-0.43060390494929623"/>
        <n v="0.25824977210574285"/>
        <n v="0.4079226397489184"/>
        <n v="-0.4378058202420808"/>
        <n v="0.16173320350535536"/>
        <n v="-0.7491120439134646"/>
        <n v="0.290765139610782"/>
        <n v="0.9556362941007746"/>
        <n v="0.25067742518215197"/>
        <n v="-0.14064442107276032"/>
        <n v="0.7882384496747803"/>
        <n v="-0.3596508119905001"/>
        <n v="-0.5974842767295597"/>
        <n v="0.6972652689152232"/>
        <n v="-0.6903372835004558"/>
        <n v="-0.3108304121842138"/>
        <n v="-0.27029976250080245"/>
        <n v="0.3005730659025787"/>
        <n v="-0.4980399655798834"/>
        <n v="-0.16704871060171922"/>
        <n v="0.6002583144979012"/>
        <n v="-0.39146143192629623"/>
        <n v="-0.7292203927792105"/>
        <n v="-0.17709381076912767"/>
        <n v="0.5234240687679081"/>
        <n v="-0.23367198838896952"/>
        <n v="0.39983310867193"/>
        <n v="0.3667189058270408"/>
        <n v="0.29954885900748973"/>
        <n v="-0.6865021770682148"/>
        <n v="-0.6423064029500503"/>
        <n v="-0.2654333008763389"/>
        <n v="-0.3578611428915518"/>
        <n v="0.12889699179580671"/>
        <n v="-0.32691926205118027"/>
        <n v="0.1301402999516208"/>
        <n v="-0.08466558626428977"/>
        <n v="0.42217087104435436"/>
        <n v="0.16284370993018937"/>
        <n v="0.3328114650448606"/>
        <n v="-0.7142091152815013"/>
        <n v="-0.559283430423547"/>
        <n v="0.8005408189544168"/>
        <n v="0.2610058412879328"/>
        <n v="-0.19755704470268898"/>
        <n v="0.06223993692786123"/>
        <n v="0.8362772648200187"/>
        <n v="-0.3744145590793524"/>
        <n v="-0.8020065272573431"/>
        <n v="0.7134050525806839"/>
        <n v="0.4346399270738377"/>
        <n v="-0.17684594348222427"/>
        <n v="0.4309018378686422"/>
        <n v="-0.6157855547282204"/>
        <n v="0.25234556781505657"/>
        <n v="0.40455764075067036"/>
        <n v="-0.6195523630151987"/>
        <n v="0.1737098344693282"/>
        <n v="0.0905929256086182"/>
        <n v="0.40147241610096573"/>
        <n v="0.6951888924765901"/>
        <n v="0.4448124284940085"/>
        <n v="0.5161247156429813"/>
        <n v="-0.43373925501432664"/>
        <n v="-0.18518070832829692"/>
        <n v="0.10419436721866293"/>
        <n v="0.04886308659893568"/>
        <n v="0.15004128199354483"/>
        <n v="0.5680134882880712"/>
        <n v="-0.7191041373298465"/>
        <n v="0.39410187667560326"/>
        <n v="-0.5783574687561992"/>
        <n v="-0.18985969771782985"/>
        <n v="-0.6040130545146863"/>
        <n v="0.5978804118745107"/>
        <n v="-0.6666985371450425"/>
        <n v="-0.5570647219690064"/>
        <n v="-0.2203707873602042"/>
        <n v="-0.5695968086622026"/>
        <n v="0.7957982068780944"/>
        <n v="0.5858262888178354"/>
        <n v="0.4012738853503184"/>
        <n v="-0.11872263713623488"/>
        <n v="-0.6602435530085959"/>
        <n v="-0.48338913211434453"/>
        <n v="-0.41386162461612575"/>
        <n v="0.4041856774449515"/>
        <n v="0.07593555427177612"/>
        <n v="0.6366762177650429"/>
        <n v="-0.20273211739097807"/>
        <n v="0.032589016294508166"/>
        <n v="0.015967109666316093"/>
        <n v="0.61217443518727"/>
        <n v="-0.7452142206016408"/>
        <n v="0.27750730282375846"/>
        <n v="-0.465303385853168"/>
        <n v="0.7220918538384176"/>
        <n v="-0.567828418230563"/>
        <n v="0.48087199932140123"/>
        <n v="-0.7197452229299364"/>
        <n v="-0.7246648793565684"/>
        <n v="0.7148400909942458"/>
        <n v="0.009005197630847173"/>
        <n v="0.3836461126005364"/>
        <n v="0.25120643431635403"/>
        <n v="-0.37279460468477155"/>
        <n v="-0.42593336009634686"/>
        <n v="-0.694257064721969"/>
        <n v="0.8462031628437099"/>
        <n v="-0.5897435897435898"/>
        <n v="-0.22980481550078358"/>
        <n v="0.2041591552922999"/>
        <n v="0.6789853206283802"/>
        <n v="-0.667758940019946"/>
        <n v="-0.6314269208549972"/>
        <n v="0.1357841874839043"/>
        <n v="0.8238244893025504"/>
        <n v="0.7480410314859667"/>
        <n v="0.6045959304191539"/>
        <n v="-0.3633748160042821"/>
        <n v="-0.19582561618464167"/>
        <n v="0.515059785076434"/>
        <n v="-0.3298682461017769"/>
        <n v="-0.4778818211172102"/>
        <n v="-0.14867578162348216"/>
        <n v="0.29529287119721515"/>
        <n v="0.8413013291013689"/>
        <n v="-0.7963972736124635"/>
        <n v="0.687481182633829"/>
        <n v="-0.18896848137535827"/>
        <n v="-0.6346704871060171"/>
        <n v="0.45449051130182516"/>
        <n v="-0.01576221571718084"/>
        <n v="1.0078401376804664"/>
        <n v="-0.6754484725662389"/>
        <n v="-0.36853561510170385"/>
        <n v="-0.19109820996613447"/>
        <n v="0.6938337801608581"/>
        <n v="-0.5327710533092969"/>
        <n v="-0.3200489312387329"/>
        <n v="-0.2035816618911176"/>
        <n v="-0.8026124818577649"/>
        <n v="0.3052822763735432"/>
        <n v="-0.09096412895413952"/>
        <n v="-0.4382899312918823"/>
        <n v="-0.7519721774535584"/>
        <n v="0.4699464391985717"/>
        <n v="0.5524744848834968"/>
        <n v="0.5217905479392055"/>
        <n v="-0.27300600061320135"/>
        <n v="0.28501768811549866"/>
        <n v="0.8594514852812982"/>
        <n v="0.6619872379216043"/>
        <n v="-0.4629656160458453"/>
        <n v="0.16354228518110103"/>
        <n v="0.8950580030845572"/>
        <n v="-0.29984130132910136"/>
        <n v="0.343988702740869"/>
        <n v="-0.05172517613054739"/>
        <n v="-0.293987747542385"/>
        <n v="-0.40982714855554214"/>
        <n v="-0.7055136059267701"/>
        <n v="0.8157352562451714"/>
        <n v="-0.33144475920679883"/>
        <n v="-0.33172758475341724"/>
        <n v="-0.5365696626319856"/>
        <n v="-0.3373694566369002"/>
        <n v="-0.3620516258799866"/>
        <n v="-0.4774521611133413"/>
        <n v="-0.4022120149885169"/>
        <n v="-0.41640512342013747"/>
        <n v="0.18542709305284588"/>
        <n v="0.7400580200652724"/>
        <n v="0.5501738909152598"/>
        <n v="-0.5590332507693463"/>
        <n v="-0.12143202709240442"/>
        <n v="0.6083487676307167"/>
        <n v="-0.7626735550532774"/>
        <n v="-0.1352201257861635"/>
        <n v="-0.6005298970313724"/>
        <n v="-0.6873549121808068"/>
        <n v="-0.8021860122041172"/>
        <n v="-0.010103037602034015"/>
        <n v="0.4373456975973986"/>
        <n v="-0.7563157258551916"/>
        <n v="-0.1258887876025524"/>
        <n v="-0.23377462060058118"/>
        <n v="0.7755405673477487"/>
        <n v="0.8164556962025316"/>
        <n v="-0.2295034079844207"/>
        <n v="-0.6564325402478985"/>
        <n v="-0.7755252241402382"/>
        <n v="-0.6463187624366133"/>
        <n v="0.7294669795507878"/>
        <n v="-0.06236169784751555"/>
        <n v="0.42122687439143136"/>
        <n v="0.014079785450888282"/>
        <n v="-0.5504021447721179"/>
        <n v="0.6615710609959136"/>
        <n v="-0.35117012002950443"/>
        <n v="-0.031876790830945634"/>
        <n v="0.4573301040034192"/>
        <n v="0.08484078664973072"/>
        <n v="-0.26685893629654767"/>
        <n v="-0.055495978552278724"/>
        <n v="0.559920405674305"/>
        <n v="-0.22898938713070083"/>
        <n v="-0.23643800710789242"/>
        <n v="-0.030711459800174312"/>
        <n v="-0.16072282244956493"/>
        <n v="-0.5532447525515116"/>
        <n v="-0.06553694075357863"/>
        <n v="0.7145621673923561"/>
        <n v="-0.22082639624640532"/>
        <n v="-0.043222266827244726"/>
        <n v="-0.2442390397329739"/>
        <n v="0.007935749115594248"/>
        <n v="-0.26809651474530827"/>
        <n v="0.11376264425131777"/>
        <n v="-0.7123700972175662"/>
        <n v="-0.40816618911174785"/>
        <n v="0.10983446932814012"/>
        <n v="0.5820594805308572"/>
        <n v="0.5725250815907166"/>
        <n v="0.02692691266562175"/>
        <n v="0.7468209197820059"/>
        <n v="0.1987527660430497"/>
        <n v="0.5647637628297564"/>
        <n v="-0.676102445599846"/>
        <n v="-0.8156218571907475"/>
        <n v="-0.5326508764886926"/>
        <n v="0.29862267292265776"/>
        <n v="0.0512647301658784"/>
        <n v="0.7332396627860296"/>
        <n v="0.15917302288237645"/>
        <n v="-0.015420717398592076"/>
        <n v="0.7516392345778133"/>
        <n v="-0.6162408636759874"/>
        <n v="-0.5978383247016439"/>
        <n v="-0.45905258932155757"/>
        <n v="-0.3031404669090272"/>
        <n v="0.4424794895168642"/>
        <n v="0.42708682534361375"/>
        <n v="-0.38617428507093"/>
        <n v="0.6118024889602569"/>
        <n v="0.22960077896786757"/>
        <n v="-0.7373746581586145"/>
        <n v="0.5783260178598457"/>
        <n v="-0.08430452550325407"/>
        <n v="0.19206901770849094"/>
        <n v="0.6986812789787438"/>
        <n v="0.6158283145304944"/>
        <n v="0.7110291652698626"/>
        <n v="0.02224912971091264"/>
        <n v="-0.5547303626388331"/>
        <n v="0.06415527297064738"/>
        <n v="0.6450080583594875"/>
        <n v="-0.22550143266475653"/>
        <n v="0.2390211196781764"/>
        <n v="0.575229801644896"/>
        <n v="0.5945815191098209"/>
        <n v="-0.03287803698779168"/>
        <n v="0.2348137535816619"/>
        <n v="0.011825046302892162"/>
        <n v="-0.2574542152262751"/>
        <n v="0.2619948539427879"/>
        <n v="-0.17756557476127166"/>
        <n v="0.7666330865927904"/>
        <n v="-0.6451061404758514"/>
        <n v="0.6449220523686998"/>
        <n v="0.04762673555053265"/>
        <n v="-0.5507071195455095"/>
        <n v="0.298760507194757"/>
        <n v="0.1849324233908738"/>
        <n v="0.20701190954101434"/>
        <n v="0.3447505584512285"/>
        <n v="0.04841617306206536"/>
        <n v="-0.3542364151429307"/>
        <n v="-0.6446932814021422"/>
        <n v="-0.4897860510093074"/>
        <n v="0.45179355229302254"/>
        <n v="0.25809696238181457"/>
        <n v="-0.32517599731813607"/>
        <n v="0.6725477208406092"/>
        <n v="-0.7791611265562675"/>
        <n v="-0.3494597953915288"/>
        <n v="0.6341620923474329"/>
        <n v="-0.7524300733981353"/>
        <n v="-0.27624576681180457"/>
        <n v="0.6841690544412606"/>
        <n v="0.2699658016495674"/>
        <n v="-0.10023466309084816"/>
        <n v="0.5197707736389683"/>
        <n v="0.0804559168622192"/>
        <n v="-0.7698424068767908"/>
        <n v="-0.11498491451558834"/>
        <n v="0.5757061667656289"/>
        <n v="-0.25371691043152433"/>
        <n v="0.5380920213165201"/>
        <n v="0.6544602734487046"/>
        <n v="0.10995641971169956"/>
        <n v="-0.4123779072313959"/>
        <n v="-0.4800536372779082"/>
        <n v="0.6914756446991404"/>
        <n v="0.7091128545564274"/>
        <n v="-0.16039930946483527"/>
        <n v="-0.47702044790652387"/>
        <n v="-0.11804922515952598"/>
        <n v="0.050939512066926484"/>
        <n v="-0.4118194842406877"/>
        <n v="0.05632669483001407"/>
        <n v="-0.5904743565055524"/>
        <n v="0.20036054596961117"/>
        <n v="-0.24080520659906157"/>
        <n v="-0.5984319724639067"/>
        <n v="0.28495403967102084"/>
        <n v="-0.740506329113924"/>
        <n v="0.6578947368421053"/>
        <n v="0.17273252455228172"/>
        <n v="0.3219160442956477"/>
        <n v="-0.7186962750716333"/>
        <n v="-0.7547106551331053"/>
        <n v="-0.5551477881372744"/>
        <n v="-0.4426180289724537"/>
        <n v="0.19784503525907748"/>
        <n v="-0.3214884344619511"/>
        <n v="0.8554826278075509"/>
        <n v="0.8142233683792899"/>
        <n v="-0.018124887095803066"/>
        <n v="0.2755348724767315"/>
        <n v="0.12706760539485962"/>
        <n v="0.5561834032935098"/>
        <n v="-0.4051606621226874"/>
        <n v="-0.659591350922436"/>
        <n v="-0.7024221453287197"/>
        <n v="0.3017338437288899"/>
        <n v="-0.5860940289625074"/>
        <n v="-0.0589532615149716"/>
        <n v="0.5679124886052871"/>
        <n v="-0.07639353666698534"/>
        <n v="-0.10902937265804435"/>
        <n v="0.3738784849762147"/>
        <n v="-0.005969574427113544"/>
        <n v="0.3969226385525002"/>
        <n v="-0.7580075742987356"/>
        <n v="0.7140618321698247"/>
        <n v="0.6650904450949484"/>
        <n v="-0.11511139812721993"/>
        <n v="0.43814951391216894"/>
        <n v="0.9225352112676057"/>
        <n v="0.45769193995601887"/>
        <n v="-0.02906169410831183"/>
        <n v="0.8368158005660262"/>
        <n v="0.6951844992164125"/>
        <n v="0.48323782234957013"/>
        <n v="0.5330087633885101"/>
        <n v="0.3554937749304967"/>
        <n v="0.5451474893042108"/>
        <n v="-0.15243553008596"/>
        <n v="0.4094071992506356"/>
        <n v="0.5916173062065413"/>
        <n v="-0.156707142174204"/>
        <n v="-0.15335613223362166"/>
        <n v="-0.5805411824582238"/>
        <n v="0.1321325866505223"/>
        <n v="0.46347925573553317"/>
        <n v="0.4072790294627382"/>
        <n v="-0.3083629318695512"/>
        <n v="-0.7460859092733843"/>
        <n v="0.7600674469351321"/>
        <n v="-0.4827610770765066"/>
        <n v="-0.4261290782162701"/>
        <n v="-0.35271364680285267"/>
        <n v="0.8465883561204184"/>
        <n v="0.49910933921452183"/>
        <n v="-0.15334384147714486"/>
        <n v="0.11133413622373878"/>
        <n v="-0.4540333936833635"/>
        <n v="0.090069804098176"/>
        <n v="0.8009790886014745"/>
        <n v="-0.31792348799728565"/>
        <n v="0.253554040895813"/>
        <n v="-0.5404493889886558"/>
        <n v="-0.3521089746397442"/>
        <n v="0.758079565696836"/>
        <n v="0.27865329512893977"/>
        <n v="-0.39864547710051634"/>
        <n v="0.03753581661891103"/>
        <n v="-0.21650387630852785"/>
        <n v="0.3493670886075948"/>
        <n v="0.34229319579448525"/>
        <n v="-0.7871311078858249"/>
        <n v="-0.4605974761782127"/>
        <n v="0.7289650037230082"/>
        <n v="-0.7978552278820376"/>
        <n v="0.7997097242380262"/>
        <n v="-0.43252845185765043"/>
        <n v="-0.4302957151478576"/>
        <n v="-0.7005842259006816"/>
        <n v="-0.4310595065312046"/>
        <n v="0.4496605794052968"/>
        <n v="-0.5027813061188735"/>
        <n v="0.28813727435032743"/>
        <n v="0.6616374974854153"/>
        <n v="-0.4155781325592647"/>
        <n v="-0.45457250545526673"/>
        <n v="0.34117883725608533"/>
        <n v="-0.31406084455880123"/>
        <n v="-0.6035760079783445"/>
        <n v="0.31004951157500327"/>
        <n v="-0.12460768513020615"/>
        <n v="0.16454727985467055"/>
        <n v="0.6168451801363193"/>
        <n v="0.12181110029211295"/>
        <n v="-0.18860528714676394"/>
        <n v="0.5090555014605647"/>
        <n v="0.6381025739777906"/>
        <n v="0.13967828418230566"/>
        <n v="0.5496796808896409"/>
        <n v="0.14212199182685037"/>
        <n v="-0.19648046496609628"/>
        <n v="-0.568136594133128"/>
        <n v="0.6865010591180434"/>
        <n v="0.4278375438172366"/>
        <n v="0.3663323782234955"/>
        <n v="-0.6747298976957644"/>
        <n v="0.612193946826683"/>
        <n v="0.6815286624203822"/>
        <n v="-0.04402515723270439"/>
        <n v="0.8001072889425334"/>
        <n v="0.4152175757061667"/>
        <n v="0.6816273813367775"/>
        <n v="0.15633546034639934"/>
        <n v="-0.17567223683094413"/>
        <n v="0.55171676877048"/>
        <n v="0.13380929438044764"/>
        <n v="0.6633212899772514"/>
        <n v="0.39555873925501417"/>
        <n v="-0.47389132738005146"/>
        <n v="0.14501091053362436"/>
        <n v="0.16968033580884723"/>
        <n v="-0.42842775729131743"/>
        <n v="0.13004248609346947"/>
        <n v="0.4358974358974359"/>
        <n v="0.02833866234505722"/>
        <n v="-0.4579282601407979"/>
        <n v="0.6074498567335243"/>
        <n v="-0.11020966271649957"/>
        <n v="0.5632254390959659"/>
        <n v="-0.6835881038938285"/>
        <n v="-0.2682603721322334"/>
        <n v="-0.5316692856279464"/>
        <n v="0.1854094142576055"/>
        <n v="-0.333397074290085"/>
        <n v="0.8683369103412026"/>
        <n v="-0.02970508619461465"/>
        <n v="0.658981233243968"/>
        <n v="-0.1338592159932559"/>
        <n v="-0.14562479819179852"/>
        <n v="0.8056357917709736"/>
        <n v="-0.43497875695326527"/>
        <n v="0.6070390700678074"/>
        <n v="-0.49599566447883425"/>
        <n v="-0.28520891098575385"/>
        <n v="-0.5830284357147442"/>
        <n v="0.2583606136465755"/>
        <n v="0.011962750716332238"/>
        <n v="0.6258310165598935"/>
        <n v="-0.42702615434291247"/>
        <n v="-0.1339170744269894"/>
        <n v="0.2621695533272561"/>
        <n v="0.27681098332028653"/>
        <n v="0.19656193664692245"/>
        <n v="-0.13565683646112592"/>
        <n v="0.23277131004951146"/>
        <n v="0.26483405967147156"/>
        <n v="0.16394376067627348"/>
        <n v="-0.3168900804289544"/>
        <n v="-0.03679171433732775"/>
        <n v="0.8252375217449484"/>
        <n v="-0.31514368743945753"/>
        <n v="-0.3924339106654512"/>
        <n v="-0.7265001287664177"/>
        <n v="-0.2869271993737581"/>
        <n v="0.41896080218778486"/>
        <n v="0.3899271935750206"/>
        <n v="0.7407260464193612"/>
        <n v="0.2166790766939688"/>
        <n v="0.21375524701323867"/>
        <n v="0.799179580674567"/>
        <n v="0.6549114575450281"/>
        <n v="-0.397310674083483"/>
        <n v="0.5418841161514787"/>
        <n v="0.567263610315186"/>
        <n v="-0.7281664054708648"/>
        <n v="-0.7847984043311014"/>
        <n v="-0.5363307908470494"/>
        <n v="-0.7844206426484908"/>
        <n v="-0.433680011397635"/>
        <n v="-0.12233366913407206"/>
        <n v="-0.38282035807684567"/>
        <n v="0.33485254691689015"/>
        <n v="0.4054854493947979"/>
        <n v="-0.34284058717486476"/>
        <n v="-0.601366058695489"/>
        <n v="0.3935694427656229"/>
        <n v="-0.6327166504381694"/>
        <n v="0.06717516392345768"/>
        <n v="0.7063641540011387"/>
        <n v="-0.6128121188779768"/>
        <n v="-0.7871981694466189"/>
        <n v="0.23080210856247318"/>
        <n v="-0.34292768109833205"/>
        <n v="0.7872593095258291"/>
        <n v="-0.30485449394797837"/>
        <n v="0.1498851686208147"/>
        <n v="0.6345487693710119"/>
        <n v="0.5300268096514746"/>
        <n v="-0.5471469653397911"/>
        <n v="0.04081895441668815"/>
        <n v="-0.31062855204003736"/>
        <n v="-0.6907926187972082"/>
        <n v="-0.18969970939618985"/>
        <n v="0.7274536234674882"/>
        <n v="-0.5120643431635388"/>
        <n v="0.39656675383893236"/>
        <n v="-0.6986553370417414"/>
        <n v="-0.6581251609580221"/>
        <n v="-0.3656322431109966"/>
        <n v="0.8500241896468312"/>
        <n v="0.1775688900334793"/>
        <n v="-0.7552292263610315"/>
        <n v="0.03715379419049758"/>
        <n v="0.5382569805391029"/>
        <n v="-0.6207063376874697"/>
        <n v="-0.4752101438951418"/>
        <n v="-0.06774449513985314"/>
        <n v="-0.308653103270667"/>
        <n v="0.02667549828385618"/>
        <n v="-0.26914618988431016"/>
        <n v="-0.25142474019443517"/>
        <n v="-0.5863849316378238"/>
        <n v="0.33068835548502284"/>
        <n v="0.6423284131225089"/>
        <n v="-0.7050641295839104"/>
        <n v="0.24749096748293864"/>
        <n v="0.20437384242769618"/>
        <n v="0.3974567358256047"/>
        <n v="-0.7720834406386814"/>
        <n v="-0.539054642976869"/>
        <n v="0.707774798927614"/>
        <n v="0.18967867575462516"/>
        <n v="0.6464141627024746"/>
        <n v="-0.5015087507543754"/>
        <n v="0.5530800264948514"/>
        <n v="0.44078567302137484"/>
        <n v="-0.4312119486662871"/>
        <n v="-0.7976047102903787"/>
        <n v="-0.14284502502332685"/>
        <n v="0.7646832274215287"/>
        <n v="0.8529061694108313"/>
        <n v="0.7589674824002681"/>
        <n v="0.08577939835916126"/>
        <n v="-0.5271840297836832"/>
        <n v="-0.404284864114263"/>
        <n v="-0.6931232091690545"/>
        <n v="0.6735063367531684"/>
        <n v="0.7703998948797688"/>
        <n v="-0.7844555873925502"/>
        <n v="0.15710455764075082"/>
        <n v="-0.6683930045785484"/>
        <n v="0.39100762745885187"/>
        <n v="0.05793573515092487"/>
        <n v="0.589339591015756"/>
        <n v="0.4086490110626886"/>
        <n v="0.11171461141286132"/>
        <n v="-0.41595259799453055"/>
        <n v="-0.021455336637253852"/>
        <n v="-0.27410322385348873"/>
        <n v="-0.22388331814038287"/>
        <n v="-0.5568646543330088"/>
        <n v="0.15264333581533873"/>
        <n v="0.4852562451712594"/>
        <n v="-0.11101103355100206"/>
        <n v="0.574599342855227"/>
        <n v="-0.6266634551695068"/>
        <n v="0.051017113335485975"/>
        <n v="0.06774251821521049"/>
        <n v="-0.33070985318601487"/>
        <n v="-0.025929619603932252"/>
        <n v="-0.33359008922267164"/>
        <n v="-0.5781297043415428"/>
        <n v="-0.7220476248035779"/>
        <n v="0.59541591552923"/>
        <n v="0.9623147589351573"/>
        <n v="-0.24394575395544082"/>
        <n v="-0.6578098025970127"/>
        <n v="0.6257163323782233"/>
        <n v="-0.1925250683682771"/>
        <n v="-0.0017958039507687262"/>
        <n v="0.07390457643622206"/>
        <n v="0.37310300290603804"/>
        <n v="-0.280300859598854"/>
        <n v="-0.6846948659993543"/>
        <n v="-0.26686840072109197"/>
        <n v="-0.4065580366123517"/>
        <n v="-0.21183367581288537"/>
        <n v="0.12470667113643974"/>
        <n v="-0.42024539877300615"/>
        <n v="0.8436263662576275"/>
        <n v="-0.7744920539126936"/>
        <n v="0.5080479011073913"/>
        <n v="0.007238605898123307"/>
        <n v="-0.23300506740606175"/>
        <n v="-0.08905883061359676"/>
        <n v="0.49256617913695133"/>
        <n v="0.8179684880992288"/>
        <n v="0.31134695496925224"/>
        <n v="0.1652698625544753"/>
        <n v="0.12358345068061416"/>
        <n v="-0.3015821762996448"/>
        <n v="-0.1414872929658687"/>
        <n v="-0.7287898033375673"/>
        <n v="-0.5482627807551033"/>
        <n v="-0.44612083417152815"/>
        <n v="0.07600305369412164"/>
        <n v="0.2270266419717908"/>
        <n v="-0.4527248218756018"/>
        <n v="0.5953704822917925"/>
        <n v="0.4594004749983951"/>
        <n v="0.04987483150394745"/>
        <n v="4.986465308447485E-4"/>
        <n v="-0.44409524960715585"/>
        <n v="-0.7726526891522334"/>
        <n v="0.3975863224941334"/>
        <n v="-0.24113121527283088"/>
        <n v="0.2694143927116639"/>
        <n v="-0.25793876746528843"/>
        <n v="0.646095221409487"/>
        <n v="-0.207002578853402"/>
        <n v="0.5849856213107312"/>
        <n v="-0.13164268414304037"/>
        <n v="-0.22742625534789462"/>
        <n v="0.2920152424335334"/>
        <n v="-0.4511952790991751"/>
        <n v="0.5970223678586692"/>
        <n v="0.7427005929595436"/>
        <n v="0.005199306759098743"/>
        <n v="0.7170487106017192"/>
        <n v="0.04957971220971635"/>
        <n v="-0.020174012811932318"/>
        <n v="-0.4638837441230945"/>
        <n v="-0.467231723929166"/>
        <n v="0.7770819533931475"/>
        <n v="0.2459438578418749"/>
        <n v="0.2849531804972554"/>
        <n v="-0.7446772414963101"/>
        <n v="-0.05069422021310954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"/>
        <n v="0.5381465647016317"/>
        <n v="0.026696105981533602"/>
        <n v="0.8258282086887523"/>
        <n v="-0.7911846256812315"/>
        <n v="-0.42512171372930874"/>
        <n v="-0.039476217985750184"/>
        <n v="-0.355927851595096"/>
        <n v="0.8391424353296102"/>
        <n v="-0.7302987380891064"/>
        <n v="0.10159670357970652"/>
        <n v="-0.4304165321278657"/>
        <n v="0.3034852546916891"/>
        <n v="-0.7769032843953383"/>
        <n v="-0.172747820471424"/>
        <n v="0.16481001987113864"/>
        <n v="-0.20143664316061494"/>
        <n v="-0.21004197610590902"/>
        <n v="0.5230267134050524"/>
        <n v="-0.36717620778765714"/>
        <n v="-0.38198857436292455"/>
        <n v="-0.7319418720615473"/>
        <n v="0.35232452142206006"/>
        <n v="0.033982473222979426"/>
        <n v="0.4883758475944462"/>
        <n v="-0.0947410678442393"/>
        <n v="-0.5517640999227401"/>
        <n v="-0.5768937144795996"/>
        <n v="0.12156160458452714"/>
        <n v="-0.6707383773928897"/>
        <n v="-0.29443938012762083"/>
        <n v="0.3412372119705518"/>
        <n v="-0.07423053711526861"/>
        <n v="0.5028146813780678"/>
        <n v="0.8608032937672463"/>
        <n v="0.6372537169104313"/>
        <n v="0.7933639550344493"/>
        <n v="0.24956183057448866"/>
        <n v="0.29457270639429467"/>
        <n v="-0.4425123735272217"/>
        <n v="0.5326344576116682"/>
        <n v="-0.3182077000569401"/>
        <n v="0.017643566036135372"/>
        <n v="-0.23747540487361884"/>
        <n v="-0.6346195961631116"/>
        <n v="0.8385269121813033"/>
        <n v="-0.2087440488164689"/>
        <n v="-0.5731299344306169"/>
        <n v="-0.2186074191628644"/>
        <n v="0.21289398280802274"/>
        <n v="0.4816482774149966"/>
        <n v="-0.49300195097124444"/>
        <n v="-0.5914835863940962"/>
        <n v="0.32108925465007365"/>
        <n v="0.28056743976581844"/>
        <n v="-0.6570304222794006"/>
        <n v="0.58646818212298"/>
        <n v="-0.47641364811002584"/>
        <n v="0.747215029806708"/>
        <n v="-0.6043720244082345"/>
        <n v="0.15477723409734745"/>
        <n v="-0.6557230708192818"/>
        <n v="0.04141576341496056"/>
        <n v="0.05470632035390466"/>
        <n v="0.7476731536322976"/>
        <n v="-0.13923290550176393"/>
        <n v="0.13846246827027664"/>
        <n v="-0.72746432227374"/>
        <n v="0.5380372492836676"/>
        <n v="0.14878159527773582"/>
        <n v="-0.8116595856510884"/>
        <n v="0.7605647517039922"/>
        <n v="-0.31683381088825224"/>
        <n v="-0.37993044363389605"/>
        <n v="-0.5705838552844816"/>
        <n v="0.7756608933454876"/>
      </sharedItems>
    </cacheField>
    <cacheField name="Поставщик товара" numFmtId="0">
      <sharedItems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">
      <sharedItems containsSemiMixedTypes="0" containsString="0" containsNumber="1">
        <n v="240.5"/>
        <n v="238.16666666666666"/>
        <n v="232.44444444444446"/>
        <n v="236.27586206896552"/>
        <n v="159.2"/>
        <n v="281.96875"/>
        <n v="260.6470588235294"/>
        <n v="276.2105263157895"/>
        <n v="291.45454545454544"/>
        <n v="257.7826086956522"/>
        <n v="311.2"/>
        <n v="240.26666666666668"/>
        <n v="212.8125"/>
        <n v="320.84615384615387"/>
        <n v="260.1578947368421"/>
        <n v="316.5833333333333"/>
        <n v="276.6756756756757"/>
        <n v="311.3333333333333"/>
        <n v="253.6875"/>
        <n v="329.27272727272725"/>
        <n v="269.70588235294116"/>
        <n v="238.72222222222223"/>
        <n v="280.23809523809524"/>
        <n v="318.8181818181818"/>
        <n v="281.73333333333335"/>
        <n v="303.8235294117647"/>
        <n v="216.4"/>
        <n v="288.23809523809524"/>
        <n v="242.8181818181818"/>
        <n v="235.55555555555554"/>
        <n v="317.85714285714283"/>
        <n v="323.0769230769231"/>
        <n v="254.1818181818182"/>
        <n v="248.5"/>
        <n v="250.30769230769232"/>
        <n v="250.25925925925927"/>
        <n v="249.5"/>
        <n v="272.3529411764706"/>
        <n v="264.0"/>
        <n v="222.2"/>
        <n v="273.5833333333333"/>
        <n v="274.77777777777777"/>
        <n v="312.6666666666667"/>
        <n v="287.1"/>
        <n v="320.57142857142856"/>
        <n v="293.4117647058824"/>
        <n v="321.6363636363636"/>
        <n v="271.0"/>
        <n v="281.75"/>
        <n v="272.25"/>
        <n v="280.6666666666667"/>
        <n v="331.1666666666667"/>
        <n v="243.3"/>
        <n v="322.54545454545456"/>
        <n v="292.6666666666667"/>
        <n v="293.6666666666667"/>
        <n v="247.66666666666666"/>
        <n v="316.6"/>
        <n v="241.83333333333334"/>
        <n v="256.9"/>
        <n v="289.8888888888889"/>
        <n v="274.2857142857143"/>
        <n v="168.0"/>
        <n v="266.27272727272725"/>
        <n v="236.91666666666666"/>
        <n v="258.3076923076923"/>
        <n v="273.625"/>
        <n v="251.91666666666666"/>
        <n v="215.85714285714286"/>
        <n v="273.7"/>
        <n v="181.57142857142858"/>
        <n v="268.0"/>
        <n v="82.0"/>
        <n v="252.0909090909091"/>
        <n v="320.25"/>
        <n v="193.5"/>
        <n v="208.0"/>
        <n v="369.2"/>
        <n v="140.0"/>
        <n v="187.0"/>
      </sharedItems>
    </cacheField>
    <cacheField name="Дата регистрации клиента" numFmtId="165">
      <sharedItems containsSemiMixedTypes="0" containsDate="1" containsString="0">
        <d v="2022-07-05T00:00:00Z"/>
        <d v="2022-07-08T00:00:00Z"/>
        <d v="2022-10-08T00:00:00Z"/>
        <d v="2022-03-23T00:00:00Z"/>
        <d v="2022-01-16T00:00:00Z"/>
        <d v="2022-01-21T00:00:00Z"/>
        <d v="2022-06-26T00:00:00Z"/>
        <d v="2022-02-27T00:00:00Z"/>
        <d v="2022-05-03T00:00:00Z"/>
        <d v="2022-05-18T00:00:00Z"/>
        <d v="2022-04-03T00:00:00Z"/>
        <d v="2022-04-05T00:00:00Z"/>
        <d v="2022-10-24T00:00:00Z"/>
        <d v="2022-08-21T00:00:00Z"/>
        <d v="2022-09-16T00:00:00Z"/>
        <d v="2022-04-27T00:00:00Z"/>
        <d v="2022-02-11T00:00:00Z"/>
        <d v="2022-11-28T00:00:00Z"/>
        <d v="2022-11-02T00:00:00Z"/>
        <d v="2022-07-14T00:00:00Z"/>
        <d v="2022-04-24T00:00:00Z"/>
        <d v="2022-06-16T00:00:00Z"/>
        <d v="2022-01-02T00:00:00Z"/>
        <d v="2022-04-02T00:00:00Z"/>
        <d v="2022-05-08T00:00:00Z"/>
        <d v="2022-08-11T00:00:00Z"/>
        <d v="2022-02-17T00:00:00Z"/>
        <d v="2022-04-01T00:00:00Z"/>
        <d v="2022-01-23T00:00:00Z"/>
        <d v="2022-05-12T00:00:00Z"/>
        <d v="2022-03-29T00:00:00Z"/>
        <d v="2022-10-23T00:00:00Z"/>
        <d v="2022-07-19T00:00:00Z"/>
        <d v="2022-09-03T00:00:00Z"/>
        <d v="2022-09-29T00:00:00Z"/>
        <d v="2022-05-26T00:00:00Z"/>
        <d v="2022-11-27T00:00:00Z"/>
        <d v="2022-07-25T00:00:00Z"/>
        <d v="2022-12-29T00:00:00Z"/>
        <d v="2022-12-15T00:00:00Z"/>
        <d v="2022-11-16T00:00:00Z"/>
        <d v="2022-02-16T00:00:00Z"/>
        <d v="2022-09-23T00:00:00Z"/>
        <d v="2022-12-05T00:00:00Z"/>
        <d v="2022-08-02T00:00:00Z"/>
        <d v="2022-07-24T00:00:00Z"/>
        <d v="2022-07-11T00:00:00Z"/>
        <d v="2022-03-01T00:00:00Z"/>
        <d v="2022-10-21T00:00:00Z"/>
        <d v="2022-08-22T00:00:00Z"/>
        <d v="2022-05-13T00:00:00Z"/>
        <d v="2022-10-16T00:00:00Z"/>
        <d v="2022-05-02T00:00:00Z"/>
        <d v="2022-03-02T00:00:00Z"/>
        <d v="2022-10-10T00:00:00Z"/>
        <d v="2022-01-07T00:00:00Z"/>
        <d v="2022-05-29T00:00:00Z"/>
        <d v="2022-11-17T00:00:00Z"/>
        <d v="2022-03-16T00:00:00Z"/>
        <d v="2022-04-10T00:00:00Z"/>
        <d v="2022-09-28T00:00:00Z"/>
        <d v="2022-08-10T00:00:00Z"/>
        <d v="2022-03-25T00:00:00Z"/>
        <d v="2022-07-28T00:00:00Z"/>
        <d v="2022-07-26T00:00:00Z"/>
        <d v="2022-07-09T00:00:00Z"/>
        <d v="2022-12-24T00:00:00Z"/>
        <d v="2022-09-11T00:00:00Z"/>
        <d v="2022-05-09T00:00:00Z"/>
        <d v="2022-10-29T00:00:00Z"/>
        <d v="2022-03-07T00:00:00Z"/>
        <d v="2022-10-07T00:00:00Z"/>
        <d v="2022-07-27T00:00:00Z"/>
        <d v="2022-01-24T00:00:00Z"/>
        <d v="2022-08-23T00:00:00Z"/>
        <d v="2022-07-20T00:00:00Z"/>
        <d v="2022-12-01T00:00:00Z"/>
        <d v="2022-06-02T00:00:00Z"/>
        <d v="2022-02-13T00:00:00Z"/>
        <d v="2022-08-31T00:00:00Z"/>
        <d v="2022-09-18T00:00:00Z"/>
        <d v="2022-01-09T00:00:00Z"/>
        <d v="2022-03-19T00:00:00Z"/>
        <d v="2022-07-01T00:00:00Z"/>
        <d v="2022-02-09T00:00:00Z"/>
        <d v="2022-09-17T00:00:00Z"/>
        <d v="2022-02-07T00:00:00Z"/>
        <d v="2022-12-06T00:00:00Z"/>
        <d v="2022-11-06T00:00:00Z"/>
        <d v="2022-06-08T00:00:00Z"/>
        <d v="2022-06-01T00:00:00Z"/>
        <d v="2022-05-30T00:00:00Z"/>
        <d v="2022-11-24T00:00:00Z"/>
        <d v="2022-03-12T00:00:00Z"/>
        <d v="2022-01-12T00:00:00Z"/>
        <d v="2022-06-22T00:00:00Z"/>
        <d v="2022-12-21T00:00:00Z"/>
        <d v="2022-01-20T00:00:00Z"/>
        <d v="2022-01-15T00:00:00Z"/>
        <d v="2022-10-26T00:00:00Z"/>
        <d v="2022-11-18T00:00:00Z"/>
        <d v="2022-11-04T00:00:00Z"/>
        <d v="2022-04-14T00:00:00Z"/>
        <d v="2022-03-28T00:00:00Z"/>
        <d v="2022-06-05T00:00:00Z"/>
        <d v="2022-04-22T00:00:00Z"/>
        <d v="2022-11-10T00:00:00Z"/>
        <d v="2022-10-22T00:00:00Z"/>
        <d v="2022-08-29T00:00:00Z"/>
        <d v="2022-12-27T00:00:00Z"/>
        <d v="2022-04-21T00:00:00Z"/>
        <d v="2022-05-17T00:00:00Z"/>
        <d v="2022-06-18T00:00:00Z"/>
        <d v="2022-06-25T00:00:00Z"/>
        <d v="2022-12-22T00:00:00Z"/>
        <d v="2022-11-25T00:00:00Z"/>
        <d v="2022-09-27T00:00:00Z"/>
        <d v="2022-07-29T00:00:00Z"/>
        <d v="2022-05-20T00:00:00Z"/>
        <d v="2022-05-22T00:00:00Z"/>
        <d v="2022-02-24T00:00:00Z"/>
        <d v="2022-05-05T00:00:00Z"/>
        <d v="2022-03-03T00:00:00Z"/>
        <d v="2022-02-03T00:00:00Z"/>
        <d v="2022-08-20T00:00:00Z"/>
        <d v="2022-01-04T00:00:00Z"/>
        <d v="2022-02-15T00:00:00Z"/>
        <d v="2022-09-07T00:00:00Z"/>
        <d v="2022-12-19T00:00:00Z"/>
        <d v="2022-08-14T00:00:00Z"/>
        <d v="2022-11-21T00:00:00Z"/>
        <d v="2022-04-20T00:00:00Z"/>
        <d v="2022-01-27T00:00:00Z"/>
        <d v="2022-03-15T00:00:00Z"/>
        <d v="2022-12-10T00:00:00Z"/>
        <d v="2022-03-31T00:00:00Z"/>
        <d v="2022-06-14T00:00:00Z"/>
        <d v="2022-03-05T00:00:00Z"/>
        <d v="2022-11-11T00:00:00Z"/>
        <d v="2022-08-08T00:00:00Z"/>
        <d v="2022-05-25T00:00:00Z"/>
        <d v="2022-07-21T00:00:00Z"/>
        <d v="2022-08-25T00:00:00Z"/>
        <d v="2022-01-26T00:00:00Z"/>
        <d v="2022-07-02T00:00:00Z"/>
        <d v="2022-02-26T00:00:00Z"/>
        <d v="2022-01-19T00:00:00Z"/>
        <d v="2022-04-04T00:00:00Z"/>
        <d v="2022-03-24T00:00:00Z"/>
        <d v="2022-01-11T00:00:00Z"/>
        <d v="2022-01-01T00:00:00Z"/>
        <d v="2022-05-04T00:00:00Z"/>
        <d v="2022-10-25T00:00:00Z"/>
        <d v="2022-06-12T00:00:00Z"/>
        <d v="2022-02-28T00:00:00Z"/>
        <d v="2022-05-11T00:00:00Z"/>
        <d v="2022-04-23T00:00:00Z"/>
        <d v="2022-08-04T00:00:00Z"/>
        <d v="2022-05-10T00:00:00Z"/>
        <d v="2022-03-17T00:00:00Z"/>
        <d v="2022-05-21T00:00:00Z"/>
        <d v="2022-07-16T00:00:00Z"/>
        <d v="2022-05-23T00:00:00Z"/>
        <d v="2022-04-15T00:00:00Z"/>
        <d v="2022-09-22T00:00:00Z"/>
        <d v="2022-11-01T00:00:00Z"/>
        <d v="2022-03-08T00:00:00Z"/>
        <d v="2022-10-14T00:00:00Z"/>
        <d v="2022-07-10T00:00:00Z"/>
        <d v="2022-03-11T00:00:00Z"/>
        <d v="2022-07-30T00:00:00Z"/>
        <d v="2022-06-20T00:00:00Z"/>
        <d v="2022-04-07T00:00:00Z"/>
        <d v="2022-07-22T00:00:00Z"/>
        <d v="2022-05-24T00:00:00Z"/>
        <d v="2022-01-14T00:00:00Z"/>
        <d v="2022-09-01T00:00:00Z"/>
        <d v="2022-09-21T00:00:00Z"/>
        <d v="2022-04-18T00:00:00Z"/>
        <d v="2022-11-30T00:00:00Z"/>
        <d v="2022-04-11T00:00:00Z"/>
        <d v="2022-08-06T00:00:00Z"/>
        <d v="2022-12-11T00:00:00Z"/>
        <d v="2022-09-15T00:00:00Z"/>
        <d v="2022-01-17T00:00:00Z"/>
        <d v="2022-03-10T00:00:00Z"/>
        <d v="2022-11-03T00:00:00Z"/>
        <d v="2022-12-07T00:00:00Z"/>
        <d v="2022-04-16T00:00:00Z"/>
        <d v="2022-12-25T00:00:00Z"/>
        <d v="2022-12-23T00:00:00Z"/>
        <d v="2022-12-18T00:00:00Z"/>
        <d v="2022-08-18T00:00:00Z"/>
        <d v="2022-12-04T00:00:00Z"/>
        <d v="2022-10-28T00:00:00Z"/>
        <d v="2022-12-28T00:00:00Z"/>
        <d v="2022-06-06T00:00:00Z"/>
        <d v="2022-05-19T00:00:00Z"/>
        <d v="2022-02-20T00:00:00Z"/>
        <d v="2022-06-15T00:00:00Z"/>
        <d v="2022-11-07T00:00:00Z"/>
        <d v="2022-06-11T00:00:00Z"/>
        <d v="2022-08-09T00:00:00Z"/>
        <d v="2022-12-17T00:00:00Z"/>
        <d v="2022-06-30T00:00:00Z"/>
        <d v="2022-08-26T00:00:00Z"/>
        <d v="2022-11-12T00:00:00Z"/>
        <d v="2022-02-10T00:00:00Z"/>
        <d v="2022-06-19T00:00:00Z"/>
        <d v="2022-06-21T00:00:00Z"/>
        <d v="2022-11-14T00:00:00Z"/>
        <d v="2022-01-25T00:00:00Z"/>
        <d v="2022-02-01T00:00:00Z"/>
        <d v="2022-08-13T00:00:00Z"/>
        <d v="2022-05-07T00:00:00Z"/>
        <d v="2022-09-20T00:00:00Z"/>
        <d v="2022-10-13T00:00:00Z"/>
        <d v="2022-04-17T00:00:00Z"/>
        <d v="2022-01-08T00:00:00Z"/>
        <d v="2022-05-14T00:00:00Z"/>
        <d v="2022-06-03T00:00:00Z"/>
        <d v="2022-12-03T00:00:00Z"/>
        <d v="2022-01-10T00:00:00Z"/>
        <d v="2022-10-09T00:00:00Z"/>
        <d v="2022-06-09T00:00:00Z"/>
        <d v="2022-02-02T00:00:00Z"/>
        <d v="2022-08-12T00:00:00Z"/>
        <d v="2022-04-30T00:00:00Z"/>
        <d v="2022-06-04T00:00:00Z"/>
        <d v="2022-01-30T00:00:00Z"/>
        <d v="2022-06-27T00:00:00Z"/>
        <d v="2022-02-08T00:00:00Z"/>
        <d v="2022-07-04T00:00:00Z"/>
        <d v="2022-09-09T00:00:00Z"/>
        <d v="2022-10-01T00:00:00Z"/>
        <d v="2022-11-05T00:00:00Z"/>
        <d v="2022-08-28T00:00:00Z"/>
        <d v="2022-12-14T00:00:00Z"/>
        <d v="2022-06-17T00:00:00Z"/>
        <d v="2022-05-27T00:00:00Z"/>
        <d v="2022-08-05T00:00:00Z"/>
        <d v="2022-12-12T00:00:00Z"/>
        <d v="2022-02-25T00:00:00Z"/>
        <d v="2022-04-25T00:00:00Z"/>
        <d v="2022-06-24T00:00:00Z"/>
        <d v="2022-11-09T00:00:00Z"/>
        <d v="2022-05-06T00:00:00Z"/>
        <d v="2022-04-28T00:00:00Z"/>
        <d v="2022-01-03T00:00:00Z"/>
        <d v="2022-07-23T00:00:00Z"/>
        <d v="2022-06-23T00:00:00Z"/>
        <d v="2022-04-08T00:00:00Z"/>
        <d v="2022-09-30T00:00:00Z"/>
      </sharedItems>
    </cacheField>
    <cacheField name="Кол-во дней с момента регистрации" numFmtId="0">
      <sharedItems containsSemiMixedTypes="0" containsString="0" containsNumber="1" containsInteger="1">
        <n v="440.0"/>
        <n v="333.0"/>
        <n v="521.0"/>
        <n v="619.0"/>
        <n v="574.0"/>
        <n v="699.0"/>
        <n v="611.0"/>
        <n v="708.0"/>
        <n v="692.0"/>
        <n v="482.0"/>
        <n v="738.0"/>
        <n v="408.0"/>
        <n v="339.0"/>
        <n v="152.0"/>
        <n v="302.0"/>
        <n v="613.0"/>
        <n v="223.0"/>
        <n v="191.0"/>
        <n v="402.0"/>
        <n v="569.0"/>
        <n v="395.0"/>
        <n v="464.0"/>
        <n v="313.0"/>
        <n v="637.0"/>
        <n v="390.0"/>
        <n v="490.0"/>
        <n v="716.0"/>
        <n v="456.0"/>
        <n v="721.0"/>
        <n v="476.0"/>
        <n v="495.0"/>
        <n v="236.0"/>
        <n v="460.0"/>
        <n v="548.0"/>
        <n v="264.0"/>
        <n v="55.0"/>
        <n v="362.0"/>
        <n v="207.0"/>
        <n v="503.0"/>
        <n v="496.0"/>
        <n v="581.0"/>
        <n v="560.0"/>
        <n v="269.0"/>
        <n v="163.0"/>
        <n v="433.0"/>
        <n v="237.0"/>
        <n v="632.0"/>
        <n v="486.0"/>
        <n v="459.0"/>
        <n v="453.0"/>
        <n v="592.0"/>
        <n v="667.0"/>
        <n v="439.0"/>
        <n v="706.0"/>
        <n v="364.0"/>
        <n v="740.0"/>
        <n v="154.0"/>
        <n v="623.0"/>
        <n v="159.0"/>
        <n v="423.0"/>
        <n v="712.0"/>
        <n v="404.0"/>
        <n v="91.0"/>
        <n v="353.0"/>
        <n v="626.0"/>
        <n v="143.0"/>
        <n v="263.0"/>
        <n v="290.0"/>
        <n v="661.0"/>
        <n v="101.0"/>
        <n v="590.0"/>
        <n v="162.0"/>
        <n v="734.0"/>
        <n v="358.0"/>
        <n v="659.0"/>
        <n v="245.0"/>
        <n v="131.0"/>
        <n v="468.0"/>
        <n v="420.0"/>
        <n v="396.0"/>
        <n v="303.0"/>
        <n v="578.0"/>
        <n v="76.0"/>
        <n v="374.0"/>
        <n v="516.0"/>
        <n v="300.0"/>
        <n v="385.0"/>
        <n v="547.0"/>
        <n v="655.0"/>
        <n v="598.0"/>
        <n v="422.0"/>
        <n v="537.0"/>
        <n v="473.0"/>
        <n v="301.0"/>
        <n v="175.0"/>
        <n v="363.0"/>
        <n v="747.0"/>
        <n v="605.0"/>
        <n v="278.0"/>
        <n v="352.0"/>
        <n v="601.0"/>
        <n v="463.0"/>
        <n v="648.0"/>
        <n v="412.0"/>
        <n v="684.0"/>
        <n v="193.0"/>
        <n v="182.0"/>
        <n v="393.0"/>
        <n v="678.0"/>
        <n v="258.0"/>
        <n v="58.0"/>
        <n v="370.0"/>
        <n v="618.0"/>
        <n v="630.0"/>
        <n v="533.0"/>
        <n v="78.0"/>
        <n v="671.0"/>
        <n v="494.0"/>
        <n v="750.0"/>
        <n v="136.0"/>
        <n v="665.0"/>
        <n v="606.0"/>
        <n v="628.0"/>
        <n v="436.0"/>
        <n v="295.0"/>
        <n v="111.0"/>
        <n v="733.0"/>
        <n v="858.0"/>
        <n v="419.0"/>
        <n v="210.0"/>
        <n v="306.0"/>
        <n v="243.0"/>
        <n v="545.0"/>
        <n v="499.0"/>
        <n v="594.0"/>
        <n v="773.0"/>
        <n v="371.0"/>
        <n v="288.0"/>
        <n v="616.0"/>
        <n v="766.0"/>
        <n v="478.0"/>
        <n v="273.0"/>
        <n v="317.0"/>
        <n v="415.0"/>
        <n v="553.0"/>
        <n v="585.0"/>
        <n v="250.0"/>
        <n v="249.0"/>
        <n v="518.0"/>
        <n v="69.0"/>
        <n v="504.0"/>
        <n v="392.0"/>
        <n v="221.0"/>
        <n v="272.0"/>
        <n v="682.0"/>
        <n v="304.0"/>
        <n v="424.0"/>
        <n v="399.0"/>
        <n v="539.0"/>
        <n v="538.0"/>
        <n v="582.0"/>
        <n v="472.0"/>
        <n v="432.0"/>
        <n v="355.0"/>
        <n v="500.0"/>
        <n v="639.0"/>
        <n v="461.0"/>
        <n v="546.0"/>
        <n v="377.0"/>
        <n v="673.0"/>
        <n v="489.0"/>
        <n v="176.0"/>
        <n v="493.0"/>
        <n v="627.0"/>
        <n v="510.0"/>
        <n v="770.0"/>
        <n v="186.0"/>
        <n v="197.0"/>
        <n v="342.0"/>
        <n v="535.0"/>
        <n v="471.0"/>
        <n v="376.0"/>
        <n v="282.0"/>
        <n v="120.0"/>
        <n v="220.0"/>
        <n v="274.0"/>
        <n v="178.0"/>
        <n v="335.0"/>
        <n v="321.0"/>
        <n v="681.0"/>
        <n v="685.0"/>
        <n v="414.0"/>
        <n v="132.0"/>
        <n v="636.0"/>
        <n v="485.0"/>
        <n v="310.0"/>
        <n v="446.0"/>
        <n v="865.0"/>
        <n v="776.0"/>
        <n v="583.0"/>
        <n v="564.0"/>
        <n v="841.0"/>
        <n v="351.0"/>
        <n v="653.0"/>
        <n v="828.0"/>
        <n v="455.0"/>
        <n v="291.0"/>
        <n v="125.0"/>
        <n v="130.0"/>
        <n v="691.0"/>
        <n v="576.0"/>
        <n v="180.0"/>
        <n v="323.0"/>
        <n v="170.0"/>
        <n v="557.0"/>
        <n v="217.0"/>
        <n v="599.0"/>
        <n v="542.0"/>
        <n v="488.0"/>
        <n v="593.0"/>
        <n v="726.0"/>
        <n v="389.0"/>
        <n v="688.0"/>
        <n v="257.0"/>
        <n v="327.0"/>
        <n v="534.0"/>
        <n v="444.0"/>
        <n v="541.0"/>
        <n v="279.0"/>
        <n v="475.0"/>
        <n v="430.0"/>
        <n v="768.0"/>
        <n v="848.0"/>
        <n v="443.0"/>
        <n v="122.0"/>
        <n v="438.0"/>
        <n v="138.0"/>
        <n v="309.0"/>
        <n v="328.0"/>
        <n v="242.0"/>
        <n v="189.0"/>
        <n v="746.0"/>
        <n v="338.0"/>
        <n v="668.0"/>
        <n v="119.0"/>
        <n v="474.0"/>
        <n v="380.0"/>
        <n v="219.0"/>
        <n v="350.0"/>
        <n v="675.0"/>
        <n v="722.0"/>
        <n v="638.0"/>
        <n v="406.0"/>
        <n v="108.0"/>
        <n v="334.0"/>
        <n v="484.0"/>
        <n v="462.0"/>
        <n v="660.0"/>
        <n v="381.0"/>
        <n v="307.0"/>
        <n v="336.0"/>
        <n v="517.0"/>
        <n v="501.0"/>
        <n v="360.0"/>
        <n v="617.0"/>
        <n v="416.0"/>
        <n v="651.0"/>
        <n v="664.0"/>
        <n v="261.0"/>
        <n v="562.0"/>
        <n v="213.0"/>
        <n v="477.0"/>
        <n v="271.0"/>
        <n v="551.0"/>
        <n v="359.0"/>
        <n v="525.0"/>
        <n v="75.0"/>
        <n v="259.0"/>
        <n v="466.0"/>
        <n v="709.0"/>
        <n v="372.0"/>
        <n v="394.0"/>
        <n v="294.0"/>
        <n v="693.0"/>
        <n v="246.0"/>
        <n v="723.0"/>
        <n v="164.0"/>
        <n v="275.0"/>
        <n v="663.0"/>
        <n v="410.0"/>
        <n v="201.0"/>
        <n v="149.0"/>
        <n v="577.0"/>
        <n v="579.0"/>
        <n v="345.0"/>
        <n v="530.0"/>
        <n v="70.0"/>
        <n v="280.0"/>
        <n v="212.0"/>
        <n v="71.0"/>
        <n v="118.0"/>
        <n v="325.0"/>
        <n v="719.0"/>
        <n v="398.0"/>
        <n v="177.0"/>
        <n v="772.0"/>
        <n v="552.0"/>
        <n v="649.0"/>
        <n v="672.0"/>
        <n v="752.0"/>
        <n v="66.0"/>
        <n v="454.0"/>
        <n v="479.0"/>
        <n v="502.0"/>
        <n v="515.0"/>
        <n v="657.0"/>
        <n v="656.0"/>
        <n v="357.0"/>
        <n v="745.0"/>
        <n v="531.0"/>
        <n v="483.0"/>
        <n v="427.0"/>
        <n v="491.0"/>
        <n v="96.0"/>
        <n v="187.0"/>
        <n v="411.0"/>
        <n v="603.0"/>
        <n v="505.0"/>
        <n v="266.0"/>
        <n v="253.0"/>
        <n v="379.0"/>
        <n v="735.0"/>
        <n v="513.0"/>
        <n v="265.0"/>
        <n v="229.0"/>
        <n v="314.0"/>
        <n v="230.0"/>
        <n v="559.0"/>
        <n v="554.0"/>
        <n v="128.0"/>
        <n v="340.0"/>
        <n v="409.0"/>
        <n v="316.0"/>
        <n v="696.0"/>
        <n v="785.0"/>
        <n v="276.0"/>
        <n v="346.0"/>
        <n v="109.0"/>
        <n v="806.0"/>
        <n v="127.0"/>
        <n v="571.0"/>
        <n v="526.0"/>
        <n v="549.0"/>
        <n v="710.0"/>
        <n v="522.0"/>
        <n v="508.0"/>
        <n v="161.0"/>
        <n v="492.0"/>
        <n v="720.0"/>
        <n v="635.0"/>
        <n v="448.0"/>
        <n v="543.0"/>
        <n v="634.0"/>
        <n v="780.0"/>
        <n v="586.0"/>
        <n v="568.0"/>
        <n v="287.0"/>
        <n v="299.0"/>
        <n v="413.0"/>
        <n v="405.0"/>
        <n v="607.0"/>
        <n v="674.0"/>
        <n v="480.0"/>
        <n v="767.0"/>
        <n v="260.0"/>
        <n v="498.0"/>
        <n v="690.0"/>
        <n v="567.0"/>
        <n v="429.0"/>
        <n v="435.0"/>
        <n v="224.0"/>
        <n v="252.0"/>
        <n v="428.0"/>
        <n v="64.0"/>
        <n v="235.0"/>
        <n v="347.0"/>
        <n v="386.0"/>
        <n v="451.0"/>
        <n v="855.0"/>
        <n v="104.0"/>
        <n v="441.0"/>
        <n v="238.0"/>
        <n v="725.0"/>
        <n v="254.0"/>
        <n v="375.0"/>
        <n v="447.0"/>
        <n v="695.0"/>
        <n v="281.0"/>
        <n v="834.0"/>
        <n v="329.0"/>
        <n v="555.0"/>
        <n v="512.0"/>
        <n v="856.0"/>
        <n v="61.0"/>
        <n v="169.0"/>
        <n v="643.0"/>
        <n v="167.0"/>
        <n v="544.0"/>
        <n v="646.0"/>
        <n v="497.0"/>
        <n v="366.0"/>
        <n v="669.0"/>
        <n v="95.0"/>
        <n v="100.0"/>
        <n v="198.0"/>
        <n v="228.0"/>
        <n v="743.0"/>
        <n v="92.0"/>
        <n v="591.0"/>
        <n v="558.0"/>
        <n v="88.0"/>
        <n v="387.0"/>
        <n v="509.0"/>
        <n v="759.0"/>
        <n v="556.0"/>
        <n v="796.0"/>
        <n v="707.0"/>
        <n v="588.0"/>
        <n v="604.0"/>
        <n v="612.0"/>
        <n v="247.0"/>
        <n v="369.0"/>
        <n v="565.0"/>
        <n v="361.0"/>
        <n v="211.0"/>
        <n v="609.0"/>
        <n v="524.0"/>
        <n v="202.0"/>
        <n v="470.0"/>
        <n v="866.0"/>
        <n v="452.0"/>
        <n v="67.0"/>
        <n v="268.0"/>
        <n v="126.0"/>
        <n v="532.0"/>
        <n v="330.0"/>
        <n v="349.0"/>
        <n v="344.0"/>
        <n v="156.0"/>
        <n v="615.0"/>
        <n v="203.0"/>
        <n v="218.0"/>
        <n v="481.0"/>
        <n v="373.0"/>
        <n v="391.0"/>
        <n v="293.0"/>
        <n v="529.0"/>
        <n v="216.0"/>
        <n v="610.0"/>
        <n v="196.0"/>
        <n v="520.0"/>
        <n v="232.0"/>
        <n v="322.0"/>
        <n v="426.0"/>
        <n v="72.0"/>
        <n v="417.0"/>
        <n v="739.0"/>
        <n v="292.0"/>
        <n v="286.0"/>
        <n v="469.0"/>
        <n v="458.0"/>
        <n v="155.0"/>
        <n v="311.0"/>
        <n v="587.0"/>
        <n v="645.0"/>
        <n v="174.0"/>
        <n v="84.0"/>
        <n v="467.0"/>
        <n v="795.0"/>
        <n v="270.0"/>
        <n v="312.0"/>
        <n v="640.0"/>
        <n v="676.0"/>
        <n v="115.0"/>
        <n v="595.0"/>
        <n v="222.0"/>
        <n v="658.0"/>
        <n v="608.0"/>
        <n v="812.0"/>
        <n v="184.0"/>
        <n v="256.0"/>
        <n v="179.0"/>
        <n v="775.0"/>
        <n v="326.0"/>
        <n v="575.0"/>
        <n v="644.0"/>
        <n v="239.0"/>
        <n v="434.0"/>
        <n v="596.0"/>
        <n v="573.0"/>
        <n v="437.0"/>
        <n v="536.0"/>
        <n v="285.0"/>
        <n v="621.0"/>
        <n v="80.0"/>
        <n v="511.0"/>
        <n v="614.0"/>
        <n v="102.0"/>
        <n v="8.0"/>
        <n v="157.0"/>
        <n v="724.0"/>
        <n v="597.0"/>
        <n v="367.0"/>
        <n v="566.0"/>
        <n v="226.0"/>
        <n v="124.0"/>
        <n v="589.0"/>
        <n v="631.0"/>
        <n v="786.0"/>
        <n v="296.0"/>
        <n v="523.0"/>
        <n v="356.0"/>
        <n v="68.0"/>
        <n v="43.0"/>
        <n v="388.0"/>
        <n v="383.0"/>
        <n v="331.0"/>
        <n v="487.0"/>
        <n v="332.0"/>
        <n v="214.0"/>
        <n v="778.0"/>
        <n v="267.0"/>
        <n v="48.0"/>
        <n v="680.0"/>
        <n v="702.0"/>
      </sharedItems>
    </cacheField>
    <cacheField name="Страна клиента" numFmtId="0">
      <sharedItems>
        <s v="Узбекистан"/>
        <s v="Беларусь"/>
        <s v="Россия"/>
        <s v="Украина"/>
        <s v="Таджикистан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001" sheet="продажи"/>
  </cacheSource>
  <cacheFields>
    <cacheField name="id чека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id товара" numFmtId="0">
      <sharedItems containsSemiMixedTypes="0" containsString="0" containsNumber="1" containsInteger="1">
        <n v="300.0"/>
        <n v="486.0"/>
        <n v="76.0"/>
        <n v="240.0"/>
        <n v="32.0"/>
        <n v="162.0"/>
        <n v="323.0"/>
        <n v="60.0"/>
        <n v="401.0"/>
        <n v="100.0"/>
        <n v="217.0"/>
        <n v="445.0"/>
        <n v="284.0"/>
        <n v="116.0"/>
        <n v="378.0"/>
        <n v="299.0"/>
        <n v="359.0"/>
        <n v="337.0"/>
        <n v="226.0"/>
        <n v="310.0"/>
        <n v="137.0"/>
        <n v="385.0"/>
        <n v="451.0"/>
        <n v="7.0"/>
        <n v="495.0"/>
        <n v="415.0"/>
        <n v="176.0"/>
        <n v="181.0"/>
        <n v="399.0"/>
        <n v="382.0"/>
        <n v="103.0"/>
        <n v="104.0"/>
        <n v="213.0"/>
        <n v="157.0"/>
        <n v="237.0"/>
        <n v="8.0"/>
        <n v="65.0"/>
        <n v="45.0"/>
        <n v="36.0"/>
        <n v="443.0"/>
        <n v="384.0"/>
        <n v="41.0"/>
        <n v="484.0"/>
        <n v="390.0"/>
        <n v="57.0"/>
        <n v="285.0"/>
        <n v="444.0"/>
        <n v="35.0"/>
        <n v="296.0"/>
        <n v="227.0"/>
        <n v="167.0"/>
        <n v="146.0"/>
        <n v="338.0"/>
        <n v="155.0"/>
        <n v="239.0"/>
        <n v="158.0"/>
        <n v="147.0"/>
        <n v="311.0"/>
        <n v="465.0"/>
        <n v="449.0"/>
        <n v="144.0"/>
        <n v="375.0"/>
        <n v="408.0"/>
        <n v="425.0"/>
        <n v="277.0"/>
        <n v="130.0"/>
        <n v="30.0"/>
        <n v="75.0"/>
        <n v="118.0"/>
        <n v="19.0"/>
        <n v="204.0"/>
        <n v="304.0"/>
        <n v="189.0"/>
        <n v="392.0"/>
        <n v="10.0"/>
        <n v="64.0"/>
        <n v="334.0"/>
        <n v="345.0"/>
        <n v="281.0"/>
        <n v="276.0"/>
        <n v="234.0"/>
        <n v="319.0"/>
        <n v="24.0"/>
        <n v="357.0"/>
        <n v="265.0"/>
        <n v="102.0"/>
        <n v="212.0"/>
        <n v="215.0"/>
        <n v="364.0"/>
        <n v="499.0"/>
        <n v="202.0"/>
        <n v="244.0"/>
        <n v="363.0"/>
        <n v="434.0"/>
        <n v="305.0"/>
        <n v="37.0"/>
        <n v="242.0"/>
        <n v="332.0"/>
        <n v="452.0"/>
        <n v="132.0"/>
        <n v="457.0"/>
        <n v="250.0"/>
        <n v="195.0"/>
        <n v="186.0"/>
        <n v="490.0"/>
        <n v="72.0"/>
        <n v="430.0"/>
        <n v="223.0"/>
        <n v="164.0"/>
        <n v="393.0"/>
        <n v="166.0"/>
        <n v="249.0"/>
        <n v="83.0"/>
        <n v="236.0"/>
        <n v="379.0"/>
        <n v="431.0"/>
        <n v="463.0"/>
        <n v="494.0"/>
        <n v="394.0"/>
        <n v="380.0"/>
        <n v="309.0"/>
        <n v="112.0"/>
        <n v="81.0"/>
        <n v="4.0"/>
        <n v="209.0"/>
        <n v="156.0"/>
        <n v="441.0"/>
        <n v="180.0"/>
        <n v="438.0"/>
        <n v="232.0"/>
        <n v="206.0"/>
        <n v="295.0"/>
        <n v="221.0"/>
        <n v="333.0"/>
        <n v="498.0"/>
        <n v="476.0"/>
        <n v="126.0"/>
        <n v="255.0"/>
        <n v="138.0"/>
        <n v="403.0"/>
        <n v="280.0"/>
        <n v="356.0"/>
        <n v="282.0"/>
        <n v="459.0"/>
        <n v="402.0"/>
        <n v="320.0"/>
        <n v="447.0"/>
        <n v="406.0"/>
        <n v="391.0"/>
        <n v="82.0"/>
        <n v="243.0"/>
        <n v="432.0"/>
        <n v="159.0"/>
        <n v="197.0"/>
        <n v="110.0"/>
        <n v="288.0"/>
        <n v="493.0"/>
        <n v="446.0"/>
        <n v="428.0"/>
        <n v="192.0"/>
        <n v="69.0"/>
        <n v="270.0"/>
        <n v="348.0"/>
        <n v="321.0"/>
        <n v="341.0"/>
        <n v="473.0"/>
        <n v="482.0"/>
        <n v="169.0"/>
        <n v="397.0"/>
        <n v="436.0"/>
        <n v="369.0"/>
        <n v="361.0"/>
        <n v="87.0"/>
        <n v="376.0"/>
        <n v="111.0"/>
        <n v="344.0"/>
        <n v="462.0"/>
        <n v="279.0"/>
        <n v="322.0"/>
        <n v="317.0"/>
        <n v="25.0"/>
        <n v="410.0"/>
        <n v="207.0"/>
        <n v="131.0"/>
        <n v="96.0"/>
        <n v="268.0"/>
        <n v="358.0"/>
        <n v="160.0"/>
        <n v="23.0"/>
        <n v="49.0"/>
        <n v="485.0"/>
        <n v="40.0"/>
        <n v="275.0"/>
        <n v="205.0"/>
        <n v="219.0"/>
        <n v="435.0"/>
        <n v="26.0"/>
        <n v="273.0"/>
        <n v="340.0"/>
        <n v="34.0"/>
        <n v="117.0"/>
        <n v="201.0"/>
        <n v="377.0"/>
        <n v="251.0"/>
        <n v="409.0"/>
        <n v="422.0"/>
        <n v="222.0"/>
        <n v="497.0"/>
        <n v="351.0"/>
        <n v="464.0"/>
        <n v="241.0"/>
        <n v="258.0"/>
        <n v="216.0"/>
        <n v="272.0"/>
        <n v="225.0"/>
        <n v="467.0"/>
        <n v="139.0"/>
        <n v="404.0"/>
        <n v="328.0"/>
        <n v="424.0"/>
        <n v="86.0"/>
        <n v="17.0"/>
        <n v="43.0"/>
        <n v="5.0"/>
        <n v="298.0"/>
        <n v="421.0"/>
        <n v="483.0"/>
        <n v="414.0"/>
        <n v="389.0"/>
        <n v="367.0"/>
        <n v="128.0"/>
        <n v="368.0"/>
        <n v="74.0"/>
        <n v="149.0"/>
        <n v="229.0"/>
        <n v="28.0"/>
        <n v="260.0"/>
        <n v="140.0"/>
        <n v="67.0"/>
        <n v="448.0"/>
        <n v="331.0"/>
        <n v="325.0"/>
        <n v="346.0"/>
        <n v="115.0"/>
        <n v="360.0"/>
        <n v="230.0"/>
        <n v="353.0"/>
        <n v="188.0"/>
        <n v="405.0"/>
        <n v="99.0"/>
        <n v="196.0"/>
        <n v="271.0"/>
        <n v="210.0"/>
        <n v="178.0"/>
        <n v="423.0"/>
        <n v="70.0"/>
        <n v="335.0"/>
        <n v="427.0"/>
        <n v="303.0"/>
        <n v="398.0"/>
        <n v="290.0"/>
        <n v="386.0"/>
        <n v="350.0"/>
        <n v="329.0"/>
        <n v="233.0"/>
        <n v="293.0"/>
        <n v="286.0"/>
        <n v="11.0"/>
        <n v="142.0"/>
        <n v="466.0"/>
        <n v="71.0"/>
        <n v="480.0"/>
        <n v="129.0"/>
        <n v="283.0"/>
        <n v="313.0"/>
        <n v="18.0"/>
        <n v="145.0"/>
        <n v="491.0"/>
        <n v="29.0"/>
        <n v="50.0"/>
        <n v="336.0"/>
        <n v="440.0"/>
        <n v="51.0"/>
        <n v="371.0"/>
        <n v="14.0"/>
        <n v="312.0"/>
        <n v="477.0"/>
        <n v="91.0"/>
        <n v="52.0"/>
        <n v="383.0"/>
        <n v="252.0"/>
        <n v="365.0"/>
        <n v="420.0"/>
        <n v="97.0"/>
        <n v="47.0"/>
        <n v="187.0"/>
        <n v="429.0"/>
        <n v="93.0"/>
        <n v="198.0"/>
        <n v="362.0"/>
        <n v="461.0"/>
        <n v="84.0"/>
        <n v="172.0"/>
        <n v="171.0"/>
        <n v="194.0"/>
        <n v="235.0"/>
        <n v="458.0"/>
        <n v="193.0"/>
        <n v="450.0"/>
        <n v="163.0"/>
        <n v="12.0"/>
        <n v="61.0"/>
        <n v="15.0"/>
        <n v="90.0"/>
        <n v="396.0"/>
        <n v="481.0"/>
        <n v="246.0"/>
        <n v="174.0"/>
        <n v="479.0"/>
        <n v="224.0"/>
        <n v="42.0"/>
        <n v="267.0"/>
        <n v="161.0"/>
        <n v="315.0"/>
        <n v="121.0"/>
        <n v="433.0"/>
        <n v="453.0"/>
        <n v="248.0"/>
        <n v="492.0"/>
        <n v="122.0"/>
        <n v="62.0"/>
        <n v="119.0"/>
        <n v="388.0"/>
        <n v="66.0"/>
        <n v="125.0"/>
        <n v="274.0"/>
        <n v="471.0"/>
        <n v="395.0"/>
        <n v="474.0"/>
        <n v="63.0"/>
        <n v="89.0"/>
        <n v="27.0"/>
        <n v="127.0"/>
        <n v="426.0"/>
        <n v="355.0"/>
        <n v="113.0"/>
        <n v="291.0"/>
        <n v="182.0"/>
        <n v="105.0"/>
        <n v="199.0"/>
        <n v="211.0"/>
        <n v="22.0"/>
        <n v="150.0"/>
        <n v="191.0"/>
        <n v="245.0"/>
        <n v="154.0"/>
        <n v="266.0"/>
        <n v="143.0"/>
        <n v="475.0"/>
        <n v="292.0"/>
        <n v="307.0"/>
        <n v="39.0"/>
        <n v="316.0"/>
        <n v="228.0"/>
        <n v="269.0"/>
        <n v="151.0"/>
        <n v="101.0"/>
        <n v="411.0"/>
        <n v="381.0"/>
        <n v="400.0"/>
        <n v="55.0"/>
        <n v="372.0"/>
        <n v="80.0"/>
        <n v="413.0"/>
        <n v="46.0"/>
        <n v="1.0"/>
        <n v="478.0"/>
        <n v="456.0"/>
        <n v="38.0"/>
        <n v="134.0"/>
        <n v="77.0"/>
        <n v="455.0"/>
        <n v="218.0"/>
        <n v="263.0"/>
        <n v="254.0"/>
        <n v="370.0"/>
        <n v="301.0"/>
        <n v="259.0"/>
        <n v="468.0"/>
        <n v="200.0"/>
        <n v="354.0"/>
        <n v="460.0"/>
        <n v="184.0"/>
        <n v="308.0"/>
        <n v="407.0"/>
        <n v="148.0"/>
        <n v="152.0"/>
        <n v="326.0"/>
        <n v="352.0"/>
        <n v="44.0"/>
        <n v="183.0"/>
        <n v="88.0"/>
        <n v="347.0"/>
        <n v="342.0"/>
        <n v="59.0"/>
        <n v="16.0"/>
        <n v="220.0"/>
        <n v="439.0"/>
        <n v="437.0"/>
        <n v="73.0"/>
        <n v="208.0"/>
        <n v="6.0"/>
        <n v="318.0"/>
        <n v="327.0"/>
        <n v="416.0"/>
        <n v="374.0"/>
        <n v="289.0"/>
        <n v="173.0"/>
        <n v="114.0"/>
        <n v="170.0"/>
        <n v="9.0"/>
        <n v="302.0"/>
        <n v="48.0"/>
        <n v="3.0"/>
        <n v="168.0"/>
        <n v="13.0"/>
        <n v="141.0"/>
        <n v="120.0"/>
        <n v="418.0"/>
        <n v="294.0"/>
        <n v="175.0"/>
        <n v="469.0"/>
      </sharedItems>
    </cacheField>
    <cacheField name="цена за шт в рублях" numFmtId="0">
      <sharedItems containsSemiMixedTypes="0" containsString="0" containsNumber="1" containsInteger="1">
        <n v="103.0"/>
        <n v="296.0"/>
        <n v="139.0"/>
        <n v="141.0"/>
        <n v="123.0"/>
        <n v="452.0"/>
        <n v="149.0"/>
        <n v="489.0"/>
        <n v="416.0"/>
        <n v="449.0"/>
        <n v="109.0"/>
        <n v="213.0"/>
        <n v="190.0"/>
        <n v="237.0"/>
        <n v="178.0"/>
        <n v="320.0"/>
        <n v="419.0"/>
        <n v="458.0"/>
        <n v="152.0"/>
        <n v="352.0"/>
        <n v="228.0"/>
        <n v="161.0"/>
        <n v="362.0"/>
        <n v="312.0"/>
        <n v="311.0"/>
        <n v="220.0"/>
        <n v="476.0"/>
        <n v="198.0"/>
        <n v="254.0"/>
        <n v="351.0"/>
        <n v="387.0"/>
        <n v="55.0"/>
        <n v="336.0"/>
        <n v="480.0"/>
        <n v="214.0"/>
        <n v="60.0"/>
        <n v="414.0"/>
        <n v="62.0"/>
        <n v="357.0"/>
        <n v="493.0"/>
        <n v="305.0"/>
        <n v="162.0"/>
        <n v="78.0"/>
        <n v="343.0"/>
        <n v="498.0"/>
        <n v="133.0"/>
        <n v="242.0"/>
        <n v="101.0"/>
        <n v="65.0"/>
        <n v="143.0"/>
        <n v="402.0"/>
        <n v="97.0"/>
        <n v="482.0"/>
        <n v="59.0"/>
        <n v="87.0"/>
        <n v="238.0"/>
        <n v="392.0"/>
        <n v="473.0"/>
        <n v="231.0"/>
        <n v="438.0"/>
        <n v="365.0"/>
        <n v="324.0"/>
        <n v="208.0"/>
        <n v="115.0"/>
        <n v="261.0"/>
        <n v="257.0"/>
        <n v="459.0"/>
        <n v="112.0"/>
        <n v="491.0"/>
        <n v="278.0"/>
        <n v="484.0"/>
        <n v="53.0"/>
        <n v="131.0"/>
        <n v="120.0"/>
        <n v="396.0"/>
        <n v="267.0"/>
        <n v="371.0"/>
        <n v="295.0"/>
        <n v="75.0"/>
        <n v="247.0"/>
        <n v="281.0"/>
        <n v="136.0"/>
        <n v="142.0"/>
        <n v="206.0"/>
        <n v="66.0"/>
        <n v="175.0"/>
        <n v="323.0"/>
        <n v="96.0"/>
        <n v="422.0"/>
        <n v="57.0"/>
        <n v="272.0"/>
        <n v="478.0"/>
        <n v="333.0"/>
        <n v="327.0"/>
        <n v="89.0"/>
        <n v="211.0"/>
        <n v="240.0"/>
        <n v="244.0"/>
        <n v="219.0"/>
        <n v="119.0"/>
        <n v="174.0"/>
        <n v="229.0"/>
        <n v="411.0"/>
        <n v="245.0"/>
        <n v="113.0"/>
        <n v="73.0"/>
        <n v="368.0"/>
        <n v="221.0"/>
        <n v="442.0"/>
        <n v="465.0"/>
        <n v="380.0"/>
        <n v="313.0"/>
        <n v="348.0"/>
        <n v="349.0"/>
        <n v="379.0"/>
        <n v="448.0"/>
        <n v="173.0"/>
        <n v="304.0"/>
        <n v="344.0"/>
        <n v="470.0"/>
        <n v="116.0"/>
        <n v="314.0"/>
        <n v="284.0"/>
        <n v="332.0"/>
        <n v="239.0"/>
        <n v="86.0"/>
        <n v="154.0"/>
        <n v="230.0"/>
        <n v="88.0"/>
        <n v="477.0"/>
        <n v="74.0"/>
        <n v="430.0"/>
        <n v="286.0"/>
        <n v="273.0"/>
        <n v="279.0"/>
        <n v="210.0"/>
        <n v="192.0"/>
        <n v="373.0"/>
        <n v="315.0"/>
        <n v="321.0"/>
        <n v="189.0"/>
        <n v="405.0"/>
        <n v="426.0"/>
        <n v="271.0"/>
        <n v="356.0"/>
        <n v="233.0"/>
        <n v="494.0"/>
        <n v="177.0"/>
        <n v="114.0"/>
        <n v="427.0"/>
        <n v="376.0"/>
        <n v="51.0"/>
        <n v="316.0"/>
        <n v="156.0"/>
        <n v="215.0"/>
        <n v="497.0"/>
        <n v="194.0"/>
        <n v="171.0"/>
        <n v="386.0"/>
        <n v="148.0"/>
        <n v="291.0"/>
        <n v="339.0"/>
        <n v="487.0"/>
        <n v="335.0"/>
        <n v="172.0"/>
        <n v="104.0"/>
        <n v="433.0"/>
        <n v="79.0"/>
        <n v="181.0"/>
        <n v="196.0"/>
        <n v="125.0"/>
        <n v="472.0"/>
        <n v="163.0"/>
        <n v="70.0"/>
        <n v="417.0"/>
        <n v="345.0"/>
        <n v="81.0"/>
        <n v="184.0"/>
        <n v="288.0"/>
        <n v="292.0"/>
        <n v="243.0"/>
        <n v="382.0"/>
        <n v="308.0"/>
        <n v="82.0"/>
        <n v="117.0"/>
        <n v="474.0"/>
        <n v="334.0"/>
        <n v="282.0"/>
        <n v="499.0"/>
        <n v="170.0"/>
        <n v="52.0"/>
        <n v="450.0"/>
        <n v="366.0"/>
        <n v="102.0"/>
        <n v="355.0"/>
        <n v="403.0"/>
        <n v="294.0"/>
        <n v="299.0"/>
        <n v="500.0"/>
        <n v="412.0"/>
        <n v="155.0"/>
        <n v="290.0"/>
        <n v="326.0"/>
        <n v="420.0"/>
        <n v="71.0"/>
        <n v="400.0"/>
        <n v="217.0"/>
        <n v="428.0"/>
        <n v="83.0"/>
        <n v="488.0"/>
        <n v="421.0"/>
        <n v="232.0"/>
        <n v="93.0"/>
        <n v="157.0"/>
        <n v="363.0"/>
        <n v="289.0"/>
        <n v="226.0"/>
        <n v="253.0"/>
        <n v="457.0"/>
        <n v="145.0"/>
        <n v="467.0"/>
        <n v="124.0"/>
        <n v="406.0"/>
        <n v="76.0"/>
        <n v="466.0"/>
        <n v="265.0"/>
        <n v="397.0"/>
        <n v="359.0"/>
        <n v="168.0"/>
        <n v="106.0"/>
        <n v="204.0"/>
        <n v="317.0"/>
        <n v="99.0"/>
        <n v="479.0"/>
        <n v="463.0"/>
        <n v="431.0"/>
        <n v="455.0"/>
        <n v="176.0"/>
        <n v="212.0"/>
        <n v="389.0"/>
        <n v="222.0"/>
        <n v="100.0"/>
        <n v="92.0"/>
        <n v="179.0"/>
        <n v="209.0"/>
        <n v="486.0"/>
        <n v="218.0"/>
        <n v="68.0"/>
        <n v="404.0"/>
        <n v="193.0"/>
        <n v="424.0"/>
        <n v="147.0"/>
        <n v="319.0"/>
        <n v="361.0"/>
        <n v="187.0"/>
        <n v="122.0"/>
        <n v="199.0"/>
        <n v="160.0"/>
        <n v="325.0"/>
        <n v="425.0"/>
        <n v="227.0"/>
        <n v="235.0"/>
        <n v="107.0"/>
        <n v="50.0"/>
        <n v="269.0"/>
        <n v="385.0"/>
        <n v="64.0"/>
        <n v="223.0"/>
        <n v="91.0"/>
        <n v="61.0"/>
        <n v="95.0"/>
        <n v="469.0"/>
        <n v="275.0"/>
        <n v="129.0"/>
        <n v="164.0"/>
        <n v="201.0"/>
        <n v="251.0"/>
        <n v="443.0"/>
        <n v="234.0"/>
        <n v="260.0"/>
        <n v="203.0"/>
        <n v="413.0"/>
        <n v="435.0"/>
        <n v="303.0"/>
        <n v="429.0"/>
        <n v="127.0"/>
        <n v="390.0"/>
        <n v="298.0"/>
        <n v="471.0"/>
        <n v="185.0"/>
        <n v="67.0"/>
        <n v="358.0"/>
        <n v="464.0"/>
        <n v="307.0"/>
        <n v="121.0"/>
        <n v="451.0"/>
        <n v="407.0"/>
        <n v="338.0"/>
        <n v="268.0"/>
        <n v="216.0"/>
        <n v="94.0"/>
        <n v="309.0"/>
        <n v="118.0"/>
        <n v="322.0"/>
        <n v="328.0"/>
        <n v="276.0"/>
        <n v="134.0"/>
        <n v="436.0"/>
        <n v="318.0"/>
        <n v="183.0"/>
        <n v="58.0"/>
        <n v="461.0"/>
        <n v="293.0"/>
        <n v="63.0"/>
        <n v="432.0"/>
        <n v="301.0"/>
        <n v="225.0"/>
        <n v="110.0"/>
        <n v="77.0"/>
        <n v="158.0"/>
        <n v="263.0"/>
        <n v="369.0"/>
        <n v="258.0"/>
        <n v="370.0"/>
        <n v="454.0"/>
        <n v="492.0"/>
        <n v="384.0"/>
        <n v="383.0"/>
        <n v="340.0"/>
        <n v="378.0"/>
        <n v="69.0"/>
        <n v="137.0"/>
        <n v="496.0"/>
        <n v="302.0"/>
        <n v="138.0"/>
        <n v="350.0"/>
        <n v="347.0"/>
        <n v="144.0"/>
        <n v="132.0"/>
        <n v="151.0"/>
        <n v="105.0"/>
        <n v="207.0"/>
        <n v="440.0"/>
        <n v="453.0"/>
        <n v="375.0"/>
        <n v="374.0"/>
        <n v="456.0"/>
        <n v="388.0"/>
        <n v="300.0"/>
        <n v="415.0"/>
        <n v="84.0"/>
        <n v="166.0"/>
        <n v="252.0"/>
        <n v="485.0"/>
        <n v="150.0"/>
        <n v="135.0"/>
        <n v="277.0"/>
        <n v="169.0"/>
        <n v="342.0"/>
        <n v="248.0"/>
        <n v="202.0"/>
        <n v="72.0"/>
        <n v="191.0"/>
        <n v="394.0"/>
        <n v="126.0"/>
        <n v="54.0"/>
        <n v="490.0"/>
        <n v="439.0"/>
        <n v="274.0"/>
        <n v="140.0"/>
        <n v="353.0"/>
        <n v="80.0"/>
        <n v="90.0"/>
        <n v="167.0"/>
        <n v="310.0"/>
        <n v="98.0"/>
        <n v="241.0"/>
        <n v="182.0"/>
        <n v="441.0"/>
        <n v="423.0"/>
        <n v="111.0"/>
        <n v="306.0"/>
        <n v="391.0"/>
        <n v="398.0"/>
        <n v="445.0"/>
        <n v="197.0"/>
        <n v="146.0"/>
        <n v="337.0"/>
        <n v="437.0"/>
        <n v="205.0"/>
        <n v="270.0"/>
        <n v="280.0"/>
        <n v="259.0"/>
        <n v="246.0"/>
        <n v="180.0"/>
        <n v="200.0"/>
        <n v="401.0"/>
        <n v="468.0"/>
        <n v="283.0"/>
      </sharedItems>
    </cacheField>
    <cacheField name="кол-во штук в чеке" numFmtId="0">
      <sharedItems containsSemiMixedTypes="0" containsString="0" containsNumber="1" containsInteger="1">
        <n v="4.0"/>
        <n v="3.0"/>
        <n v="5.0"/>
        <n v="2.0"/>
        <n v="1.0"/>
      </sharedItems>
    </cacheField>
    <cacheField name="Сумма чека" numFmtId="0">
      <sharedItems containsSemiMixedTypes="0" containsString="0" containsNumber="1" containsInteger="1">
        <n v="412.0"/>
        <n v="888.0"/>
        <n v="695.0"/>
        <n v="705.0"/>
        <n v="246.0"/>
        <n v="904.0"/>
        <n v="745.0"/>
        <n v="1956.0"/>
        <n v="2080.0"/>
        <n v="898.0"/>
        <n v="592.0"/>
        <n v="545.0"/>
        <n v="639.0"/>
        <n v="760.0"/>
        <n v="237.0"/>
        <n v="534.0"/>
        <n v="1600.0"/>
        <n v="838.0"/>
        <n v="950.0"/>
        <n v="916.0"/>
        <n v="304.0"/>
        <n v="704.0"/>
        <n v="456.0"/>
        <n v="644.0"/>
        <n v="362.0"/>
        <n v="312.0"/>
        <n v="1555.0"/>
        <n v="220.0"/>
        <n v="1904.0"/>
        <n v="190.0"/>
        <n v="990.0"/>
        <n v="762.0"/>
        <n v="351.0"/>
        <n v="387.0"/>
        <n v="110.0"/>
        <n v="336.0"/>
        <n v="1920.0"/>
        <n v="642.0"/>
        <n v="120.0"/>
        <n v="1242.0"/>
        <n v="186.0"/>
        <n v="357.0"/>
        <n v="1479.0"/>
        <n v="610.0"/>
        <n v="648.0"/>
        <n v="78.0"/>
        <n v="1715.0"/>
        <n v="1992.0"/>
        <n v="133.0"/>
        <n v="1244.0"/>
        <n v="484.0"/>
        <n v="303.0"/>
        <n v="65.0"/>
        <n v="429.0"/>
        <n v="2010.0"/>
        <n v="97.0"/>
        <n v="482.0"/>
        <n v="59.0"/>
        <n v="348.0"/>
        <n v="1190.0"/>
        <n v="622.0"/>
        <n v="1176.0"/>
        <n v="2365.0"/>
        <n v="462.0"/>
        <n v="1314.0"/>
        <n v="730.0"/>
        <n v="1040.0"/>
        <n v="345.0"/>
        <n v="261.0"/>
        <n v="514.0"/>
        <n v="918.0"/>
        <n v="448.0"/>
        <n v="1964.0"/>
        <n v="162.0"/>
        <n v="556.0"/>
        <n v="1936.0"/>
        <n v="53.0"/>
        <n v="655.0"/>
        <n v="240.0"/>
        <n v="1584.0"/>
        <n v="1335.0"/>
        <n v="371.0"/>
        <n v="295.0"/>
        <n v="375.0"/>
        <n v="494.0"/>
        <n v="562.0"/>
        <n v="272.0"/>
        <n v="710.0"/>
        <n v="414.0"/>
        <n v="66.0"/>
        <n v="452.0"/>
        <n v="175.0"/>
        <n v="109.0"/>
        <n v="646.0"/>
        <n v="96.0"/>
        <n v="844.0"/>
        <n v="171.0"/>
        <n v="1656.0"/>
        <n v="544.0"/>
        <n v="1676.0"/>
        <n v="1912.0"/>
        <n v="999.0"/>
        <n v="654.0"/>
        <n v="267.0"/>
        <n v="234.0"/>
        <n v="834.0"/>
        <n v="485.0"/>
        <n v="480.0"/>
        <n v="244.0"/>
        <n v="219.0"/>
        <n v="687.0"/>
        <n v="2055.0"/>
        <n v="980.0"/>
        <n v="565.0"/>
        <n v="292.0"/>
        <n v="736.0"/>
        <n v="1105.0"/>
        <n v="2210.0"/>
        <n v="465.0"/>
        <n v="380.0"/>
        <n v="313.0"/>
        <n v="696.0"/>
        <n v="349.0"/>
        <n v="1895.0"/>
        <n v="1792.0"/>
        <n v="346.0"/>
        <n v="912.0"/>
        <n v="1720.0"/>
        <n v="1880.0"/>
        <n v="498.0"/>
        <n v="1053.0"/>
        <n v="116.0"/>
        <n v="1256.0"/>
        <n v="1420.0"/>
        <n v="332.0"/>
        <n v="478.0"/>
        <n v="344.0"/>
        <n v="616.0"/>
        <n v="436.0"/>
        <n v="365.0"/>
        <n v="920.0"/>
        <n v="352.0"/>
        <n v="1908.0"/>
        <n v="148.0"/>
        <n v="2150.0"/>
        <n v="572.0"/>
        <n v="819.0"/>
        <n v="837.0"/>
        <n v="420.0"/>
        <n v="229.0"/>
        <n v="384.0"/>
        <n v="373.0"/>
        <n v="945.0"/>
        <n v="1605.0"/>
        <n v="378.0"/>
        <n v="1215.0"/>
        <n v="852.0"/>
        <n v="271.0"/>
        <n v="426.0"/>
        <n v="712.0"/>
        <n v="466.0"/>
        <n v="2470.0"/>
        <n v="915.0"/>
        <n v="692.0"/>
        <n v="354.0"/>
        <n v="342.0"/>
        <n v="1281.0"/>
        <n v="376.0"/>
        <n v="102.0"/>
        <n v="632.0"/>
        <n v="156.0"/>
        <n v="215.0"/>
        <n v="257.0"/>
        <n v="1491.0"/>
        <n v="230.0"/>
        <n v="368.0"/>
        <n v="582.0"/>
        <n v="684.0"/>
        <n v="1930.0"/>
        <n v="74.0"/>
        <n v="245.0"/>
        <n v="1356.0"/>
        <n v="487.0"/>
        <n v="1675.0"/>
        <n v="428.0"/>
        <n v="1808.0"/>
        <n v="860.0"/>
        <n v="416.0"/>
        <n v="1732.0"/>
        <n v="395.0"/>
        <n v="181.0"/>
        <n v="588.0"/>
        <n v="174.0"/>
        <n v="1068.0"/>
        <n v="625.0"/>
        <n v="2360.0"/>
        <n v="489.0"/>
        <n v="70.0"/>
        <n v="1668.0"/>
        <n v="392.0"/>
        <n v="1448.0"/>
        <n v="1725.0"/>
        <n v="243.0"/>
        <n v="388.0"/>
        <n v="172.0"/>
        <n v="576.0"/>
        <n v="522.0"/>
        <n v="876.0"/>
        <n v="729.0"/>
        <n v="1910.0"/>
        <n v="308.0"/>
        <n v="1428.0"/>
        <n v="82.0"/>
        <n v="585.0"/>
        <n v="2370.0"/>
        <n v="668.0"/>
        <n v="1100.0"/>
        <n v="1410.0"/>
        <n v="2495.0"/>
        <n v="170.0"/>
        <n v="52.0"/>
        <n v="780.0"/>
        <n v="1350.0"/>
        <n v="1464.0"/>
        <n v="210.0"/>
        <n v="1516.0"/>
        <n v="408.0"/>
        <n v="1900.0"/>
        <n v="1775.0"/>
        <n v="1612.0"/>
        <n v="101.0"/>
        <n v="294.0"/>
        <n v="299.0"/>
        <n v="698.0"/>
        <n v="1000.0"/>
        <n v="774.0"/>
        <n v="824.0"/>
        <n v="775.0"/>
        <n v="214.0"/>
        <n v="870.0"/>
        <n v="542.0"/>
        <n v="652.0"/>
        <n v="840.0"/>
        <n v="284.0"/>
        <n v="1200.0"/>
        <n v="218.0"/>
        <n v="217.0"/>
        <n v="104.0"/>
        <n v="1712.0"/>
        <n v="249.0"/>
        <n v="339.0"/>
        <n v="884.0"/>
        <n v="2105.0"/>
        <n v="279.0"/>
        <n v="785.0"/>
        <n v="1452.0"/>
        <n v="1445.0"/>
        <n v="1305.0"/>
        <n v="759.0"/>
        <n v="1371.0"/>
        <n v="325.0"/>
        <n v="960.0"/>
        <n v="580.0"/>
        <n v="2335.0"/>
        <n v="496.0"/>
        <n v="1218.0"/>
        <n v="1325.0"/>
        <n v="794.0"/>
        <n v="718.0"/>
        <n v="672.0"/>
        <n v="624.0"/>
        <n v="1467.0"/>
        <n v="318.0"/>
        <n v="612.0"/>
        <n v="1268.0"/>
        <n v="442.0"/>
        <n v="264.0"/>
        <n v="198.0"/>
        <n v="890.0"/>
        <n v="897.0"/>
        <n v="479.0"/>
        <n v="1389.0"/>
        <n v="1293.0"/>
        <n v="213.0"/>
        <n v="2275.0"/>
        <n v="528.0"/>
        <n v="636.0"/>
        <n v="1945.0"/>
        <n v="255.0"/>
        <n v="666.0"/>
        <n v="100.0"/>
        <n v="382.0"/>
        <n v="1116.0"/>
        <n v="184.0"/>
        <n v="895.0"/>
        <n v="836.0"/>
        <n v="2430.0"/>
        <n v="123.0"/>
        <n v="179.0"/>
        <n v="51.0"/>
        <n v="1960.0"/>
        <n v="1365.0"/>
        <n v="154.0"/>
        <n v="404.0"/>
        <n v="193.0"/>
        <n v="1280.0"/>
        <n v="2350.0"/>
        <n v="1272.0"/>
        <n v="957.0"/>
        <n v="958.0"/>
        <n v="905.0"/>
        <n v="1805.0"/>
        <n v="254.0"/>
        <n v="748.0"/>
        <n v="620.0"/>
        <n v="956.0"/>
        <n v="880.0"/>
        <n v="716.0"/>
        <n v="796.0"/>
        <n v="519.0"/>
        <n v="314.0"/>
        <n v="640.0"/>
        <n v="650.0"/>
        <n v="457.0"/>
        <n v="2125.0"/>
        <n v="500.0"/>
        <n v="681.0"/>
        <n v="2130.0"/>
        <n v="386.0"/>
        <n v="470.0"/>
        <n v="321.0"/>
        <n v="250.0"/>
        <n v="1345.0"/>
        <n v="1540.0"/>
        <n v="320.0"/>
        <n v="446.0"/>
        <n v="1377.0"/>
        <n v="113.0"/>
        <n v="455.0"/>
        <n v="305.0"/>
        <n v="938.0"/>
        <n v="474.0"/>
        <n v="825.0"/>
        <n v="129.0"/>
        <n v="1996.0"/>
        <n v="328.0"/>
        <n v="795.0"/>
        <n v="1544.0"/>
        <n v="1440.0"/>
        <n v="1005.0"/>
        <n v="1084.0"/>
        <n v="627.0"/>
        <n v="251.0"/>
        <n v="1772.0"/>
        <n v="1300.0"/>
        <n v="812.0"/>
        <n v="502.0"/>
        <n v="630.0"/>
        <n v="324.0"/>
        <n v="826.0"/>
        <n v="816.0"/>
        <n v="435.0"/>
        <n v="606.0"/>
        <n v="693.0"/>
        <n v="1716.0"/>
        <n v="50.0"/>
        <n v="127.0"/>
        <n v="1170.0"/>
        <n v="596.0"/>
        <n v="1413.0"/>
        <n v="801.0"/>
        <n v="114.0"/>
        <n v="147.0"/>
        <n v="370.0"/>
        <n v="1752.0"/>
        <n v="201.0"/>
        <n v="948.0"/>
        <n v="1432.0"/>
        <n v="1329.0"/>
        <n v="928.0"/>
        <n v="1535.0"/>
        <n v="605.0"/>
        <n v="530.0"/>
        <n v="902.0"/>
        <n v="1060.0"/>
        <n v="1344.0"/>
        <n v="814.0"/>
        <n v="1236.0"/>
        <n v="508.0"/>
        <n v="1014.0"/>
        <n v="1340.0"/>
        <n v="379.0"/>
        <n v="1876.0"/>
        <n v="282.0"/>
        <n v="1976.0"/>
        <n v="1545.0"/>
        <n v="118.0"/>
        <n v="966.0"/>
        <n v="1312.0"/>
        <n v="552.0"/>
        <n v="340.0"/>
        <n v="89.0"/>
        <n v="134.0"/>
        <n v="1590.0"/>
        <n v="183.0"/>
        <n v="896.0"/>
        <n v="232.0"/>
        <n v="486.0"/>
        <n v="964.0"/>
        <n v="256.0"/>
        <n v="1383.0"/>
        <n v="732.0"/>
        <n v="832.0"/>
        <n v="879.0"/>
        <n v="63.0"/>
        <n v="2160.0"/>
        <n v="1972.0"/>
        <n v="872.0"/>
        <n v="2060.0"/>
        <n v="1204.0"/>
        <n v="564.0"/>
        <n v="926.0"/>
        <n v="1296.0"/>
        <n v="476.0"/>
        <n v="225.0"/>
        <n v="322.0"/>
        <n v="440.0"/>
        <n v="316.0"/>
        <n v="664.0"/>
        <n v="130.0"/>
        <n v="2445.0"/>
        <n v="77.0"/>
        <n v="310.0"/>
        <n v="858.0"/>
        <n v="460.0"/>
        <n v="790.0"/>
        <n v="994.0"/>
        <n v="1052.0"/>
        <n v="670.0"/>
        <n v="927.0"/>
        <n v="2295.0"/>
        <n v="88.0"/>
        <n v="158.0"/>
        <n v="738.0"/>
        <n v="107.0"/>
        <n v="1032.0"/>
        <n v="935.0"/>
        <n v="468.0"/>
        <n v="1104.0"/>
        <n v="1850.0"/>
        <n v="142.0"/>
        <n v="1416.0"/>
        <n v="260.0"/>
        <n v="2270.0"/>
        <n v="1950.0"/>
        <n v="1988.0"/>
        <n v="984.0"/>
        <n v="449.0"/>
        <n v="768.0"/>
        <n v="1424.0"/>
        <n v="438.0"/>
        <n v="1160.0"/>
        <n v="766.0"/>
        <n v="2095.0"/>
        <n v="69.0"/>
        <n v="274.0"/>
        <n v="850.0"/>
        <n v="992.0"/>
        <n v="411.0"/>
        <n v="1208.0"/>
        <n v="187.0"/>
        <n v="942.0"/>
        <n v="516.0"/>
        <n v="1928.0"/>
        <n v="350.0"/>
        <n v="222.0"/>
        <n v="1352.0"/>
        <n v="286.0"/>
        <n v="651.0"/>
        <n v="1041.0"/>
        <n v="568.0"/>
        <n v="459.0"/>
        <n v="58.0"/>
        <n v="930.0"/>
        <n v="152.0"/>
        <n v="1434.0"/>
        <n v="75.0"/>
        <n v="735.0"/>
        <n v="1616.0"/>
        <n v="361.0"/>
        <n v="2020.0"/>
        <n v="396.0"/>
        <n v="1332.0"/>
        <n v="604.0"/>
        <n v="618.0"/>
        <n v="1450.0"/>
        <n v="1620.0"/>
        <n v="1405.0"/>
        <n v="1035.0"/>
        <n v="756.0"/>
        <n v="1635.0"/>
        <n v="407.0"/>
        <n v="711.0"/>
        <n v="1359.0"/>
        <n v="750.0"/>
        <n v="1870.0"/>
        <n v="1284.0"/>
        <n v="1368.0"/>
        <n v="988.0"/>
        <n v="1552.0"/>
        <n v="1488.0"/>
        <n v="885.0"/>
        <n v="301.0"/>
        <n v="293.0"/>
        <n v="764.0"/>
        <n v="1184.0"/>
        <n v="690.0"/>
        <n v="1113.0"/>
        <n v="441.0"/>
        <n v="2200.0"/>
        <n v="908.0"/>
        <n v="1660.0"/>
        <n v="784.0"/>
        <n v="356.0"/>
        <n v="830.0"/>
        <n v="1984.0"/>
        <n v="1285.0"/>
        <n v="952.0"/>
        <n v="464.0"/>
        <n v="1940.0"/>
        <n v="300.0"/>
        <n v="1896.0"/>
        <n v="270.0"/>
        <n v="1385.0"/>
        <n v="2135.0"/>
        <n v="676.0"/>
        <n v="1140.0"/>
        <n v="1026.0"/>
        <n v="1260.0"/>
        <n v="946.0"/>
        <n v="1029.0"/>
        <n v="309.0"/>
        <n v="1290.0"/>
        <n v="1010.0"/>
        <n v="155.0"/>
        <n v="360.0"/>
        <n v="955.0"/>
        <n v="724.0"/>
        <n v="1970.0"/>
        <n v="2250.0"/>
        <n v="323.0"/>
        <n v="2485.0"/>
        <n v="144.0"/>
        <n v="291.0"/>
        <n v="504.0"/>
        <n v="108.0"/>
        <n v="600.0"/>
        <n v="932.0"/>
        <n v="1812.0"/>
        <n v="285.0"/>
        <n v="326.0"/>
        <n v="490.0"/>
        <n v="475.0"/>
        <n v="1510.0"/>
        <n v="2195.0"/>
        <n v="680.0"/>
        <n v="1096.0"/>
        <n v="567.0"/>
        <n v="2320.0"/>
        <n v="700.0"/>
        <n v="706.0"/>
        <n v="400.0"/>
        <n v="1240.0"/>
        <n v="1050.0"/>
        <n v="67.0"/>
        <n v="1470.0"/>
        <n v="808.0"/>
        <n v="196.0"/>
        <n v="417.0"/>
        <n v="910.0"/>
        <n v="364.0"/>
        <n v="1015.0"/>
        <n v="515.0"/>
        <n v="688.0"/>
        <n v="1308.0"/>
        <n v="1017.0"/>
        <n v="1044.0"/>
        <n v="1192.0"/>
        <n v="882.0"/>
        <n v="1664.0"/>
        <n v="1548.0"/>
        <n v="302.0"/>
        <n v="471.0"/>
        <n v="275.0"/>
        <n v="1175.0"/>
        <n v="1916.0"/>
        <n v="1108.0"/>
        <n v="635.0"/>
        <n v="2115.0"/>
        <n v="940.0"/>
        <n v="996.0"/>
        <n v="431.0"/>
        <n v="1528.0"/>
        <n v="281.0"/>
        <n v="444.0"/>
        <n v="1530.0"/>
        <n v="391.0"/>
        <n v="252.0"/>
        <n v="1592.0"/>
        <n v="200.0"/>
        <n v="402.0"/>
        <n v="226.0"/>
        <n v="73.0"/>
        <n v="194.0"/>
        <n v="2225.0"/>
        <n v="265.0"/>
        <n v="1076.0"/>
        <n v="810.0"/>
        <n v="394.0"/>
        <n v="1220.0"/>
        <n v="513.0"/>
        <n v="1398.0"/>
        <n v="289.0"/>
        <n v="573.0"/>
        <n v="986.0"/>
        <n v="1695.0"/>
        <n v="1264.0"/>
        <n v="1136.0"/>
        <n v="868.0"/>
        <n v="363.0"/>
        <n v="560.0"/>
        <n v="590.0"/>
        <n v="419.0"/>
        <n v="146.0"/>
        <n v="758.0"/>
        <n v="804.0"/>
        <n v="1011.0"/>
        <n v="160.0"/>
        <n v="985.0"/>
        <n v="874.0"/>
        <n v="410.0"/>
        <n v="1095.0"/>
        <n v="1269.0"/>
        <n v="540.0"/>
        <n v="1112.0"/>
        <n v="2380.0"/>
        <n v="280.0"/>
        <n v="315.0"/>
        <n v="353.0"/>
        <n v="397.0"/>
        <n v="177.0"/>
        <n v="1648.0"/>
        <n v="558.0"/>
        <n v="472.0"/>
        <n v="720.0"/>
        <n v="1482.0"/>
        <n v="355.0"/>
        <n v="488.0"/>
        <n v="848.0"/>
        <n v="1145.0"/>
        <n v="1295.0"/>
        <n v="921.0"/>
        <n v="334.0"/>
        <n v="1059.0"/>
        <n v="2355.0"/>
        <n v="939.0"/>
        <n v="1360.0"/>
        <n v="296.0"/>
        <n v="782.0"/>
        <n v="800.0"/>
        <n v="2100.0"/>
        <n v="278.0"/>
        <n v="1455.0"/>
        <n v="1436.0"/>
        <n v="594.0"/>
        <n v="103.0"/>
        <n v="802.0"/>
        <n v="139.0"/>
        <n v="1520.0"/>
        <n v="445.0"/>
        <n v="1415.0"/>
        <n v="1836.0"/>
        <n v="976.0"/>
        <n v="598.0"/>
        <n v="1263.0"/>
        <n v="453.0"/>
      </sharedItems>
    </cacheField>
    <cacheField name="дата создания чека" numFmtId="14">
      <sharedItems containsSemiMixedTypes="0" containsDate="1" containsString="0">
        <d v="2023-09-18T00:00:00Z"/>
        <d v="2023-06-06T00:00:00Z"/>
        <d v="2024-03-12T00:00:00Z"/>
        <d v="2023-12-02T00:00:00Z"/>
        <d v="2023-08-13T00:00:00Z"/>
        <d v="2023-12-21T00:00:00Z"/>
        <d v="2024-02-27T00:00:00Z"/>
        <d v="2024-02-05T00:00:00Z"/>
        <d v="2024-03-25T00:00:00Z"/>
        <d v="2023-04-16T00:00:00Z"/>
        <d v="2023-07-29T00:00:00Z"/>
        <d v="2024-04-12T00:00:00Z"/>
        <d v="2023-12-06T00:00:00Z"/>
        <d v="2023-07-26T00:00:00Z"/>
        <d v="2023-02-15T00:00:00Z"/>
        <d v="2023-02-23T00:00:00Z"/>
        <d v="2023-10-17T00:00:00Z"/>
        <d v="2023-07-09T00:00:00Z"/>
        <d v="2023-05-12T00:00:00Z"/>
        <d v="2023-08-20T00:00:00Z"/>
        <d v="2023-11-14T00:00:00Z"/>
        <d v="2023-07-16T00:00:00Z"/>
        <d v="2023-04-11T00:00:00Z"/>
        <d v="2023-02-09T00:00:00Z"/>
        <d v="2024-02-04T00:00:00Z"/>
        <d v="2023-09-05T00:00:00Z"/>
        <d v="2023-06-22T00:00:00Z"/>
        <d v="2024-03-17T00:00:00Z"/>
        <d v="2023-04-24T00:00:00Z"/>
        <d v="2024-05-02T00:00:00Z"/>
        <d v="2023-07-18T00:00:00Z"/>
        <d v="2024-03-01T00:00:00Z"/>
        <d v="2023-03-12T00:00:00Z"/>
        <d v="2023-12-07T00:00:00Z"/>
        <d v="2024-03-30T00:00:00Z"/>
        <d v="2023-02-14T00:00:00Z"/>
        <d v="2023-01-21T00:00:00Z"/>
        <d v="2023-07-22T00:00:00Z"/>
        <d v="2024-04-24T00:00:00Z"/>
        <d v="2023-07-10T00:00:00Z"/>
        <d v="2023-09-25T00:00:00Z"/>
        <d v="2023-09-27T00:00:00Z"/>
        <d v="2023-06-27T00:00:00Z"/>
        <d v="2023-11-04T00:00:00Z"/>
        <d v="2024-04-05T00:00:00Z"/>
        <d v="2023-02-19T00:00:00Z"/>
        <d v="2023-05-17T00:00:00Z"/>
        <d v="2023-10-09T00:00:00Z"/>
        <d v="2024-04-16T00:00:00Z"/>
        <d v="2023-11-09T00:00:00Z"/>
        <d v="2023-06-03T00:00:00Z"/>
        <d v="2024-01-17T00:00:00Z"/>
        <d v="2023-11-16T00:00:00Z"/>
        <d v="2024-03-05T00:00:00Z"/>
        <d v="2024-04-18T00:00:00Z"/>
        <d v="2023-10-15T00:00:00Z"/>
        <d v="2024-05-11T00:00:00Z"/>
        <d v="2023-02-24T00:00:00Z"/>
        <d v="2023-11-15T00:00:00Z"/>
        <d v="2023-01-08T00:00:00Z"/>
        <d v="2023-12-20T00:00:00Z"/>
        <d v="2023-07-07T00:00:00Z"/>
        <d v="2023-02-16T00:00:00Z"/>
        <d v="2023-03-04T00:00:00Z"/>
        <d v="2023-12-27T00:00:00Z"/>
        <d v="2023-02-18T00:00:00Z"/>
        <d v="2023-04-30T00:00:00Z"/>
        <d v="2023-03-15T00:00:00Z"/>
        <d v="2024-01-15T00:00:00Z"/>
        <d v="2023-03-08T00:00:00Z"/>
        <d v="2024-03-09T00:00:00Z"/>
        <d v="2023-01-04T00:00:00Z"/>
        <d v="2024-01-25T00:00:00Z"/>
        <d v="2023-07-02T00:00:00Z"/>
        <d v="2024-01-11T00:00:00Z"/>
        <d v="2023-08-26T00:00:00Z"/>
        <d v="2023-01-20T00:00:00Z"/>
        <d v="2023-09-04T00:00:00Z"/>
        <d v="2023-03-19T00:00:00Z"/>
        <d v="2023-12-12T00:00:00Z"/>
        <d v="2023-01-13T00:00:00Z"/>
        <d v="2023-09-20T00:00:00Z"/>
        <d v="2023-06-02T00:00:00Z"/>
        <d v="2023-01-01T00:00:00Z"/>
        <d v="2023-10-27T00:00:00Z"/>
        <d v="2024-04-06T00:00:00Z"/>
        <d v="2024-05-12T00:00:00Z"/>
        <d v="2023-09-14T00:00:00Z"/>
        <d v="2023-10-19T00:00:00Z"/>
        <d v="2023-12-30T00:00:00Z"/>
        <d v="2023-11-05T00:00:00Z"/>
        <d v="2023-09-28T00:00:00Z"/>
        <d v="2023-01-16T00:00:00Z"/>
        <d v="2023-05-31T00:00:00Z"/>
        <d v="2024-02-09T00:00:00Z"/>
        <d v="2023-10-11T00:00:00Z"/>
        <d v="2023-06-05T00:00:00Z"/>
        <d v="2023-09-02T00:00:00Z"/>
        <d v="2023-11-29T00:00:00Z"/>
        <d v="2023-06-18T00:00:00Z"/>
        <d v="2023-04-17T00:00:00Z"/>
        <d v="2023-12-25T00:00:00Z"/>
        <d v="2023-03-28T00:00:00Z"/>
        <d v="2023-04-23T00:00:00Z"/>
        <d v="2023-12-17T00:00:00Z"/>
        <d v="2023-09-07T00:00:00Z"/>
        <d v="2023-01-22T00:00:00Z"/>
        <d v="2023-02-02T00:00:00Z"/>
        <d v="2023-11-11T00:00:00Z"/>
        <d v="2024-02-16T00:00:00Z"/>
        <d v="2024-02-21T00:00:00Z"/>
        <d v="2023-02-03T00:00:00Z"/>
        <d v="2024-05-21T00:00:00Z"/>
        <d v="2024-01-22T00:00:00Z"/>
        <d v="2024-03-10T00:00:00Z"/>
        <d v="2023-04-09T00:00:00Z"/>
        <d v="2024-03-28T00:00:00Z"/>
        <d v="2023-11-30T00:00:00Z"/>
        <d v="2023-03-24T00:00:00Z"/>
        <d v="2023-04-13T00:00:00Z"/>
        <d v="2024-04-02T00:00:00Z"/>
        <d v="2024-01-23T00:00:00Z"/>
        <d v="2024-05-22T00:00:00Z"/>
        <d v="2023-04-22T00:00:00Z"/>
        <d v="2023-05-24T00:00:00Z"/>
        <d v="2023-07-03T00:00:00Z"/>
        <d v="2024-03-21T00:00:00Z"/>
        <d v="2024-02-14T00:00:00Z"/>
        <d v="2023-08-29T00:00:00Z"/>
        <d v="2023-05-23T00:00:00Z"/>
        <d v="2023-06-26T00:00:00Z"/>
        <d v="2023-12-04T00:00:00Z"/>
        <d v="2024-01-19T00:00:00Z"/>
        <d v="2023-03-05T00:00:00Z"/>
        <d v="2023-09-16T00:00:00Z"/>
        <d v="2023-08-15T00:00:00Z"/>
        <d v="2023-06-29T00:00:00Z"/>
        <d v="2023-05-05T00:00:00Z"/>
        <d v="2023-06-04T00:00:00Z"/>
        <d v="2023-03-27T00:00:00Z"/>
        <d v="2023-03-06T00:00:00Z"/>
        <d v="2023-12-23T00:00:00Z"/>
        <d v="2023-12-31T00:00:00Z"/>
        <d v="2023-10-03T00:00:00Z"/>
        <d v="2023-01-23T00:00:00Z"/>
        <d v="2024-04-30T00:00:00Z"/>
        <d v="2023-04-25T00:00:00Z"/>
        <d v="2024-02-19T00:00:00Z"/>
        <d v="2023-12-29T00:00:00Z"/>
        <d v="2023-09-06T00:00:00Z"/>
        <d v="2024-03-18T00:00:00Z"/>
        <d v="2024-03-02T00:00:00Z"/>
        <d v="2024-05-01T00:00:00Z"/>
        <d v="2023-08-27T00:00:00Z"/>
        <d v="2024-02-03T00:00:00Z"/>
        <d v="2023-10-13T00:00:00Z"/>
        <d v="2023-11-23T00:00:00Z"/>
        <d v="2024-05-09T00:00:00Z"/>
        <d v="2024-04-29T00:00:00Z"/>
        <d v="2024-01-18T00:00:00Z"/>
        <d v="2023-06-07T00:00:00Z"/>
        <d v="2023-02-12T00:00:00Z"/>
        <d v="2023-12-16T00:00:00Z"/>
        <d v="2024-03-29T00:00:00Z"/>
        <d v="2023-09-24T00:00:00Z"/>
        <d v="2024-02-13T00:00:00Z"/>
        <d v="2023-11-25T00:00:00Z"/>
        <d v="2023-02-10T00:00:00Z"/>
        <d v="2023-03-25T00:00:00Z"/>
        <d v="2023-09-09T00:00:00Z"/>
        <d v="2023-11-21T00:00:00Z"/>
        <d v="2023-04-03T00:00:00Z"/>
        <d v="2023-02-26T00:00:00Z"/>
        <d v="2023-04-15T00:00:00Z"/>
        <d v="2023-06-15T00:00:00Z"/>
        <d v="2023-06-28T00:00:00Z"/>
        <d v="2023-12-05T00:00:00Z"/>
        <d v="2023-07-01T00:00:00Z"/>
        <d v="2024-03-20T00:00:00Z"/>
        <d v="2023-04-06T00:00:00Z"/>
        <d v="2023-04-02T00:00:00Z"/>
        <d v="2023-12-22T00:00:00Z"/>
        <d v="2023-10-25T00:00:00Z"/>
        <d v="2023-09-26T00:00:00Z"/>
        <d v="2023-08-01T00:00:00Z"/>
        <d v="2023-05-30T00:00:00Z"/>
        <d v="2023-03-20T00:00:00Z"/>
        <d v="2024-02-29T00:00:00Z"/>
        <d v="2024-05-18T00:00:00Z"/>
        <d v="2024-05-15T00:00:00Z"/>
        <d v="2024-04-27T00:00:00Z"/>
        <d v="2023-08-09T00:00:00Z"/>
        <d v="2023-03-11T00:00:00Z"/>
        <d v="2024-04-14T00:00:00Z"/>
        <d v="2023-05-13T00:00:00Z"/>
        <d v="2023-03-02T00:00:00Z"/>
        <d v="2024-03-14T00:00:00Z"/>
        <d v="2024-01-31T00:00:00Z"/>
        <d v="2023-05-11T00:00:00Z"/>
        <d v="2023-03-26T00:00:00Z"/>
        <d v="2023-04-12T00:00:00Z"/>
        <d v="2023-03-21T00:00:00Z"/>
        <d v="2024-01-09T00:00:00Z"/>
        <d v="2023-01-25T00:00:00Z"/>
        <d v="2024-04-23T00:00:00Z"/>
        <d v="2023-02-04T00:00:00Z"/>
        <d v="2023-01-07T00:00:00Z"/>
        <d v="2023-12-01T00:00:00Z"/>
        <d v="2024-02-07T00:00:00Z"/>
        <d v="2024-02-15T00:00:00Z"/>
        <d v="2023-04-29T00:00:00Z"/>
        <d v="2023-08-19T00:00:00Z"/>
        <d v="2023-01-19T00:00:00Z"/>
        <d v="2023-08-04T00:00:00Z"/>
        <d v="2023-04-21T00:00:00Z"/>
        <d v="2023-11-20T00:00:00Z"/>
        <d v="2024-05-04T00:00:00Z"/>
        <d v="2023-09-30T00:00:00Z"/>
        <d v="2023-08-28T00:00:00Z"/>
        <d v="2023-07-19T00:00:00Z"/>
        <d v="2024-04-09T00:00:00Z"/>
        <d v="2024-04-10T00:00:00Z"/>
        <d v="2024-03-11T00:00:00Z"/>
        <d v="2023-03-16T00:00:00Z"/>
        <d v="2023-01-17T00:00:00Z"/>
        <d v="2023-02-28T00:00:00Z"/>
        <d v="2024-02-01T00:00:00Z"/>
        <d v="2024-01-08T00:00:00Z"/>
        <d v="2023-05-21T00:00:00Z"/>
        <d v="2023-06-30T00:00:00Z"/>
        <d v="2023-02-27T00:00:00Z"/>
        <d v="2023-09-23T00:00:00Z"/>
        <d v="2023-01-10T00:00:00Z"/>
        <d v="2023-08-30T00:00:00Z"/>
        <d v="2023-01-29T00:00:00Z"/>
        <d v="2024-01-06T00:00:00Z"/>
        <d v="2023-10-23T00:00:00Z"/>
        <d v="2023-10-12T00:00:00Z"/>
        <d v="2023-09-15T00:00:00Z"/>
        <d v="2023-05-18T00:00:00Z"/>
        <d v="2023-11-28T00:00:00Z"/>
        <d v="2023-12-19T00:00:00Z"/>
        <d v="2023-06-10T00:00:00Z"/>
        <d v="2024-03-19T00:00:00Z"/>
        <d v="2023-11-13T00:00:00Z"/>
        <d v="2024-03-15T00:00:00Z"/>
        <d v="2023-06-25T00:00:00Z"/>
        <d v="2023-08-23T00:00:00Z"/>
        <d v="2023-09-13T00:00:00Z"/>
        <d v="2023-10-28T00:00:00Z"/>
        <d v="2023-11-02T00:00:00Z"/>
        <d v="2023-06-14T00:00:00Z"/>
        <d v="2024-02-28T00:00:00Z"/>
        <d v="2024-02-24T00:00:00Z"/>
        <d v="2023-01-12T00:00:00Z"/>
        <d v="2023-04-20T00:00:00Z"/>
        <d v="2023-10-18T00:00:00Z"/>
        <d v="2024-01-01T00:00:00Z"/>
        <d v="2024-04-03T00:00:00Z"/>
        <d v="2023-05-08T00:00:00Z"/>
        <d v="2023-12-14T00:00:00Z"/>
        <d v="2023-01-06T00:00:00Z"/>
        <d v="2024-03-23T00:00:00Z"/>
        <d v="2023-05-29T00:00:00Z"/>
        <d v="2023-08-22T00:00:00Z"/>
        <d v="2023-07-25T00:00:00Z"/>
        <d v="2023-06-21T00:00:00Z"/>
        <d v="2023-10-08T00:00:00Z"/>
        <d v="2023-05-06T00:00:00Z"/>
        <d v="2023-02-25T00:00:00Z"/>
        <d v="2024-02-18T00:00:00Z"/>
        <d v="2023-11-24T00:00:00Z"/>
        <d v="2024-02-20T00:00:00Z"/>
        <d v="2024-03-22T00:00:00Z"/>
        <d v="2024-02-10T00:00:00Z"/>
        <d v="2024-03-24T00:00:00Z"/>
        <d v="2023-01-02T00:00:00Z"/>
        <d v="2023-11-01T00:00:00Z"/>
        <d v="2023-07-17T00:00:00Z"/>
        <d v="2023-08-07T00:00:00Z"/>
        <d v="2024-02-26T00:00:00Z"/>
        <d v="2023-11-03T00:00:00Z"/>
        <d v="2023-10-06T00:00:00Z"/>
        <d v="2024-03-06T00:00:00Z"/>
        <d v="2023-01-28T00:00:00Z"/>
        <d v="2023-03-01T00:00:00Z"/>
        <d v="2023-01-05T00:00:00Z"/>
        <d v="2023-09-29T00:00:00Z"/>
        <d v="2024-03-26T00:00:00Z"/>
        <d v="2023-05-28T00:00:00Z"/>
        <d v="2023-07-13T00:00:00Z"/>
        <d v="2023-05-20T00:00:00Z"/>
        <d v="2023-10-07T00:00:00Z"/>
        <d v="2024-05-13T00:00:00Z"/>
        <d v="2023-11-26T00:00:00Z"/>
        <d v="2023-03-22T00:00:00Z"/>
        <d v="2023-01-09T00:00:00Z"/>
        <d v="2023-03-23T00:00:00Z"/>
        <d v="2023-10-20T00:00:00Z"/>
        <d v="2024-01-21T00:00:00Z"/>
        <d v="2024-04-28T00:00:00Z"/>
        <d v="2024-05-08T00:00:00Z"/>
        <d v="2023-10-14T00:00:00Z"/>
        <d v="2023-08-18T00:00:00Z"/>
        <d v="2023-04-05T00:00:00Z"/>
        <d v="2023-12-11T00:00:00Z"/>
        <d v="2024-04-26T00:00:00Z"/>
        <d v="2023-09-19T00:00:00Z"/>
        <d v="2023-03-18T00:00:00Z"/>
        <d v="2023-06-17T00:00:00Z"/>
        <d v="2024-01-13T00:00:00Z"/>
        <d v="2024-04-07T00:00:00Z"/>
        <d v="2023-06-01T00:00:00Z"/>
        <d v="2024-04-25T00:00:00Z"/>
        <d v="2024-02-22T00:00:00Z"/>
        <d v="2023-07-24T00:00:00Z"/>
        <d v="2024-01-10T00:00:00Z"/>
        <d v="2024-03-08T00:00:00Z"/>
        <d v="2023-08-17T00:00:00Z"/>
        <d v="2023-11-17T00:00:00Z"/>
        <d v="2024-03-31T00:00:00Z"/>
        <d v="2024-01-26T00:00:00Z"/>
        <d v="2023-12-09T00:00:00Z"/>
        <d v="2024-03-13T00:00:00Z"/>
        <d v="2023-02-08T00:00:00Z"/>
        <d v="2023-03-31T00:00:00Z"/>
        <d v="2024-01-20T00:00:00Z"/>
        <d v="2023-09-08T00:00:00Z"/>
        <d v="2023-12-24T00:00:00Z"/>
        <d v="2023-07-14T00:00:00Z"/>
        <d v="2024-04-15T00:00:00Z"/>
        <d v="2023-03-17T00:00:00Z"/>
        <d v="2023-05-01T00:00:00Z"/>
        <d v="2024-02-08T00:00:00Z"/>
        <d v="2023-10-04T00:00:00Z"/>
        <d v="2024-03-04T00:00:00Z"/>
        <d v="2024-03-27T00:00:00Z"/>
        <d v="2024-04-04T00:00:00Z"/>
        <d v="2023-09-17T00:00:00Z"/>
        <d v="2023-05-27T00:00:00Z"/>
        <d v="2023-12-03T00:00:00Z"/>
        <d v="2023-08-08T00:00:00Z"/>
        <d v="2023-01-24T00:00:00Z"/>
        <d v="2023-04-07T00:00:00Z"/>
        <d v="2023-07-30T00:00:00Z"/>
        <d v="2023-09-12T00:00:00Z"/>
        <d v="2023-06-11T00:00:00Z"/>
        <d v="2023-02-01T00:00:00Z"/>
        <d v="2023-07-05T00:00:00Z"/>
        <d v="2023-05-09T00:00:00Z"/>
        <d v="2023-12-18T00:00:00Z"/>
        <d v="2024-04-20T00:00:00Z"/>
        <d v="2023-09-22T00:00:00Z"/>
        <d v="2023-05-15T00:00:00Z"/>
        <d v="2023-03-14T00:00:00Z"/>
        <d v="2024-04-11T00:00:00Z"/>
        <d v="2024-01-27T00:00:00Z"/>
        <d v="2023-05-07T00:00:00Z"/>
        <d v="2024-04-22T00:00:00Z"/>
        <d v="2023-08-10T00:00:00Z"/>
        <d v="2024-05-17T00:00:00Z"/>
        <d v="2023-10-24T00:00:00Z"/>
        <d v="2024-03-07T00:00:00Z"/>
        <d v="2023-01-03T00:00:00Z"/>
        <d v="2023-02-22T00:00:00Z"/>
        <d v="2023-08-12T00:00:00Z"/>
        <d v="2023-03-29T00:00:00Z"/>
        <d v="2023-07-06T00:00:00Z"/>
        <d v="2024-01-04T00:00:00Z"/>
        <d v="2023-12-26T00:00:00Z"/>
        <d v="2023-12-28T00:00:00Z"/>
        <d v="2024-02-02T00:00:00Z"/>
        <d v="2023-06-09T00:00:00Z"/>
        <d v="2024-05-03T00:00:00Z"/>
        <d v="2024-01-02T00:00:00Z"/>
        <d v="2023-08-02T00:00:00Z"/>
        <d v="2023-08-05T00:00:00Z"/>
        <d v="2023-10-30T00:00:00Z"/>
        <d v="2023-01-18T00:00:00Z"/>
        <d v="2024-05-19T00:00:00Z"/>
        <d v="2024-01-24T00:00:00Z"/>
        <d v="2023-07-15T00:00:00Z"/>
        <d v="2023-04-04T00:00:00Z"/>
        <d v="2023-03-07T00:00:00Z"/>
        <d v="2024-01-05T00:00:00Z"/>
        <d v="2023-02-07T00:00:00Z"/>
        <d v="2023-04-01T00:00:00Z"/>
        <d v="2024-05-10T00:00:00Z"/>
        <d v="2023-06-23T00:00:00Z"/>
        <d v="2023-08-06T00:00:00Z"/>
        <d v="2023-07-27T00:00:00Z"/>
        <d v="2023-05-19T00:00:00Z"/>
        <d v="2024-01-12T00:00:00Z"/>
        <d v="2023-04-18T00:00:00Z"/>
        <d v="2024-04-08T00:00:00Z"/>
        <d v="2023-11-07T00:00:00Z"/>
        <d v="2023-05-16T00:00:00Z"/>
        <d v="2024-01-07T00:00:00Z"/>
        <d v="2023-05-10T00:00:00Z"/>
        <d v="2024-02-11T00:00:00Z"/>
        <d v="2023-08-25T00:00:00Z"/>
        <d v="2023-11-06T00:00:00Z"/>
        <d v="2023-10-31T00:00:00Z"/>
        <d v="2023-12-15T00:00:00Z"/>
        <d v="2024-01-03T00:00:00Z"/>
        <d v="2024-05-07T00:00:00Z"/>
        <d v="2023-07-21T00:00:00Z"/>
        <d v="2024-01-28T00:00:00Z"/>
        <d v="2024-04-13T00:00:00Z"/>
        <d v="2023-08-21T00:00:00Z"/>
        <d v="2023-05-14T00:00:00Z"/>
        <d v="2023-06-16T00:00:00Z"/>
        <d v="2023-08-16T00:00:00Z"/>
        <d v="2024-01-29T00:00:00Z"/>
        <d v="2023-07-28T00:00:00Z"/>
        <d v="2023-05-04T00:00:00Z"/>
        <d v="2023-11-10T00:00:00Z"/>
        <d v="2023-07-04T00:00:00Z"/>
        <d v="2023-02-13T00:00:00Z"/>
        <d v="2024-04-19T00:00:00Z"/>
        <d v="2023-01-11T00:00:00Z"/>
        <d v="2023-04-14T00:00:00Z"/>
        <d v="2023-06-24T00:00:00Z"/>
        <d v="2023-02-05T00:00:00Z"/>
        <d v="2024-02-17T00:00:00Z"/>
        <d v="2023-04-10T00:00:00Z"/>
        <d v="2023-06-20T00:00:00Z"/>
        <d v="2023-11-08T00:00:00Z"/>
        <d v="2023-05-26T00:00:00Z"/>
        <d v="2023-11-22T00:00:00Z"/>
        <d v="2023-07-31T00:00:00Z"/>
        <d v="2023-01-14T00:00:00Z"/>
        <d v="2023-11-19T00:00:00Z"/>
        <d v="2023-03-10T00:00:00Z"/>
        <d v="2023-12-13T00:00:00Z"/>
        <d v="2023-11-18T00:00:00Z"/>
      </sharedItems>
    </cacheField>
    <cacheField name="магазин покупки" numFmtId="0">
      <sharedItems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>
        <n v="315.0"/>
        <n v="253.0"/>
        <n v="12.0"/>
        <n v="116.0"/>
        <n v="471.0"/>
        <n v="374.0"/>
        <n v="477.0"/>
        <n v="335.0"/>
        <n v="350.0"/>
        <n v="413.0"/>
        <n v="495.0"/>
        <n v="353.0"/>
        <n v="332.0"/>
        <n v="414.0"/>
        <n v="236.0"/>
        <n v="164.0"/>
        <n v="490.0"/>
        <n v="223.0"/>
        <n v="204.0"/>
        <n v="481.0"/>
        <n v="363.0"/>
        <n v="397.0"/>
        <n v="280.0"/>
        <n v="39.0"/>
        <n v="303.0"/>
        <n v="422.0"/>
        <n v="24.0"/>
        <n v="112.0"/>
        <n v="451.0"/>
        <n v="131.0"/>
        <n v="160.0"/>
        <n v="408.0"/>
        <n v="324.0"/>
        <n v="310.0"/>
        <n v="179.0"/>
        <n v="64.0"/>
        <n v="318.0"/>
        <n v="239.0"/>
        <n v="194.0"/>
        <n v="267.0"/>
        <n v="334.0"/>
        <n v="47.0"/>
        <n v="287.0"/>
        <n v="145.0"/>
        <n v="270.0"/>
        <n v="183.0"/>
        <n v="2.0"/>
        <n v="229.0"/>
        <n v="385.0"/>
        <n v="407.0"/>
        <n v="493.0"/>
        <n v="34.0"/>
        <n v="190.0"/>
        <n v="266.0"/>
        <n v="222.0"/>
        <n v="382.0"/>
        <n v="142.0"/>
        <n v="150.0"/>
        <n v="14.0"/>
        <n v="371.0"/>
        <n v="328.0"/>
        <n v="171.0"/>
        <n v="68.0"/>
        <n v="346.0"/>
        <n v="415.0"/>
        <n v="115.0"/>
        <n v="42.0"/>
        <n v="378.0"/>
        <n v="449.0"/>
        <n v="317.0"/>
        <n v="426.0"/>
        <n v="25.0"/>
        <n v="462.0"/>
        <n v="252.0"/>
        <n v="392.0"/>
        <n v="487.0"/>
        <n v="134.0"/>
        <n v="11.0"/>
        <n v="458.0"/>
        <n v="130.0"/>
        <n v="330.0"/>
        <n v="167.0"/>
        <n v="140.0"/>
        <n v="423.0"/>
        <n v="365.0"/>
        <n v="452.0"/>
        <n v="424.0"/>
        <n v="75.0"/>
        <n v="71.0"/>
        <n v="313.0"/>
        <n v="301.0"/>
        <n v="359.0"/>
        <n v="474.0"/>
        <n v="111.0"/>
        <n v="126.0"/>
        <n v="356.0"/>
        <n v="166.0"/>
        <n v="162.0"/>
        <n v="459.0"/>
        <n v="211.0"/>
        <n v="132.0"/>
        <n v="333.0"/>
        <n v="298.0"/>
        <n v="273.0"/>
        <n v="321.0"/>
        <n v="119.0"/>
        <n v="472.0"/>
        <n v="396.0"/>
        <n v="269.0"/>
        <n v="16.0"/>
        <n v="281.0"/>
        <n v="149.0"/>
        <n v="380.0"/>
        <n v="114.0"/>
        <n v="381.0"/>
        <n v="342.0"/>
        <n v="276.0"/>
        <n v="293.0"/>
        <n v="386.0"/>
        <n v="362.0"/>
        <n v="283.0"/>
        <n v="388.0"/>
        <n v="437.0"/>
        <n v="450.0"/>
        <n v="136.0"/>
        <n v="61.0"/>
        <n v="364.0"/>
        <n v="496.0"/>
        <n v="464.0"/>
        <n v="419.0"/>
        <n v="247.0"/>
        <n v="73.0"/>
        <n v="139.0"/>
        <n v="258.0"/>
        <n v="349.0"/>
        <n v="325.0"/>
        <n v="250.0"/>
        <n v="153.0"/>
        <n v="286.0"/>
        <n v="32.0"/>
        <n v="49.0"/>
        <n v="420.0"/>
        <n v="202.0"/>
        <n v="37.0"/>
        <n v="366.0"/>
        <n v="434.0"/>
        <n v="172.0"/>
        <n v="52.0"/>
        <n v="395.0"/>
        <n v="46.0"/>
        <n v="361.0"/>
        <n v="358.0"/>
        <n v="44.0"/>
        <n v="416.0"/>
        <n v="74.0"/>
        <n v="180.0"/>
        <n v="159.0"/>
        <n v="106.0"/>
        <n v="65.0"/>
        <n v="457.0"/>
        <n v="255.0"/>
        <n v="436.0"/>
        <n v="175.0"/>
        <n v="274.0"/>
        <n v="59.0"/>
        <n v="411.0"/>
        <n v="259.0"/>
        <n v="337.0"/>
        <n v="354.0"/>
        <n v="329.0"/>
        <n v="186.0"/>
        <n v="448.0"/>
        <n v="377.0"/>
        <n v="316.0"/>
        <n v="322.0"/>
        <n v="62.0"/>
        <n v="295.0"/>
        <n v="235.0"/>
        <n v="156.0"/>
        <n v="327.0"/>
        <n v="275.0"/>
        <n v="177.0"/>
        <n v="181.0"/>
        <n v="478.0"/>
        <n v="429.0"/>
        <n v="431.0"/>
        <n v="147.0"/>
        <n v="312.0"/>
        <n v="41.0"/>
        <n v="389.0"/>
        <n v="249.0"/>
        <n v="168.0"/>
        <n v="121.0"/>
        <n v="405.0"/>
        <n v="376.0"/>
        <n v="489.0"/>
        <n v="483.0"/>
        <n v="107.0"/>
        <n v="51.0"/>
        <n v="9.0"/>
        <n v="456.0"/>
        <n v="110.0"/>
        <n v="216.0"/>
        <n v="77.0"/>
        <n v="192.0"/>
        <n v="308.0"/>
        <n v="455.0"/>
        <n v="480.0"/>
        <n v="203.0"/>
        <n v="21.0"/>
        <n v="302.0"/>
        <n v="341.0"/>
        <n v="463.0"/>
        <n v="421.0"/>
        <n v="86.0"/>
        <n v="319.0"/>
        <n v="290.0"/>
        <n v="13.0"/>
        <n v="453.0"/>
        <n v="120.0"/>
        <n v="292.0"/>
        <n v="1.0"/>
        <n v="98.0"/>
        <n v="226.0"/>
        <n v="296.0"/>
        <n v="29.0"/>
        <n v="297.0"/>
        <n v="497.0"/>
        <n v="191.0"/>
        <n v="58.0"/>
        <n v="446.0"/>
        <n v="117.0"/>
        <n v="187.0"/>
        <n v="231.0"/>
        <n v="265.0"/>
        <n v="391.0"/>
        <n v="355.0"/>
        <n v="277.0"/>
        <n v="104.0"/>
        <n v="109.0"/>
        <n v="369.0"/>
        <n v="78.0"/>
        <n v="66.0"/>
        <n v="261.0"/>
        <n v="307.0"/>
        <n v="144.0"/>
        <n v="76.0"/>
        <n v="84.0"/>
        <n v="81.0"/>
        <n v="157.0"/>
        <n v="57.0"/>
        <n v="479.0"/>
        <n v="406.0"/>
        <n v="56.0"/>
        <n v="10.0"/>
        <n v="174.0"/>
        <n v="72.0"/>
        <n v="38.0"/>
        <n v="18.0"/>
        <n v="88.0"/>
        <n v="129.0"/>
        <n v="19.0"/>
        <n v="304.0"/>
        <n v="285.0"/>
        <n v="461.0"/>
        <n v="278.0"/>
        <n v="246.0"/>
        <n v="205.0"/>
        <n v="357.0"/>
        <n v="152.0"/>
        <n v="323.0"/>
        <n v="185.0"/>
        <n v="314.0"/>
        <n v="476.0"/>
        <n v="375.0"/>
        <n v="233.0"/>
        <n v="69.0"/>
        <n v="254.0"/>
        <n v="219.0"/>
        <n v="232.0"/>
        <n v="372.0"/>
        <n v="432.0"/>
        <n v="221.0"/>
        <n v="148.0"/>
        <n v="209.0"/>
        <n v="263.0"/>
        <n v="101.0"/>
        <n v="124.0"/>
        <n v="257.0"/>
        <n v="309.0"/>
        <n v="103.0"/>
        <n v="31.0"/>
        <n v="306.0"/>
        <n v="383.0"/>
        <n v="367.0"/>
        <n v="138.0"/>
        <n v="158.0"/>
        <n v="217.0"/>
        <n v="102.0"/>
        <n v="425.0"/>
        <n v="43.0"/>
        <n v="326.0"/>
        <n v="402.0"/>
        <n v="23.0"/>
        <n v="468.0"/>
        <n v="141.0"/>
        <n v="182.0"/>
        <n v="225.0"/>
        <n v="151.0"/>
        <n v="428.0"/>
        <n v="438.0"/>
        <n v="465.0"/>
        <n v="215.0"/>
        <n v="15.0"/>
        <n v="370.0"/>
        <n v="80.0"/>
        <n v="17.0"/>
        <n v="127.0"/>
        <n v="441.0"/>
        <n v="220.0"/>
        <n v="206.0"/>
        <n v="210.0"/>
        <n v="67.0"/>
        <n v="125.0"/>
        <n v="213.0"/>
        <n v="336.0"/>
        <n v="294.0"/>
        <n v="27.0"/>
        <n v="53.0"/>
        <n v="143.0"/>
        <n v="135.0"/>
        <n v="279.0"/>
        <n v="271.0"/>
        <n v="444.0"/>
        <n v="133.0"/>
        <n v="300.0"/>
        <n v="54.0"/>
        <n v="340.0"/>
        <n v="272.0"/>
        <n v="165.0"/>
        <n v="214.0"/>
        <n v="409.0"/>
        <n v="348.0"/>
        <n v="351.0"/>
        <n v="40.0"/>
        <n v="245.0"/>
        <n v="466.0"/>
        <n v="122.0"/>
        <n v="199.0"/>
        <n v="447.0"/>
        <n v="163.0"/>
        <n v="320.0"/>
        <n v="173.0"/>
        <n v="485.0"/>
        <n v="401.0"/>
        <n v="379.0"/>
        <n v="201.0"/>
        <n v="498.0"/>
        <n v="237.0"/>
        <n v="403.0"/>
        <n v="460.0"/>
        <n v="50.0"/>
        <n v="197.0"/>
        <n v="243.0"/>
        <n v="45.0"/>
        <n v="242.0"/>
        <n v="79.0"/>
        <n v="70.0"/>
        <n v="345.0"/>
        <n v="33.0"/>
        <n v="7.0"/>
        <n v="494.0"/>
        <n v="83.0"/>
        <n v="352.0"/>
        <n v="8.0"/>
        <n v="291.0"/>
        <n v="418.0"/>
        <n v="470.0"/>
        <n v="123.0"/>
        <n v="442.0"/>
        <n v="218.0"/>
        <n v="331.0"/>
        <n v="196.0"/>
        <n v="36.0"/>
        <n v="22.0"/>
        <n v="360.0"/>
        <n v="188.0"/>
        <n v="63.0"/>
        <n v="238.0"/>
        <n v="105.0"/>
        <n v="260.0"/>
        <n v="394.0"/>
        <n v="248.0"/>
        <n v="3.0"/>
        <n v="435.0"/>
        <n v="262.0"/>
        <n v="264.0"/>
        <n v="99.0"/>
        <n v="404.0"/>
        <n v="146.0"/>
        <n v="338.0"/>
        <n v="445.0"/>
        <n v="208.0"/>
        <n v="343.0"/>
        <n v="486.0"/>
        <n v="299.0"/>
        <n v="368.0"/>
        <n v="108.0"/>
        <n v="443.0"/>
        <n v="91.0"/>
        <n v="473.0"/>
        <n v="482.0"/>
        <n v="48.0"/>
        <n v="26.0"/>
        <n v="417.0"/>
        <n v="491.0"/>
        <n v="492.0"/>
        <n v="155.0"/>
        <n v="430.0"/>
        <n v="488.0"/>
        <n v="6.0"/>
        <n v="400.0"/>
        <n v="282.0"/>
        <n v="433.0"/>
        <n v="212.0"/>
        <n v="499.0"/>
        <n v="347.0"/>
        <n v="469.0"/>
        <n v="93.0"/>
        <n v="200.0"/>
        <n v="95.0"/>
        <n v="20.0"/>
        <n v="94.0"/>
        <n v="427.0"/>
      </sharedItems>
    </cacheField>
    <cacheField name="Категория товара" numFmtId="0">
      <sharedItems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4">
      <sharedItems containsSemiMixedTypes="0" containsString="0" containsNumber="1">
        <n v="252.76271186440678"/>
        <n v="264.8679245283019"/>
        <n v="283.468085106383"/>
        <n v="265.4767441860465"/>
        <n v="250.4878048780488"/>
        <n v="268.6034482758621"/>
        <n v="258.5128205128205"/>
        <n v="249.02380952380952"/>
        <n v="271.1818181818182"/>
        <n v="263.2542372881356"/>
        <n v="271.74545454545455"/>
        <n v="262.63492063492066"/>
        <n v="274.16279069767444"/>
        <n v="258.375"/>
        <n v="273.72549019607845"/>
        <n v="294.95238095238096"/>
        <n v="300.3181818181818"/>
        <n v="267.85483870967744"/>
        <n v="255.11627906976744"/>
        <n v="286.9230769230769"/>
      </sharedItems>
    </cacheField>
    <cacheField name="Выгода для клиента" numFmtId="9">
      <sharedItems containsSemiMixedTypes="0" containsString="0" containsNumber="1">
        <n v="-0.5925031851404814"/>
        <n v="0.11753811084200017"/>
        <n v="-0.5096449748555131"/>
        <n v="-0.4688800315360694"/>
        <n v="-0.5089581304771178"/>
        <n v="0.6827780987226393"/>
        <n v="-0.4236262646300337"/>
        <n v="0.9636676546514964"/>
        <n v="0.5340261481729802"/>
        <n v="0.7055755858872006"/>
        <n v="0.08925465007359823"/>
        <n v="-0.5687655066049755"/>
        <n v="-0.2161782416700121"/>
        <n v="-0.2826613477703377"/>
        <n v="-0.11765838628923564"/>
        <n v="-0.34361381159906135"/>
        <n v="0.1775725946741602"/>
        <n v="0.5782926722438788"/>
        <n v="-0.2765623111326001"/>
        <n v="0.72519819543603"/>
        <n v="-0.4455848672491306"/>
        <n v="0.3259165170163374"/>
        <n v="-0.13187477335912012"/>
        <n v="-0.3768746976294146"/>
        <n v="0.3783391756315724"/>
        <n v="0.1505196111297351"/>
        <n v="0.13617478510028636"/>
        <n v="-0.12961845369811575"/>
        <n v="0.6138198256377139"/>
        <n v="-0.36733767216588464"/>
        <n v="-0.2095423563777995"/>
        <n v="-0.017456853798849425"/>
        <n v="0.3333118722637136"/>
        <n v="0.5310802655401328"/>
        <n v="-0.7905838269068053"/>
        <n v="0.2544107906304569"/>
        <n v="0.808067977749551"/>
        <n v="-0.28742243075525953"/>
        <n v="-0.7766223762757558"/>
        <n v="0.5594586308089877"/>
        <n v="-0.7510278229276222"/>
        <n v="0.41239187286260304"/>
        <n v="0.9080793420416062"/>
        <n v="0.07595886812279518"/>
        <n v="-0.3831741810709538"/>
        <n v="-0.7096090891584825"/>
        <n v="0.21001275988891388"/>
        <n v="0.8758705269151592"/>
        <n v="-0.5095541401273885"/>
        <n v="0.18136749935616803"/>
        <n v="-0.051412944393801285"/>
        <n v="-0.6041020966271651"/>
        <n v="-0.7551574613464149"/>
        <n v="-0.47377224675498464"/>
        <n v="0.4966300789524358"/>
        <n v="-0.6306660219992748"/>
        <n v="0.8309296935359258"/>
        <n v="-0.7758820499613701"/>
        <n v="-0.655803661235164"/>
        <n v="-0.11145902330342627"/>
        <n v="-0.10349962769918097"/>
        <n v="0.44252642847584633"/>
        <n v="0.7817003197407033"/>
        <n v="-0.12986728570802852"/>
        <n v="0.6637908833376256"/>
        <n v="0.3780453055990882"/>
        <n v="0.19477036540395565"/>
        <n v="-0.21470294913805388"/>
        <n v="-0.5668170469975033"/>
        <n v="-0.04648997134670496"/>
        <n v="-0.09337236358177592"/>
        <n v="0.815932407966204"/>
        <n v="-0.5878495918640438"/>
        <n v="0.7321173909780079"/>
        <n v="-0.39519479737460106"/>
        <n v="-0.074315120326926"/>
        <n v="0.9435892532746917"/>
        <n v="-0.8026830990435844"/>
        <n v="-0.5434316353887398"/>
        <n v="-0.546944009118108"/>
        <n v="0.34258960284145945"/>
        <n v="-0.0031914253025833172"/>
        <n v="0.36808581964465303"/>
        <n v="0.028150134048257502"/>
        <n v="-0.7234327857861214"/>
        <n v="-0.061743497295905225"/>
        <n v="0.058473128640883054"/>
        <n v="-0.453867482550913"/>
        <n v="-0.4812320916905445"/>
        <n v="0.5726242595930982"/>
        <n v="-0.24193764217850933"/>
        <n v="-0.7571256523484544"/>
        <n v="0.5945357652180439"/>
        <n v="-0.3606733524355301"/>
        <n v="-0.5941973169009565"/>
        <n v="0.27787836116140285"/>
        <n v="-0.6613375365908579"/>
        <n v="0.6847127555988315"/>
        <n v="-0.7902448815736652"/>
        <n v="0.378537914333283"/>
        <n v="0.16905444126074487"/>
        <n v="0.035658165115435736"/>
        <n v="0.4781205434211513"/>
        <n v="0.8046730303462031"/>
        <n v="0.3294060370009737"/>
        <n v="0.20583305397251084"/>
        <n v="-0.6753753499024515"/>
        <n v="-0.715497497667317"/>
        <n v="0.07538186867684993"/>
        <n v="-0.21445535656974135"/>
        <n v="-0.6461956060734584"/>
        <n v="-0.20084758589374907"/>
        <n v="-0.07095370482291807"/>
        <n v="-0.16614287441073383"/>
        <n v="-0.5611800201139792"/>
        <n v="-0.3583640630238015"/>
        <n v="-0.22360348724572165"/>
        <n v="0.515588333892055"/>
        <n v="-0.09842098220259599"/>
        <n v="-0.5628843483435826"/>
        <n v="-0.728223891135503"/>
        <n v="0.35702313107609784"/>
        <n v="0.3067590987868283"/>
        <n v="-0.11772151898734184"/>
        <n v="0.6299027824337915"/>
        <n v="0.6403963071380319"/>
        <n v="0.4434715426216844"/>
        <n v="0.18172104288360158"/>
        <n v="-0.43709834469328146"/>
        <n v="0.29921117601011615"/>
        <n v="0.2729663245398253"/>
        <n v="0.513047711781889"/>
        <n v="0.6340656544236152"/>
        <n v="-0.30528731236255857"/>
        <n v="0.15750030218783984"/>
        <n v="0.9797303757529401"/>
        <n v="0.2842777142168964"/>
        <n v="0.729559748427673"/>
        <n v="0.8592159932558558"/>
        <n v="0.19002260251856629"/>
        <n v="-0.5722427086825344"/>
        <n v="0.21528785679729068"/>
        <n v="-0.05433630997426975"/>
        <n v="0.21095936890321476"/>
        <n v="-0.11867247737177344"/>
        <n v="-0.6858166189111747"/>
        <n v="-0.3815852375944163"/>
        <n v="-0.6304488214401034"/>
        <n v="-0.7525024216984179"/>
        <n v="-0.18862118141559714"/>
        <n v="-0.6895594085416198"/>
        <n v="-0.2308158014227335"/>
        <n v="0.742621776504298"/>
        <n v="-0.7137472723665939"/>
        <n v="0.4578624475298676"/>
        <n v="0.10632810950208293"/>
        <n v="0.08006437336551997"/>
        <n v="0.12037479682570029"/>
        <n v="-0.20041097546234743"/>
        <n v="-0.1555481059336239"/>
        <n v="-0.26894717756557485"/>
        <n v="0.3158447797042707"/>
        <n v="0.21915820029027566"/>
        <n v="0.2193535925830543"/>
        <n v="-0.2685050798258345"/>
        <n v="0.5875113947128532"/>
        <n v="0.4184955350385955"/>
        <n v="0.011742036490636432"/>
        <n v="-0.6467282215977519"/>
        <n v="-0.7530903940252383"/>
        <n v="0.5859811284421335"/>
        <n v="0.37710771672287247"/>
        <n v="-0.11283693944155693"/>
        <n v="0.9119496855345912"/>
        <n v="0.14887652752836056"/>
        <n v="-0.32187784867821334"/>
        <n v="-0.3755910830893944"/>
        <n v="-0.016863037098681644"/>
        <n v="-0.24610177686449908"/>
        <n v="-0.5659373866795601"/>
        <n v="0.6084271385397046"/>
        <n v="0.5010710808179162"/>
        <n v="-0.7982297324481995"/>
        <n v="0.15444126074498565"/>
        <n v="-0.4175949900644307"/>
        <n v="-0.2088184129532985"/>
        <n v="-0.7716497339138848"/>
        <n v="-0.6785100286532951"/>
        <n v="0.8273258298902977"/>
        <n v="-0.04052507978563258"/>
        <n v="0.8156876790830945"/>
        <n v="-0.5943105907077986"/>
        <n v="0.35420848387528436"/>
        <n v="-0.5529403875813049"/>
        <n v="-0.2692391923262232"/>
        <n v="-0.43060390494929623"/>
        <n v="0.25824977210574285"/>
        <n v="0.4079226397489184"/>
        <n v="-0.4378058202420808"/>
        <n v="0.16173320350535536"/>
        <n v="-0.7491120439134646"/>
        <n v="0.290765139610782"/>
        <n v="0.9556362941007746"/>
        <n v="0.25067742518215197"/>
        <n v="-0.14064442107276032"/>
        <n v="0.7882384496747803"/>
        <n v="-0.3596508119905001"/>
        <n v="-0.5974842767295597"/>
        <n v="0.6972652689152232"/>
        <n v="-0.6903372835004558"/>
        <n v="-0.3108304121842138"/>
        <n v="-0.27029976250080245"/>
        <n v="0.3005730659025787"/>
        <n v="-0.4980399655798834"/>
        <n v="-0.16704871060171922"/>
        <n v="0.6002583144979012"/>
        <n v="-0.39146143192629623"/>
        <n v="-0.7292203927792105"/>
        <n v="-0.17709381076912767"/>
        <n v="0.5234240687679081"/>
        <n v="-0.23367198838896952"/>
        <n v="0.39983310867193"/>
        <n v="0.3667189058270408"/>
        <n v="0.29954885900748973"/>
        <n v="-0.6865021770682148"/>
        <n v="-0.6423064029500503"/>
        <n v="-0.2654333008763389"/>
        <n v="-0.3578611428915518"/>
        <n v="0.12889699179580671"/>
        <n v="-0.32691926205118027"/>
        <n v="0.1301402999516208"/>
        <n v="-0.08466558626428977"/>
        <n v="0.42217087104435436"/>
        <n v="0.16284370993018937"/>
        <n v="0.3328114650448606"/>
        <n v="-0.7142091152815013"/>
        <n v="-0.559283430423547"/>
        <n v="0.8005408189544168"/>
        <n v="0.2610058412879328"/>
        <n v="-0.19755704470268898"/>
        <n v="0.06223993692786123"/>
        <n v="0.8362772648200187"/>
        <n v="-0.3744145590793524"/>
        <n v="-0.8020065272573431"/>
        <n v="0.7134050525806839"/>
        <n v="0.4346399270738377"/>
        <n v="-0.17684594348222427"/>
        <n v="0.4309018378686422"/>
        <n v="-0.6157855547282204"/>
        <n v="0.25234556781505657"/>
        <n v="0.40455764075067036"/>
        <n v="-0.6195523630151987"/>
        <n v="0.1737098344693282"/>
        <n v="0.0905929256086182"/>
        <n v="0.40147241610096573"/>
        <n v="0.6951888924765901"/>
        <n v="0.4448124284940085"/>
        <n v="0.5161247156429813"/>
        <n v="-0.43373925501432664"/>
        <n v="-0.18518070832829692"/>
        <n v="0.10419436721866293"/>
        <n v="0.04886308659893568"/>
        <n v="0.15004128199354483"/>
        <n v="0.5680134882880712"/>
        <n v="-0.7191041373298465"/>
        <n v="0.39410187667560326"/>
        <n v="-0.5783574687561992"/>
        <n v="-0.18985969771782985"/>
        <n v="-0.6040130545146863"/>
        <n v="0.5978804118745107"/>
        <n v="-0.6666985371450425"/>
        <n v="-0.5570647219690064"/>
        <n v="-0.2203707873602042"/>
        <n v="-0.5695968086622026"/>
        <n v="0.7957982068780944"/>
        <n v="0.5858262888178354"/>
        <n v="0.4012738853503184"/>
        <n v="-0.11872263713623488"/>
        <n v="-0.6602435530085959"/>
        <n v="-0.48338913211434453"/>
        <n v="-0.41386162461612575"/>
        <n v="0.4041856774449515"/>
        <n v="0.07593555427177612"/>
        <n v="0.6366762177650429"/>
        <n v="-0.20273211739097807"/>
        <n v="0.032589016294508166"/>
        <n v="0.015967109666316093"/>
        <n v="0.61217443518727"/>
        <n v="-0.7452142206016408"/>
        <n v="0.27750730282375846"/>
        <n v="-0.465303385853168"/>
        <n v="0.7220918538384176"/>
        <n v="-0.567828418230563"/>
        <n v="0.48087199932140123"/>
        <n v="-0.7197452229299364"/>
        <n v="-0.7246648793565684"/>
        <n v="0.7148400909942458"/>
        <n v="0.009005197630847173"/>
        <n v="0.3836461126005364"/>
        <n v="0.25120643431635403"/>
        <n v="-0.37279460468477155"/>
        <n v="-0.42593336009634686"/>
        <n v="-0.694257064721969"/>
        <n v="0.8462031628437099"/>
        <n v="-0.5897435897435898"/>
        <n v="-0.22980481550078358"/>
        <n v="0.2041591552922999"/>
        <n v="0.6789853206283802"/>
        <n v="-0.667758940019946"/>
        <n v="-0.6314269208549972"/>
        <n v="0.1357841874839043"/>
        <n v="0.8238244893025504"/>
        <n v="0.7480410314859667"/>
        <n v="0.6045959304191539"/>
        <n v="-0.3633748160042821"/>
        <n v="-0.19582561618464167"/>
        <n v="0.515059785076434"/>
        <n v="-0.3298682461017769"/>
        <n v="-0.4778818211172102"/>
        <n v="-0.14867578162348216"/>
        <n v="0.29529287119721515"/>
        <n v="0.8413013291013689"/>
        <n v="-0.7963972736124635"/>
        <n v="0.687481182633829"/>
        <n v="-0.18896848137535827"/>
        <n v="-0.6346704871060171"/>
        <n v="0.45449051130182516"/>
        <n v="-0.01576221571718084"/>
        <n v="1.0078401376804664"/>
        <n v="-0.6754484725662389"/>
        <n v="-0.36853561510170385"/>
        <n v="-0.19109820996613447"/>
        <n v="0.6938337801608581"/>
        <n v="-0.5327710533092969"/>
        <n v="-0.3200489312387329"/>
        <n v="-0.2035816618911176"/>
        <n v="-0.8026124818577649"/>
        <n v="0.3052822763735432"/>
        <n v="-0.09096412895413952"/>
        <n v="-0.4382899312918823"/>
        <n v="-0.7519721774535584"/>
        <n v="0.4699464391985717"/>
        <n v="0.5524744848834968"/>
        <n v="0.5217905479392055"/>
        <n v="-0.27300600061320135"/>
        <n v="0.28501768811549866"/>
        <n v="0.8594514852812982"/>
        <n v="0.6619872379216043"/>
        <n v="-0.4629656160458453"/>
        <n v="0.16354228518110103"/>
        <n v="0.8950580030845572"/>
        <n v="-0.29984130132910136"/>
        <n v="0.343988702740869"/>
        <n v="-0.05172517613054739"/>
        <n v="-0.293987747542385"/>
        <n v="-0.40982714855554214"/>
        <n v="-0.7055136059267701"/>
        <n v="0.8157352562451714"/>
        <n v="-0.33144475920679883"/>
        <n v="-0.33172758475341724"/>
        <n v="-0.5365696626319856"/>
        <n v="-0.3373694566369002"/>
        <n v="-0.3620516258799866"/>
        <n v="-0.4774521611133413"/>
        <n v="-0.4022120149885169"/>
        <n v="-0.41640512342013747"/>
        <n v="0.18542709305284588"/>
        <n v="0.7400580200652724"/>
        <n v="0.5501738909152598"/>
        <n v="-0.5590332507693463"/>
        <n v="-0.12143202709240442"/>
        <n v="0.6083487676307167"/>
        <n v="-0.7626735550532774"/>
        <n v="-0.1352201257861635"/>
        <n v="-0.6005298970313724"/>
        <n v="-0.6873549121808068"/>
        <n v="-0.8021860122041172"/>
        <n v="-0.010103037602034015"/>
        <n v="0.4373456975973986"/>
        <n v="-0.7563157258551916"/>
        <n v="-0.1258887876025524"/>
        <n v="-0.23377462060058118"/>
        <n v="0.7755405673477487"/>
        <n v="0.8164556962025316"/>
        <n v="-0.2295034079844207"/>
        <n v="-0.6564325402478985"/>
        <n v="-0.7755252241402382"/>
        <n v="-0.6463187624366133"/>
        <n v="0.7294669795507878"/>
        <n v="-0.06236169784751555"/>
        <n v="0.42122687439143136"/>
        <n v="0.014079785450888282"/>
        <n v="-0.5504021447721179"/>
        <n v="0.6615710609959136"/>
        <n v="-0.35117012002950443"/>
        <n v="-0.031876790830945634"/>
        <n v="0.4573301040034192"/>
        <n v="0.08484078664973072"/>
        <n v="-0.26685893629654767"/>
        <n v="-0.055495978552278724"/>
        <n v="0.559920405674305"/>
        <n v="-0.22898938713070083"/>
        <n v="-0.23643800710789242"/>
        <n v="-0.030711459800174312"/>
        <n v="-0.16072282244956493"/>
        <n v="-0.5532447525515116"/>
        <n v="-0.06553694075357863"/>
        <n v="0.7145621673923561"/>
        <n v="-0.22082639624640532"/>
        <n v="-0.043222266827244726"/>
        <n v="-0.2442390397329739"/>
        <n v="0.007935749115594248"/>
        <n v="-0.26809651474530827"/>
        <n v="0.11376264425131777"/>
        <n v="-0.7123700972175662"/>
        <n v="-0.40816618911174785"/>
        <n v="0.10983446932814012"/>
        <n v="0.5820594805308572"/>
        <n v="0.5725250815907166"/>
        <n v="0.02692691266562175"/>
        <n v="0.7468209197820059"/>
        <n v="0.1987527660430497"/>
        <n v="0.5647637628297564"/>
        <n v="-0.676102445599846"/>
        <n v="-0.8156218571907475"/>
        <n v="-0.5326508764886926"/>
        <n v="0.29862267292265776"/>
        <n v="0.0512647301658784"/>
        <n v="0.7332396627860296"/>
        <n v="0.15917302288237645"/>
        <n v="-0.015420717398592076"/>
        <n v="0.7516392345778133"/>
        <n v="-0.6162408636759874"/>
        <n v="-0.5978383247016439"/>
        <n v="-0.45905258932155757"/>
        <n v="-0.3031404669090272"/>
        <n v="0.4424794895168642"/>
        <n v="0.42708682534361375"/>
        <n v="-0.38617428507093"/>
        <n v="0.6118024889602569"/>
        <n v="0.22960077896786757"/>
        <n v="-0.7373746581586145"/>
        <n v="0.5783260178598457"/>
        <n v="-0.08430452550325407"/>
        <n v="0.19206901770849094"/>
        <n v="0.6986812789787438"/>
        <n v="0.6158283145304944"/>
        <n v="0.7110291652698626"/>
        <n v="0.02224912971091264"/>
        <n v="-0.5547303626388331"/>
        <n v="0.06415527297064738"/>
        <n v="0.6450080583594875"/>
        <n v="-0.22550143266475653"/>
        <n v="0.2390211196781764"/>
        <n v="0.575229801644896"/>
        <n v="0.5945815191098209"/>
        <n v="-0.03287803698779168"/>
        <n v="0.2348137535816619"/>
        <n v="0.011825046302892162"/>
        <n v="-0.2574542152262751"/>
        <n v="0.2619948539427879"/>
        <n v="-0.17756557476127166"/>
        <n v="0.7666330865927904"/>
        <n v="-0.6451061404758514"/>
        <n v="0.6449220523686998"/>
        <n v="0.04762673555053265"/>
        <n v="-0.5507071195455095"/>
        <n v="0.298760507194757"/>
        <n v="0.1849324233908738"/>
        <n v="0.20701190954101434"/>
        <n v="0.3447505584512285"/>
        <n v="0.04841617306206536"/>
        <n v="-0.3542364151429307"/>
        <n v="-0.6446932814021422"/>
        <n v="-0.4897860510093074"/>
        <n v="0.45179355229302254"/>
        <n v="0.25809696238181457"/>
        <n v="-0.32517599731813607"/>
        <n v="0.6725477208406092"/>
        <n v="-0.7791611265562675"/>
        <n v="-0.3494597953915288"/>
        <n v="0.6341620923474329"/>
        <n v="-0.7524300733981353"/>
        <n v="-0.27624576681180457"/>
        <n v="0.6841690544412606"/>
        <n v="0.2699658016495674"/>
        <n v="-0.10023466309084816"/>
        <n v="0.5197707736389683"/>
        <n v="0.0804559168622192"/>
        <n v="-0.7698424068767908"/>
        <n v="-0.11498491451558834"/>
        <n v="0.5757061667656289"/>
        <n v="-0.25371691043152433"/>
        <n v="0.5380920213165201"/>
        <n v="0.6544602734487046"/>
        <n v="0.10995641971169956"/>
        <n v="-0.4123779072313959"/>
        <n v="-0.4800536372779082"/>
        <n v="0.6914756446991404"/>
        <n v="0.7091128545564274"/>
        <n v="-0.16039930946483527"/>
        <n v="-0.47702044790652387"/>
        <n v="-0.11804922515952598"/>
        <n v="0.050939512066926484"/>
        <n v="-0.4118194842406877"/>
        <n v="0.05632669483001407"/>
        <n v="-0.5904743565055524"/>
        <n v="0.20036054596961117"/>
        <n v="-0.24080520659906157"/>
        <n v="-0.5984319724639067"/>
        <n v="0.28495403967102084"/>
        <n v="-0.740506329113924"/>
        <n v="0.6578947368421053"/>
        <n v="0.17273252455228172"/>
        <n v="0.3219160442956477"/>
        <n v="-0.7186962750716333"/>
        <n v="-0.7547106551331053"/>
        <n v="-0.5551477881372744"/>
        <n v="-0.4426180289724537"/>
        <n v="0.19784503525907748"/>
        <n v="-0.3214884344619511"/>
        <n v="0.8554826278075509"/>
        <n v="0.8142233683792899"/>
        <n v="-0.018124887095803066"/>
        <n v="0.2755348724767315"/>
        <n v="0.12706760539485962"/>
        <n v="0.5561834032935098"/>
        <n v="-0.4051606621226874"/>
        <n v="-0.659591350922436"/>
        <n v="-0.7024221453287197"/>
        <n v="0.3017338437288899"/>
        <n v="-0.5860940289625074"/>
        <n v="-0.0589532615149716"/>
        <n v="0.5679124886052871"/>
        <n v="-0.07639353666698534"/>
        <n v="-0.10902937265804435"/>
        <n v="0.3738784849762147"/>
        <n v="-0.005969574427113544"/>
        <n v="0.3969226385525002"/>
        <n v="-0.7580075742987356"/>
        <n v="0.7140618321698247"/>
        <n v="0.6650904450949484"/>
        <n v="-0.11511139812721993"/>
        <n v="0.43814951391216894"/>
        <n v="0.9225352112676057"/>
        <n v="0.45769193995601887"/>
        <n v="-0.02906169410831183"/>
        <n v="0.8368158005660262"/>
        <n v="0.6951844992164125"/>
        <n v="0.48323782234957013"/>
        <n v="0.5330087633885101"/>
        <n v="0.3554937749304967"/>
        <n v="0.5451474893042108"/>
        <n v="-0.15243553008596"/>
        <n v="0.4094071992506356"/>
        <n v="0.5916173062065413"/>
        <n v="-0.156707142174204"/>
        <n v="-0.15335613223362166"/>
        <n v="-0.5805411824582238"/>
        <n v="0.1321325866505223"/>
        <n v="0.46347925573553317"/>
        <n v="0.4072790294627382"/>
        <n v="-0.3083629318695512"/>
        <n v="-0.7460859092733843"/>
        <n v="0.7600674469351321"/>
        <n v="-0.4827610770765066"/>
        <n v="-0.4261290782162701"/>
        <n v="-0.35271364680285267"/>
        <n v="0.8465883561204184"/>
        <n v="0.49910933921452183"/>
        <n v="-0.15334384147714486"/>
        <n v="0.11133413622373878"/>
        <n v="-0.4540333936833635"/>
        <n v="0.090069804098176"/>
        <n v="0.8009790886014745"/>
        <n v="-0.31792348799728565"/>
        <n v="0.253554040895813"/>
        <n v="-0.5404493889886558"/>
        <n v="-0.3521089746397442"/>
        <n v="0.758079565696836"/>
        <n v="0.27865329512893977"/>
        <n v="-0.39864547710051634"/>
        <n v="0.03753581661891103"/>
        <n v="-0.21650387630852785"/>
        <n v="0.3493670886075948"/>
        <n v="0.34229319579448525"/>
        <n v="-0.7871311078858249"/>
        <n v="-0.4605974761782127"/>
        <n v="0.7289650037230082"/>
        <n v="-0.7978552278820376"/>
        <n v="0.7997097242380262"/>
        <n v="-0.43252845185765043"/>
        <n v="-0.4302957151478576"/>
        <n v="-0.7005842259006816"/>
        <n v="-0.4310595065312046"/>
        <n v="0.4496605794052968"/>
        <n v="-0.5027813061188735"/>
        <n v="0.28813727435032743"/>
        <n v="0.6616374974854153"/>
        <n v="-0.4155781325592647"/>
        <n v="-0.45457250545526673"/>
        <n v="0.34117883725608533"/>
        <n v="-0.31406084455880123"/>
        <n v="-0.6035760079783445"/>
        <n v="0.31004951157500327"/>
        <n v="-0.12460768513020615"/>
        <n v="0.16454727985467055"/>
        <n v="0.6168451801363193"/>
        <n v="0.12181110029211295"/>
        <n v="-0.18860528714676394"/>
        <n v="0.5090555014605647"/>
        <n v="0.6381025739777906"/>
        <n v="0.13967828418230566"/>
        <n v="0.5496796808896409"/>
        <n v="0.14212199182685037"/>
        <n v="-0.19648046496609628"/>
        <n v="-0.568136594133128"/>
        <n v="0.6865010591180434"/>
        <n v="0.4278375438172366"/>
        <n v="0.3663323782234955"/>
        <n v="-0.6747298976957644"/>
        <n v="0.612193946826683"/>
        <n v="0.6815286624203822"/>
        <n v="-0.04402515723270439"/>
        <n v="0.8001072889425334"/>
        <n v="0.4152175757061667"/>
        <n v="0.6816273813367775"/>
        <n v="0.15633546034639934"/>
        <n v="-0.17567223683094413"/>
        <n v="0.55171676877048"/>
        <n v="0.13380929438044764"/>
        <n v="0.6633212899772514"/>
        <n v="0.39555873925501417"/>
        <n v="-0.47389132738005146"/>
        <n v="0.14501091053362436"/>
        <n v="0.16968033580884723"/>
        <n v="-0.42842775729131743"/>
        <n v="0.13004248609346947"/>
        <n v="0.4358974358974359"/>
        <n v="0.02833866234505722"/>
        <n v="-0.4579282601407979"/>
        <n v="0.6074498567335243"/>
        <n v="-0.11020966271649957"/>
        <n v="0.5632254390959659"/>
        <n v="-0.6835881038938285"/>
        <n v="-0.2682603721322334"/>
        <n v="-0.5316692856279464"/>
        <n v="0.1854094142576055"/>
        <n v="-0.333397074290085"/>
        <n v="0.8683369103412026"/>
        <n v="-0.02970508619461465"/>
        <n v="0.658981233243968"/>
        <n v="-0.1338592159932559"/>
        <n v="-0.14562479819179852"/>
        <n v="0.8056357917709736"/>
        <n v="-0.43497875695326527"/>
        <n v="0.6070390700678074"/>
        <n v="-0.49599566447883425"/>
        <n v="-0.28520891098575385"/>
        <n v="-0.5830284357147442"/>
        <n v="0.2583606136465755"/>
        <n v="0.011962750716332238"/>
        <n v="0.6258310165598935"/>
        <n v="-0.42702615434291247"/>
        <n v="-0.1339170744269894"/>
        <n v="0.2621695533272561"/>
        <n v="0.27681098332028653"/>
        <n v="0.19656193664692245"/>
        <n v="-0.13565683646112592"/>
        <n v="0.23277131004951146"/>
        <n v="0.26483405967147156"/>
        <n v="0.16394376067627348"/>
        <n v="-0.3168900804289544"/>
        <n v="-0.03679171433732775"/>
        <n v="0.8252375217449484"/>
        <n v="-0.31514368743945753"/>
        <n v="-0.3924339106654512"/>
        <n v="-0.7265001287664177"/>
        <n v="-0.2869271993737581"/>
        <n v="0.41896080218778486"/>
        <n v="0.3899271935750206"/>
        <n v="0.7407260464193612"/>
        <n v="0.2166790766939688"/>
        <n v="0.21375524701323867"/>
        <n v="0.799179580674567"/>
        <n v="0.6549114575450281"/>
        <n v="-0.397310674083483"/>
        <n v="0.5418841161514787"/>
        <n v="0.567263610315186"/>
        <n v="-0.7281664054708648"/>
        <n v="-0.7847984043311014"/>
        <n v="-0.5363307908470494"/>
        <n v="-0.7844206426484908"/>
        <n v="-0.433680011397635"/>
        <n v="-0.12233366913407206"/>
        <n v="-0.38282035807684567"/>
        <n v="0.33485254691689015"/>
        <n v="0.4054854493947979"/>
        <n v="-0.34284058717486476"/>
        <n v="-0.601366058695489"/>
        <n v="0.3935694427656229"/>
        <n v="-0.6327166504381694"/>
        <n v="0.06717516392345768"/>
        <n v="0.7063641540011387"/>
        <n v="-0.6128121188779768"/>
        <n v="-0.7871981694466189"/>
        <n v="0.23080210856247318"/>
        <n v="-0.34292768109833205"/>
        <n v="0.7872593095258291"/>
        <n v="-0.30485449394797837"/>
        <n v="0.1498851686208147"/>
        <n v="0.6345487693710119"/>
        <n v="0.5300268096514746"/>
        <n v="-0.5471469653397911"/>
        <n v="0.04081895441668815"/>
        <n v="-0.31062855204003736"/>
        <n v="-0.6907926187972082"/>
        <n v="-0.18969970939618985"/>
        <n v="0.7274536234674882"/>
        <n v="-0.5120643431635388"/>
        <n v="0.39656675383893236"/>
        <n v="-0.6986553370417414"/>
        <n v="-0.6581251609580221"/>
        <n v="-0.3656322431109966"/>
        <n v="0.8500241896468312"/>
        <n v="0.1775688900334793"/>
        <n v="-0.7552292263610315"/>
        <n v="0.03715379419049758"/>
        <n v="0.5382569805391029"/>
        <n v="-0.6207063376874697"/>
        <n v="-0.4752101438951418"/>
        <n v="-0.06774449513985314"/>
        <n v="-0.308653103270667"/>
        <n v="0.02667549828385618"/>
        <n v="-0.26914618988431016"/>
        <n v="-0.25142474019443517"/>
        <n v="-0.5863849316378238"/>
        <n v="0.33068835548502284"/>
        <n v="0.6423284131225089"/>
        <n v="-0.7050641295839104"/>
        <n v="0.24749096748293864"/>
        <n v="0.20437384242769618"/>
        <n v="0.3974567358256047"/>
        <n v="-0.7720834406386814"/>
        <n v="-0.539054642976869"/>
        <n v="0.707774798927614"/>
        <n v="0.18967867575462516"/>
        <n v="0.6464141627024746"/>
        <n v="-0.5015087507543754"/>
        <n v="0.5530800264948514"/>
        <n v="0.44078567302137484"/>
        <n v="-0.4312119486662871"/>
        <n v="-0.7976047102903787"/>
        <n v="-0.14284502502332685"/>
        <n v="0.7646832274215287"/>
        <n v="0.8529061694108313"/>
        <n v="0.7589674824002681"/>
        <n v="0.08577939835916126"/>
        <n v="-0.5271840297836832"/>
        <n v="-0.404284864114263"/>
        <n v="-0.6931232091690545"/>
        <n v="0.6735063367531684"/>
        <n v="0.7703998948797688"/>
        <n v="-0.7844555873925502"/>
        <n v="0.15710455764075082"/>
        <n v="-0.6683930045785484"/>
        <n v="0.39100762745885187"/>
        <n v="0.05793573515092487"/>
        <n v="0.589339591015756"/>
        <n v="0.4086490110626886"/>
        <n v="0.11171461141286132"/>
        <n v="-0.41595259799453055"/>
        <n v="-0.021455336637253852"/>
        <n v="-0.27410322385348873"/>
        <n v="-0.22388331814038287"/>
        <n v="-0.5568646543330088"/>
        <n v="0.15264333581533873"/>
        <n v="0.4852562451712594"/>
        <n v="-0.11101103355100206"/>
        <n v="0.574599342855227"/>
        <n v="-0.6266634551695068"/>
        <n v="0.051017113335485975"/>
        <n v="0.06774251821521049"/>
        <n v="-0.33070985318601487"/>
        <n v="-0.025929619603932252"/>
        <n v="-0.33359008922267164"/>
        <n v="-0.5781297043415428"/>
        <n v="-0.7220476248035779"/>
        <n v="0.59541591552923"/>
        <n v="0.9623147589351573"/>
        <n v="-0.24394575395544082"/>
        <n v="-0.6578098025970127"/>
        <n v="0.6257163323782233"/>
        <n v="-0.1925250683682771"/>
        <n v="-0.0017958039507687262"/>
        <n v="0.07390457643622206"/>
        <n v="0.37310300290603804"/>
        <n v="-0.280300859598854"/>
        <n v="-0.6846948659993543"/>
        <n v="-0.26686840072109197"/>
        <n v="-0.4065580366123517"/>
        <n v="-0.21183367581288537"/>
        <n v="0.12470667113643974"/>
        <n v="-0.42024539877300615"/>
        <n v="0.8436263662576275"/>
        <n v="-0.7744920539126936"/>
        <n v="0.5080479011073913"/>
        <n v="0.007238605898123307"/>
        <n v="-0.23300506740606175"/>
        <n v="-0.08905883061359676"/>
        <n v="0.49256617913695133"/>
        <n v="0.8179684880992288"/>
        <n v="0.31134695496925224"/>
        <n v="0.1652698625544753"/>
        <n v="0.12358345068061416"/>
        <n v="-0.3015821762996448"/>
        <n v="-0.1414872929658687"/>
        <n v="-0.7287898033375673"/>
        <n v="-0.5482627807551033"/>
        <n v="-0.44612083417152815"/>
        <n v="0.07600305369412164"/>
        <n v="0.2270266419717908"/>
        <n v="-0.4527248218756018"/>
        <n v="0.5953704822917925"/>
        <n v="0.4594004749983951"/>
        <n v="0.04987483150394745"/>
        <n v="4.986465308447485E-4"/>
        <n v="-0.44409524960715585"/>
        <n v="-0.7726526891522334"/>
        <n v="0.3975863224941334"/>
        <n v="-0.24113121527283088"/>
        <n v="0.2694143927116639"/>
        <n v="-0.25793876746528843"/>
        <n v="0.646095221409487"/>
        <n v="-0.207002578853402"/>
        <n v="0.5849856213107312"/>
        <n v="-0.13164268414304037"/>
        <n v="-0.22742625534789462"/>
        <n v="0.2920152424335334"/>
        <n v="-0.4511952790991751"/>
        <n v="0.5970223678586692"/>
        <n v="0.7427005929595436"/>
        <n v="0.005199306759098743"/>
        <n v="0.7170487106017192"/>
        <n v="0.04957971220971635"/>
        <n v="-0.020174012811932318"/>
        <n v="-0.4638837441230945"/>
        <n v="-0.467231723929166"/>
        <n v="0.7770819533931475"/>
        <n v="0.2459438578418749"/>
        <n v="0.2849531804972554"/>
        <n v="-0.7446772414963101"/>
        <n v="-0.05069422021310954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"/>
        <n v="0.5381465647016317"/>
        <n v="0.026696105981533602"/>
        <n v="0.8258282086887523"/>
        <n v="-0.7911846256812315"/>
        <n v="-0.42512171372930874"/>
        <n v="-0.039476217985750184"/>
        <n v="-0.355927851595096"/>
        <n v="0.8391424353296102"/>
        <n v="-0.7302987380891064"/>
        <n v="0.10159670357970652"/>
        <n v="-0.4304165321278657"/>
        <n v="0.3034852546916891"/>
        <n v="-0.7769032843953383"/>
        <n v="-0.172747820471424"/>
        <n v="0.16481001987113864"/>
        <n v="-0.20143664316061494"/>
        <n v="-0.21004197610590902"/>
        <n v="0.5230267134050524"/>
        <n v="-0.36717620778765714"/>
        <n v="-0.38198857436292455"/>
        <n v="-0.7319418720615473"/>
        <n v="0.35232452142206006"/>
        <n v="0.033982473222979426"/>
        <n v="0.4883758475944462"/>
        <n v="-0.0947410678442393"/>
        <n v="-0.5517640999227401"/>
        <n v="-0.5768937144795996"/>
        <n v="0.12156160458452714"/>
        <n v="-0.6707383773928897"/>
        <n v="-0.29443938012762083"/>
        <n v="0.3412372119705518"/>
        <n v="-0.07423053711526861"/>
        <n v="0.5028146813780678"/>
        <n v="0.8608032937672463"/>
        <n v="0.6372537169104313"/>
        <n v="0.7933639550344493"/>
        <n v="0.24956183057448866"/>
        <n v="0.29457270639429467"/>
        <n v="-0.4425123735272217"/>
        <n v="0.5326344576116682"/>
        <n v="-0.3182077000569401"/>
        <n v="0.017643566036135372"/>
        <n v="-0.23747540487361884"/>
        <n v="-0.6346195961631116"/>
        <n v="0.8385269121813033"/>
        <n v="-0.2087440488164689"/>
        <n v="-0.5731299344306169"/>
        <n v="-0.2186074191628644"/>
        <n v="0.21289398280802274"/>
        <n v="0.4816482774149966"/>
        <n v="-0.49300195097124444"/>
        <n v="-0.5914835863940962"/>
        <n v="0.32108925465007365"/>
        <n v="0.28056743976581844"/>
        <n v="-0.6570304222794006"/>
        <n v="0.58646818212298"/>
        <n v="-0.47641364811002584"/>
        <n v="0.747215029806708"/>
        <n v="-0.6043720244082345"/>
        <n v="0.15477723409734745"/>
        <n v="-0.6557230708192818"/>
        <n v="0.04141576341496056"/>
        <n v="0.05470632035390466"/>
        <n v="0.7476731536322976"/>
        <n v="-0.13923290550176393"/>
        <n v="0.13846246827027664"/>
        <n v="-0.72746432227374"/>
        <n v="0.5380372492836676"/>
        <n v="0.14878159527773582"/>
        <n v="-0.8116595856510884"/>
        <n v="0.7605647517039922"/>
        <n v="-0.31683381088825224"/>
        <n v="-0.37993044363389605"/>
        <n v="-0.5705838552844816"/>
        <n v="0.7756608933454876"/>
      </sharedItems>
    </cacheField>
    <cacheField name="Поставщик товара" numFmtId="0">
      <sharedItems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">
      <sharedItems containsSemiMixedTypes="0" containsString="0" containsNumber="1">
        <n v="240.5"/>
        <n v="238.16666666666666"/>
        <n v="232.44444444444446"/>
        <n v="236.27586206896552"/>
        <n v="159.2"/>
        <n v="281.96875"/>
        <n v="260.6470588235294"/>
        <n v="276.2105263157895"/>
        <n v="291.45454545454544"/>
        <n v="257.7826086956522"/>
        <n v="311.2"/>
        <n v="240.26666666666668"/>
        <n v="212.8125"/>
        <n v="320.84615384615387"/>
        <n v="260.1578947368421"/>
        <n v="316.5833333333333"/>
        <n v="276.6756756756757"/>
        <n v="311.3333333333333"/>
        <n v="253.6875"/>
        <n v="329.27272727272725"/>
        <n v="269.70588235294116"/>
        <n v="238.72222222222223"/>
        <n v="280.23809523809524"/>
        <n v="318.8181818181818"/>
        <n v="281.73333333333335"/>
        <n v="303.8235294117647"/>
        <n v="216.4"/>
        <n v="288.23809523809524"/>
        <n v="242.8181818181818"/>
        <n v="235.55555555555554"/>
        <n v="317.85714285714283"/>
        <n v="323.0769230769231"/>
        <n v="254.1818181818182"/>
        <n v="248.5"/>
        <n v="250.30769230769232"/>
        <n v="250.25925925925927"/>
        <n v="249.5"/>
        <n v="272.3529411764706"/>
        <n v="264.0"/>
        <n v="222.2"/>
        <n v="273.5833333333333"/>
        <n v="274.77777777777777"/>
        <n v="312.6666666666667"/>
        <n v="287.1"/>
        <n v="320.57142857142856"/>
        <n v="293.4117647058824"/>
        <n v="321.6363636363636"/>
        <n v="271.0"/>
        <n v="281.75"/>
        <n v="272.25"/>
        <n v="280.6666666666667"/>
        <n v="331.1666666666667"/>
        <n v="243.3"/>
        <n v="322.54545454545456"/>
        <n v="292.6666666666667"/>
        <n v="293.6666666666667"/>
        <n v="247.66666666666666"/>
        <n v="316.6"/>
        <n v="241.83333333333334"/>
        <n v="256.9"/>
        <n v="289.8888888888889"/>
        <n v="274.2857142857143"/>
        <n v="168.0"/>
        <n v="266.27272727272725"/>
        <n v="236.91666666666666"/>
        <n v="258.3076923076923"/>
        <n v="273.625"/>
        <n v="251.91666666666666"/>
        <n v="215.85714285714286"/>
        <n v="273.7"/>
        <n v="181.57142857142858"/>
        <n v="268.0"/>
        <n v="82.0"/>
        <n v="252.0909090909091"/>
        <n v="320.25"/>
        <n v="193.5"/>
        <n v="208.0"/>
        <n v="369.2"/>
        <n v="140.0"/>
        <n v="187.0"/>
      </sharedItems>
    </cacheField>
    <cacheField name="Дата регистрации клиента" numFmtId="165">
      <sharedItems containsSemiMixedTypes="0" containsDate="1" containsString="0">
        <d v="2022-07-05T00:00:00Z"/>
        <d v="2022-07-08T00:00:00Z"/>
        <d v="2022-10-08T00:00:00Z"/>
        <d v="2022-03-23T00:00:00Z"/>
        <d v="2022-01-16T00:00:00Z"/>
        <d v="2022-01-21T00:00:00Z"/>
        <d v="2022-06-26T00:00:00Z"/>
        <d v="2022-02-27T00:00:00Z"/>
        <d v="2022-05-03T00:00:00Z"/>
        <d v="2022-05-18T00:00:00Z"/>
        <d v="2022-04-03T00:00:00Z"/>
        <d v="2022-04-05T00:00:00Z"/>
        <d v="2022-10-24T00:00:00Z"/>
        <d v="2022-08-21T00:00:00Z"/>
        <d v="2022-09-16T00:00:00Z"/>
        <d v="2022-04-27T00:00:00Z"/>
        <d v="2022-02-11T00:00:00Z"/>
        <d v="2022-11-28T00:00:00Z"/>
        <d v="2022-11-02T00:00:00Z"/>
        <d v="2022-07-14T00:00:00Z"/>
        <d v="2022-04-24T00:00:00Z"/>
        <d v="2022-06-16T00:00:00Z"/>
        <d v="2022-01-02T00:00:00Z"/>
        <d v="2022-04-02T00:00:00Z"/>
        <d v="2022-05-08T00:00:00Z"/>
        <d v="2022-08-11T00:00:00Z"/>
        <d v="2022-02-17T00:00:00Z"/>
        <d v="2022-04-01T00:00:00Z"/>
        <d v="2022-01-23T00:00:00Z"/>
        <d v="2022-05-12T00:00:00Z"/>
        <d v="2022-03-29T00:00:00Z"/>
        <d v="2022-10-23T00:00:00Z"/>
        <d v="2022-07-19T00:00:00Z"/>
        <d v="2022-09-03T00:00:00Z"/>
        <d v="2022-09-29T00:00:00Z"/>
        <d v="2022-05-26T00:00:00Z"/>
        <d v="2022-11-27T00:00:00Z"/>
        <d v="2022-07-25T00:00:00Z"/>
        <d v="2022-12-29T00:00:00Z"/>
        <d v="2022-12-15T00:00:00Z"/>
        <d v="2022-11-16T00:00:00Z"/>
        <d v="2022-02-16T00:00:00Z"/>
        <d v="2022-09-23T00:00:00Z"/>
        <d v="2022-12-05T00:00:00Z"/>
        <d v="2022-08-02T00:00:00Z"/>
        <d v="2022-07-24T00:00:00Z"/>
        <d v="2022-07-11T00:00:00Z"/>
        <d v="2022-03-01T00:00:00Z"/>
        <d v="2022-10-21T00:00:00Z"/>
        <d v="2022-08-22T00:00:00Z"/>
        <d v="2022-05-13T00:00:00Z"/>
        <d v="2022-10-16T00:00:00Z"/>
        <d v="2022-05-02T00:00:00Z"/>
        <d v="2022-03-02T00:00:00Z"/>
        <d v="2022-10-10T00:00:00Z"/>
        <d v="2022-01-07T00:00:00Z"/>
        <d v="2022-05-29T00:00:00Z"/>
        <d v="2022-11-17T00:00:00Z"/>
        <d v="2022-03-16T00:00:00Z"/>
        <d v="2022-04-10T00:00:00Z"/>
        <d v="2022-09-28T00:00:00Z"/>
        <d v="2022-08-10T00:00:00Z"/>
        <d v="2022-03-25T00:00:00Z"/>
        <d v="2022-07-28T00:00:00Z"/>
        <d v="2022-07-26T00:00:00Z"/>
        <d v="2022-07-09T00:00:00Z"/>
        <d v="2022-12-24T00:00:00Z"/>
        <d v="2022-09-11T00:00:00Z"/>
        <d v="2022-05-09T00:00:00Z"/>
        <d v="2022-10-29T00:00:00Z"/>
        <d v="2022-03-07T00:00:00Z"/>
        <d v="2022-10-07T00:00:00Z"/>
        <d v="2022-07-27T00:00:00Z"/>
        <d v="2022-01-24T00:00:00Z"/>
        <d v="2022-08-23T00:00:00Z"/>
        <d v="2022-07-20T00:00:00Z"/>
        <d v="2022-12-01T00:00:00Z"/>
        <d v="2022-06-02T00:00:00Z"/>
        <d v="2022-02-13T00:00:00Z"/>
        <d v="2022-08-31T00:00:00Z"/>
        <d v="2022-09-18T00:00:00Z"/>
        <d v="2022-01-09T00:00:00Z"/>
        <d v="2022-03-19T00:00:00Z"/>
        <d v="2022-07-01T00:00:00Z"/>
        <d v="2022-02-09T00:00:00Z"/>
        <d v="2022-09-17T00:00:00Z"/>
        <d v="2022-02-07T00:00:00Z"/>
        <d v="2022-12-06T00:00:00Z"/>
        <d v="2022-11-06T00:00:00Z"/>
        <d v="2022-06-08T00:00:00Z"/>
        <d v="2022-06-01T00:00:00Z"/>
        <d v="2022-05-30T00:00:00Z"/>
        <d v="2022-11-24T00:00:00Z"/>
        <d v="2022-03-12T00:00:00Z"/>
        <d v="2022-01-12T00:00:00Z"/>
        <d v="2022-06-22T00:00:00Z"/>
        <d v="2022-12-21T00:00:00Z"/>
        <d v="2022-01-20T00:00:00Z"/>
        <d v="2022-01-15T00:00:00Z"/>
        <d v="2022-10-26T00:00:00Z"/>
        <d v="2022-11-18T00:00:00Z"/>
        <d v="2022-11-04T00:00:00Z"/>
        <d v="2022-04-14T00:00:00Z"/>
        <d v="2022-03-28T00:00:00Z"/>
        <d v="2022-06-05T00:00:00Z"/>
        <d v="2022-04-22T00:00:00Z"/>
        <d v="2022-11-10T00:00:00Z"/>
        <d v="2022-10-22T00:00:00Z"/>
        <d v="2022-08-29T00:00:00Z"/>
        <d v="2022-12-27T00:00:00Z"/>
        <d v="2022-04-21T00:00:00Z"/>
        <d v="2022-05-17T00:00:00Z"/>
        <d v="2022-06-18T00:00:00Z"/>
        <d v="2022-06-25T00:00:00Z"/>
        <d v="2022-12-22T00:00:00Z"/>
        <d v="2022-11-25T00:00:00Z"/>
        <d v="2022-09-27T00:00:00Z"/>
        <d v="2022-07-29T00:00:00Z"/>
        <d v="2022-05-20T00:00:00Z"/>
        <d v="2022-05-22T00:00:00Z"/>
        <d v="2022-02-24T00:00:00Z"/>
        <d v="2022-05-05T00:00:00Z"/>
        <d v="2022-03-03T00:00:00Z"/>
        <d v="2022-02-03T00:00:00Z"/>
        <d v="2022-08-20T00:00:00Z"/>
        <d v="2022-01-04T00:00:00Z"/>
        <d v="2022-02-15T00:00:00Z"/>
        <d v="2022-09-07T00:00:00Z"/>
        <d v="2022-12-19T00:00:00Z"/>
        <d v="2022-08-14T00:00:00Z"/>
        <d v="2022-11-21T00:00:00Z"/>
        <d v="2022-04-20T00:00:00Z"/>
        <d v="2022-01-27T00:00:00Z"/>
        <d v="2022-03-15T00:00:00Z"/>
        <d v="2022-12-10T00:00:00Z"/>
        <d v="2022-03-31T00:00:00Z"/>
        <d v="2022-06-14T00:00:00Z"/>
        <d v="2022-03-05T00:00:00Z"/>
        <d v="2022-11-11T00:00:00Z"/>
        <d v="2022-08-08T00:00:00Z"/>
        <d v="2022-05-25T00:00:00Z"/>
        <d v="2022-07-21T00:00:00Z"/>
        <d v="2022-08-25T00:00:00Z"/>
        <d v="2022-01-26T00:00:00Z"/>
        <d v="2022-07-02T00:00:00Z"/>
        <d v="2022-02-26T00:00:00Z"/>
        <d v="2022-01-19T00:00:00Z"/>
        <d v="2022-04-04T00:00:00Z"/>
        <d v="2022-03-24T00:00:00Z"/>
        <d v="2022-01-11T00:00:00Z"/>
        <d v="2022-01-01T00:00:00Z"/>
        <d v="2022-05-04T00:00:00Z"/>
        <d v="2022-10-25T00:00:00Z"/>
        <d v="2022-06-12T00:00:00Z"/>
        <d v="2022-02-28T00:00:00Z"/>
        <d v="2022-05-11T00:00:00Z"/>
        <d v="2022-04-23T00:00:00Z"/>
        <d v="2022-08-04T00:00:00Z"/>
        <d v="2022-05-10T00:00:00Z"/>
        <d v="2022-03-17T00:00:00Z"/>
        <d v="2022-05-21T00:00:00Z"/>
        <d v="2022-07-16T00:00:00Z"/>
        <d v="2022-05-23T00:00:00Z"/>
        <d v="2022-04-15T00:00:00Z"/>
        <d v="2022-09-22T00:00:00Z"/>
        <d v="2022-11-01T00:00:00Z"/>
        <d v="2022-03-08T00:00:00Z"/>
        <d v="2022-10-14T00:00:00Z"/>
        <d v="2022-07-10T00:00:00Z"/>
        <d v="2022-03-11T00:00:00Z"/>
        <d v="2022-07-30T00:00:00Z"/>
        <d v="2022-06-20T00:00:00Z"/>
        <d v="2022-04-07T00:00:00Z"/>
        <d v="2022-07-22T00:00:00Z"/>
        <d v="2022-05-24T00:00:00Z"/>
        <d v="2022-01-14T00:00:00Z"/>
        <d v="2022-09-01T00:00:00Z"/>
        <d v="2022-09-21T00:00:00Z"/>
        <d v="2022-04-18T00:00:00Z"/>
        <d v="2022-11-30T00:00:00Z"/>
        <d v="2022-04-11T00:00:00Z"/>
        <d v="2022-08-06T00:00:00Z"/>
        <d v="2022-12-11T00:00:00Z"/>
        <d v="2022-09-15T00:00:00Z"/>
        <d v="2022-01-17T00:00:00Z"/>
        <d v="2022-03-10T00:00:00Z"/>
        <d v="2022-11-03T00:00:00Z"/>
        <d v="2022-12-07T00:00:00Z"/>
        <d v="2022-04-16T00:00:00Z"/>
        <d v="2022-12-25T00:00:00Z"/>
        <d v="2022-12-23T00:00:00Z"/>
        <d v="2022-12-18T00:00:00Z"/>
        <d v="2022-08-18T00:00:00Z"/>
        <d v="2022-12-04T00:00:00Z"/>
        <d v="2022-10-28T00:00:00Z"/>
        <d v="2022-12-28T00:00:00Z"/>
        <d v="2022-06-06T00:00:00Z"/>
        <d v="2022-05-19T00:00:00Z"/>
        <d v="2022-02-20T00:00:00Z"/>
        <d v="2022-06-15T00:00:00Z"/>
        <d v="2022-11-07T00:00:00Z"/>
        <d v="2022-06-11T00:00:00Z"/>
        <d v="2022-08-09T00:00:00Z"/>
        <d v="2022-12-17T00:00:00Z"/>
        <d v="2022-06-30T00:00:00Z"/>
        <d v="2022-08-26T00:00:00Z"/>
        <d v="2022-11-12T00:00:00Z"/>
        <d v="2022-02-10T00:00:00Z"/>
        <d v="2022-06-19T00:00:00Z"/>
        <d v="2022-06-21T00:00:00Z"/>
        <d v="2022-11-14T00:00:00Z"/>
        <d v="2022-01-25T00:00:00Z"/>
        <d v="2022-02-01T00:00:00Z"/>
        <d v="2022-08-13T00:00:00Z"/>
        <d v="2022-05-07T00:00:00Z"/>
        <d v="2022-09-20T00:00:00Z"/>
        <d v="2022-10-13T00:00:00Z"/>
        <d v="2022-04-17T00:00:00Z"/>
        <d v="2022-01-08T00:00:00Z"/>
        <d v="2022-05-14T00:00:00Z"/>
        <d v="2022-06-03T00:00:00Z"/>
        <d v="2022-12-03T00:00:00Z"/>
        <d v="2022-01-10T00:00:00Z"/>
        <d v="2022-10-09T00:00:00Z"/>
        <d v="2022-06-09T00:00:00Z"/>
        <d v="2022-02-02T00:00:00Z"/>
        <d v="2022-08-12T00:00:00Z"/>
        <d v="2022-04-30T00:00:00Z"/>
        <d v="2022-06-04T00:00:00Z"/>
        <d v="2022-01-30T00:00:00Z"/>
        <d v="2022-06-27T00:00:00Z"/>
        <d v="2022-02-08T00:00:00Z"/>
        <d v="2022-07-04T00:00:00Z"/>
        <d v="2022-09-09T00:00:00Z"/>
        <d v="2022-10-01T00:00:00Z"/>
        <d v="2022-11-05T00:00:00Z"/>
        <d v="2022-08-28T00:00:00Z"/>
        <d v="2022-12-14T00:00:00Z"/>
        <d v="2022-06-17T00:00:00Z"/>
        <d v="2022-05-27T00:00:00Z"/>
        <d v="2022-08-05T00:00:00Z"/>
        <d v="2022-12-12T00:00:00Z"/>
        <d v="2022-02-25T00:00:00Z"/>
        <d v="2022-04-25T00:00:00Z"/>
        <d v="2022-06-24T00:00:00Z"/>
        <d v="2022-11-09T00:00:00Z"/>
        <d v="2022-05-06T00:00:00Z"/>
        <d v="2022-04-28T00:00:00Z"/>
        <d v="2022-01-03T00:00:00Z"/>
        <d v="2022-07-23T00:00:00Z"/>
        <d v="2022-06-23T00:00:00Z"/>
        <d v="2022-04-08T00:00:00Z"/>
        <d v="2022-09-30T00:00:00Z"/>
      </sharedItems>
    </cacheField>
    <cacheField name="Кол-во дней с момента регистрации" numFmtId="0">
      <sharedItems containsSemiMixedTypes="0" containsString="0" containsNumber="1" containsInteger="1">
        <n v="440.0"/>
        <n v="333.0"/>
        <n v="521.0"/>
        <n v="619.0"/>
        <n v="574.0"/>
        <n v="699.0"/>
        <n v="611.0"/>
        <n v="708.0"/>
        <n v="692.0"/>
        <n v="482.0"/>
        <n v="738.0"/>
        <n v="408.0"/>
        <n v="339.0"/>
        <n v="152.0"/>
        <n v="302.0"/>
        <n v="613.0"/>
        <n v="223.0"/>
        <n v="191.0"/>
        <n v="402.0"/>
        <n v="569.0"/>
        <n v="395.0"/>
        <n v="464.0"/>
        <n v="313.0"/>
        <n v="637.0"/>
        <n v="390.0"/>
        <n v="490.0"/>
        <n v="716.0"/>
        <n v="456.0"/>
        <n v="721.0"/>
        <n v="476.0"/>
        <n v="495.0"/>
        <n v="236.0"/>
        <n v="460.0"/>
        <n v="548.0"/>
        <n v="264.0"/>
        <n v="55.0"/>
        <n v="362.0"/>
        <n v="207.0"/>
        <n v="503.0"/>
        <n v="496.0"/>
        <n v="581.0"/>
        <n v="560.0"/>
        <n v="269.0"/>
        <n v="163.0"/>
        <n v="433.0"/>
        <n v="237.0"/>
        <n v="632.0"/>
        <n v="486.0"/>
        <n v="459.0"/>
        <n v="453.0"/>
        <n v="592.0"/>
        <n v="667.0"/>
        <n v="439.0"/>
        <n v="706.0"/>
        <n v="364.0"/>
        <n v="740.0"/>
        <n v="154.0"/>
        <n v="623.0"/>
        <n v="159.0"/>
        <n v="423.0"/>
        <n v="712.0"/>
        <n v="404.0"/>
        <n v="91.0"/>
        <n v="353.0"/>
        <n v="626.0"/>
        <n v="143.0"/>
        <n v="263.0"/>
        <n v="290.0"/>
        <n v="661.0"/>
        <n v="101.0"/>
        <n v="590.0"/>
        <n v="162.0"/>
        <n v="734.0"/>
        <n v="358.0"/>
        <n v="659.0"/>
        <n v="245.0"/>
        <n v="131.0"/>
        <n v="468.0"/>
        <n v="420.0"/>
        <n v="396.0"/>
        <n v="303.0"/>
        <n v="578.0"/>
        <n v="76.0"/>
        <n v="374.0"/>
        <n v="516.0"/>
        <n v="300.0"/>
        <n v="385.0"/>
        <n v="547.0"/>
        <n v="655.0"/>
        <n v="598.0"/>
        <n v="422.0"/>
        <n v="537.0"/>
        <n v="473.0"/>
        <n v="301.0"/>
        <n v="175.0"/>
        <n v="363.0"/>
        <n v="747.0"/>
        <n v="605.0"/>
        <n v="278.0"/>
        <n v="352.0"/>
        <n v="601.0"/>
        <n v="463.0"/>
        <n v="648.0"/>
        <n v="412.0"/>
        <n v="684.0"/>
        <n v="193.0"/>
        <n v="182.0"/>
        <n v="393.0"/>
        <n v="678.0"/>
        <n v="258.0"/>
        <n v="58.0"/>
        <n v="370.0"/>
        <n v="618.0"/>
        <n v="630.0"/>
        <n v="533.0"/>
        <n v="78.0"/>
        <n v="671.0"/>
        <n v="494.0"/>
        <n v="750.0"/>
        <n v="136.0"/>
        <n v="665.0"/>
        <n v="606.0"/>
        <n v="628.0"/>
        <n v="436.0"/>
        <n v="295.0"/>
        <n v="111.0"/>
        <n v="733.0"/>
        <n v="858.0"/>
        <n v="419.0"/>
        <n v="210.0"/>
        <n v="306.0"/>
        <n v="243.0"/>
        <n v="545.0"/>
        <n v="499.0"/>
        <n v="594.0"/>
        <n v="773.0"/>
        <n v="371.0"/>
        <n v="288.0"/>
        <n v="616.0"/>
        <n v="766.0"/>
        <n v="478.0"/>
        <n v="273.0"/>
        <n v="317.0"/>
        <n v="415.0"/>
        <n v="553.0"/>
        <n v="585.0"/>
        <n v="250.0"/>
        <n v="249.0"/>
        <n v="518.0"/>
        <n v="69.0"/>
        <n v="504.0"/>
        <n v="392.0"/>
        <n v="221.0"/>
        <n v="272.0"/>
        <n v="682.0"/>
        <n v="304.0"/>
        <n v="424.0"/>
        <n v="399.0"/>
        <n v="539.0"/>
        <n v="538.0"/>
        <n v="582.0"/>
        <n v="472.0"/>
        <n v="432.0"/>
        <n v="355.0"/>
        <n v="500.0"/>
        <n v="639.0"/>
        <n v="461.0"/>
        <n v="546.0"/>
        <n v="377.0"/>
        <n v="673.0"/>
        <n v="489.0"/>
        <n v="176.0"/>
        <n v="493.0"/>
        <n v="627.0"/>
        <n v="510.0"/>
        <n v="770.0"/>
        <n v="186.0"/>
        <n v="197.0"/>
        <n v="342.0"/>
        <n v="535.0"/>
        <n v="471.0"/>
        <n v="376.0"/>
        <n v="282.0"/>
        <n v="120.0"/>
        <n v="220.0"/>
        <n v="274.0"/>
        <n v="178.0"/>
        <n v="335.0"/>
        <n v="321.0"/>
        <n v="681.0"/>
        <n v="685.0"/>
        <n v="414.0"/>
        <n v="132.0"/>
        <n v="636.0"/>
        <n v="485.0"/>
        <n v="310.0"/>
        <n v="446.0"/>
        <n v="865.0"/>
        <n v="776.0"/>
        <n v="583.0"/>
        <n v="564.0"/>
        <n v="841.0"/>
        <n v="351.0"/>
        <n v="653.0"/>
        <n v="828.0"/>
        <n v="455.0"/>
        <n v="291.0"/>
        <n v="125.0"/>
        <n v="130.0"/>
        <n v="691.0"/>
        <n v="576.0"/>
        <n v="180.0"/>
        <n v="323.0"/>
        <n v="170.0"/>
        <n v="557.0"/>
        <n v="217.0"/>
        <n v="599.0"/>
        <n v="542.0"/>
        <n v="488.0"/>
        <n v="593.0"/>
        <n v="726.0"/>
        <n v="389.0"/>
        <n v="688.0"/>
        <n v="257.0"/>
        <n v="327.0"/>
        <n v="534.0"/>
        <n v="444.0"/>
        <n v="541.0"/>
        <n v="279.0"/>
        <n v="475.0"/>
        <n v="430.0"/>
        <n v="768.0"/>
        <n v="848.0"/>
        <n v="443.0"/>
        <n v="122.0"/>
        <n v="438.0"/>
        <n v="138.0"/>
        <n v="309.0"/>
        <n v="328.0"/>
        <n v="242.0"/>
        <n v="189.0"/>
        <n v="746.0"/>
        <n v="338.0"/>
        <n v="668.0"/>
        <n v="119.0"/>
        <n v="474.0"/>
        <n v="380.0"/>
        <n v="219.0"/>
        <n v="350.0"/>
        <n v="675.0"/>
        <n v="722.0"/>
        <n v="638.0"/>
        <n v="406.0"/>
        <n v="108.0"/>
        <n v="334.0"/>
        <n v="484.0"/>
        <n v="462.0"/>
        <n v="660.0"/>
        <n v="381.0"/>
        <n v="307.0"/>
        <n v="336.0"/>
        <n v="517.0"/>
        <n v="501.0"/>
        <n v="360.0"/>
        <n v="617.0"/>
        <n v="416.0"/>
        <n v="651.0"/>
        <n v="664.0"/>
        <n v="261.0"/>
        <n v="562.0"/>
        <n v="213.0"/>
        <n v="477.0"/>
        <n v="271.0"/>
        <n v="551.0"/>
        <n v="359.0"/>
        <n v="525.0"/>
        <n v="75.0"/>
        <n v="259.0"/>
        <n v="466.0"/>
        <n v="709.0"/>
        <n v="372.0"/>
        <n v="394.0"/>
        <n v="294.0"/>
        <n v="693.0"/>
        <n v="246.0"/>
        <n v="723.0"/>
        <n v="164.0"/>
        <n v="275.0"/>
        <n v="663.0"/>
        <n v="410.0"/>
        <n v="201.0"/>
        <n v="149.0"/>
        <n v="577.0"/>
        <n v="579.0"/>
        <n v="345.0"/>
        <n v="530.0"/>
        <n v="70.0"/>
        <n v="280.0"/>
        <n v="212.0"/>
        <n v="71.0"/>
        <n v="118.0"/>
        <n v="325.0"/>
        <n v="719.0"/>
        <n v="398.0"/>
        <n v="177.0"/>
        <n v="772.0"/>
        <n v="552.0"/>
        <n v="649.0"/>
        <n v="672.0"/>
        <n v="752.0"/>
        <n v="66.0"/>
        <n v="454.0"/>
        <n v="479.0"/>
        <n v="502.0"/>
        <n v="515.0"/>
        <n v="657.0"/>
        <n v="656.0"/>
        <n v="357.0"/>
        <n v="745.0"/>
        <n v="531.0"/>
        <n v="483.0"/>
        <n v="427.0"/>
        <n v="491.0"/>
        <n v="96.0"/>
        <n v="187.0"/>
        <n v="411.0"/>
        <n v="603.0"/>
        <n v="505.0"/>
        <n v="266.0"/>
        <n v="253.0"/>
        <n v="379.0"/>
        <n v="735.0"/>
        <n v="513.0"/>
        <n v="265.0"/>
        <n v="229.0"/>
        <n v="314.0"/>
        <n v="230.0"/>
        <n v="559.0"/>
        <n v="554.0"/>
        <n v="128.0"/>
        <n v="340.0"/>
        <n v="409.0"/>
        <n v="316.0"/>
        <n v="696.0"/>
        <n v="785.0"/>
        <n v="276.0"/>
        <n v="346.0"/>
        <n v="109.0"/>
        <n v="806.0"/>
        <n v="127.0"/>
        <n v="571.0"/>
        <n v="526.0"/>
        <n v="549.0"/>
        <n v="710.0"/>
        <n v="522.0"/>
        <n v="508.0"/>
        <n v="161.0"/>
        <n v="492.0"/>
        <n v="720.0"/>
        <n v="635.0"/>
        <n v="448.0"/>
        <n v="543.0"/>
        <n v="634.0"/>
        <n v="780.0"/>
        <n v="586.0"/>
        <n v="568.0"/>
        <n v="287.0"/>
        <n v="299.0"/>
        <n v="413.0"/>
        <n v="405.0"/>
        <n v="607.0"/>
        <n v="674.0"/>
        <n v="480.0"/>
        <n v="767.0"/>
        <n v="260.0"/>
        <n v="498.0"/>
        <n v="690.0"/>
        <n v="567.0"/>
        <n v="429.0"/>
        <n v="435.0"/>
        <n v="224.0"/>
        <n v="252.0"/>
        <n v="428.0"/>
        <n v="64.0"/>
        <n v="235.0"/>
        <n v="347.0"/>
        <n v="386.0"/>
        <n v="451.0"/>
        <n v="855.0"/>
        <n v="104.0"/>
        <n v="441.0"/>
        <n v="238.0"/>
        <n v="725.0"/>
        <n v="254.0"/>
        <n v="375.0"/>
        <n v="447.0"/>
        <n v="695.0"/>
        <n v="281.0"/>
        <n v="834.0"/>
        <n v="329.0"/>
        <n v="555.0"/>
        <n v="512.0"/>
        <n v="856.0"/>
        <n v="61.0"/>
        <n v="169.0"/>
        <n v="643.0"/>
        <n v="167.0"/>
        <n v="544.0"/>
        <n v="646.0"/>
        <n v="497.0"/>
        <n v="366.0"/>
        <n v="669.0"/>
        <n v="95.0"/>
        <n v="100.0"/>
        <n v="198.0"/>
        <n v="228.0"/>
        <n v="743.0"/>
        <n v="92.0"/>
        <n v="591.0"/>
        <n v="558.0"/>
        <n v="88.0"/>
        <n v="387.0"/>
        <n v="509.0"/>
        <n v="759.0"/>
        <n v="556.0"/>
        <n v="796.0"/>
        <n v="707.0"/>
        <n v="588.0"/>
        <n v="604.0"/>
        <n v="612.0"/>
        <n v="247.0"/>
        <n v="369.0"/>
        <n v="565.0"/>
        <n v="361.0"/>
        <n v="211.0"/>
        <n v="609.0"/>
        <n v="524.0"/>
        <n v="202.0"/>
        <n v="470.0"/>
        <n v="866.0"/>
        <n v="452.0"/>
        <n v="67.0"/>
        <n v="268.0"/>
        <n v="126.0"/>
        <n v="532.0"/>
        <n v="330.0"/>
        <n v="349.0"/>
        <n v="344.0"/>
        <n v="156.0"/>
        <n v="615.0"/>
        <n v="203.0"/>
        <n v="218.0"/>
        <n v="481.0"/>
        <n v="373.0"/>
        <n v="391.0"/>
        <n v="293.0"/>
        <n v="529.0"/>
        <n v="216.0"/>
        <n v="610.0"/>
        <n v="196.0"/>
        <n v="520.0"/>
        <n v="232.0"/>
        <n v="322.0"/>
        <n v="426.0"/>
        <n v="72.0"/>
        <n v="417.0"/>
        <n v="739.0"/>
        <n v="292.0"/>
        <n v="286.0"/>
        <n v="469.0"/>
        <n v="458.0"/>
        <n v="155.0"/>
        <n v="311.0"/>
        <n v="587.0"/>
        <n v="645.0"/>
        <n v="174.0"/>
        <n v="84.0"/>
        <n v="467.0"/>
        <n v="795.0"/>
        <n v="270.0"/>
        <n v="312.0"/>
        <n v="640.0"/>
        <n v="676.0"/>
        <n v="115.0"/>
        <n v="595.0"/>
        <n v="222.0"/>
        <n v="658.0"/>
        <n v="608.0"/>
        <n v="812.0"/>
        <n v="184.0"/>
        <n v="256.0"/>
        <n v="179.0"/>
        <n v="775.0"/>
        <n v="326.0"/>
        <n v="575.0"/>
        <n v="644.0"/>
        <n v="239.0"/>
        <n v="434.0"/>
        <n v="596.0"/>
        <n v="573.0"/>
        <n v="437.0"/>
        <n v="536.0"/>
        <n v="285.0"/>
        <n v="621.0"/>
        <n v="80.0"/>
        <n v="511.0"/>
        <n v="614.0"/>
        <n v="102.0"/>
        <n v="8.0"/>
        <n v="157.0"/>
        <n v="724.0"/>
        <n v="597.0"/>
        <n v="367.0"/>
        <n v="566.0"/>
        <n v="226.0"/>
        <n v="124.0"/>
        <n v="589.0"/>
        <n v="631.0"/>
        <n v="786.0"/>
        <n v="296.0"/>
        <n v="523.0"/>
        <n v="356.0"/>
        <n v="68.0"/>
        <n v="43.0"/>
        <n v="388.0"/>
        <n v="383.0"/>
        <n v="331.0"/>
        <n v="487.0"/>
        <n v="332.0"/>
        <n v="214.0"/>
        <n v="778.0"/>
        <n v="267.0"/>
        <n v="48.0"/>
        <n v="680.0"/>
        <n v="702.0"/>
      </sharedItems>
    </cacheField>
    <cacheField name="Страна клиента" numFmtId="0">
      <sharedItems>
        <s v="Узбекистан"/>
        <s v="Беларусь"/>
        <s v="Россия"/>
        <s v="Украина"/>
        <s v="Таджикистан"/>
      </sharedItems>
    </cacheField>
    <cacheField name="Текущая дата" numFmtId="165">
      <sharedItems containsSemiMixedTypes="0" containsDate="1" containsString="0">
        <d v="2026-02-25T11:00:58Z"/>
        <d v="2026-02-25T11:00:58Z"/>
        <d v="2026-02-25T11:00:58Z"/>
        <d v="2026-02-25T11:00:58Z"/>
        <d v="2026-02-25T11:00:58Z"/>
        <d v="2026-02-25T11:00:58Z"/>
        <d v="2026-02-25T11:00:58Z"/>
        <d v="2026-02-25T11:00:58Z"/>
      </sharedItems>
    </cacheField>
    <cacheField name="Лайфтайм клиента" numFmtId="1">
      <sharedItems containsSemiMixedTypes="0" containsString="0" containsNumber="1">
        <n v="44.38196705748463"/>
        <n v="44.28196705748463"/>
        <n v="41.215300390817966"/>
        <n v="47.8486337241513"/>
        <n v="50.048633724151294"/>
        <n v="49.88196705748463"/>
        <n v="44.68196705748463"/>
        <n v="48.648633724151296"/>
        <n v="46.48196705748463"/>
        <n v="45.98196705748463"/>
        <n v="47.48196705748463"/>
        <n v="47.41530039081796"/>
        <n v="40.68196705748463"/>
        <n v="42.81530039081796"/>
        <n v="41.94863372415129"/>
        <n v="46.68196705748463"/>
        <n v="49.18196705748463"/>
        <n v="39.51530039081796"/>
        <n v="40.38196705748463"/>
        <n v="44.081967057484626"/>
        <n v="46.78196705748463"/>
        <n v="45.01530039081796"/>
        <n v="50.51530039081796"/>
        <n v="47.51530039081796"/>
        <n v="46.31530039081796"/>
        <n v="43.148633724151296"/>
        <n v="48.98196705748463"/>
        <n v="47.548633724151294"/>
        <n v="49.81530039081796"/>
        <n v="46.18196705748463"/>
        <n v="47.648633724151296"/>
        <n v="40.715300390817966"/>
        <n v="43.91530039081796"/>
        <n v="42.38196705748463"/>
        <n v="41.51530039081796"/>
        <n v="45.715300390817966"/>
        <n v="39.548633724151294"/>
        <n v="43.715300390817966"/>
        <n v="38.48196705748463"/>
        <n v="38.94863372415129"/>
        <n v="39.91530039081796"/>
        <n v="49.01530039081796"/>
        <n v="41.715300390817966"/>
        <n v="39.28196705748463"/>
        <n v="43.44863372415129"/>
        <n v="43.7486337241513"/>
        <n v="44.18196705748463"/>
        <n v="48.581967057484626"/>
        <n v="40.78196705748463"/>
        <n v="42.78196705748463"/>
        <n v="46.148633724151296"/>
        <n v="40.94863372415129"/>
        <n v="46.51530039081796"/>
        <n v="48.548633724151294"/>
        <n v="41.148633724151296"/>
        <n v="50.3486337241513"/>
        <n v="45.615300390817964"/>
        <n v="39.88196705748463"/>
        <n v="48.081967057484626"/>
        <n v="47.2486337241513"/>
        <n v="41.548633724151294"/>
        <n v="43.18196705748463"/>
        <n v="47.78196705748463"/>
        <n v="43.615300390817964"/>
        <n v="43.68196705748463"/>
        <n v="44.2486337241513"/>
        <n v="38.648633724151296"/>
        <n v="42.115300390817964"/>
        <n v="46.28196705748463"/>
        <n v="40.51530039081796"/>
        <n v="48.38196705748463"/>
        <n v="41.2486337241513"/>
        <n v="43.648633724151296"/>
        <n v="49.78196705748463"/>
        <n v="42.7486337241513"/>
        <n v="43.88196705748463"/>
        <n v="39.41530039081796"/>
        <n v="45.48196705748463"/>
        <n v="49.115300390817964"/>
        <n v="42.48196705748463"/>
        <n v="41.88196705748463"/>
        <n v="50.28196705748463"/>
        <n v="47.98196705787026"/>
        <n v="44.51530039120359"/>
        <n v="48.58196705787025"/>
        <n v="49.24863372453692"/>
        <n v="41.94863372453692"/>
        <n v="40.71530039120359"/>
        <n v="41.91530039120359"/>
        <n v="49.315300391203586"/>
        <n v="44.08196705787025"/>
        <n v="46.281967057870254"/>
        <n v="39.24863372453692"/>
        <n v="40.24863372453692"/>
        <n v="45.281967057870254"/>
        <n v="45.51530039120359"/>
        <n v="45.58196705787025"/>
        <n v="39.881967057870256"/>
        <n v="43.881967057870256"/>
        <n v="41.881967057870256"/>
        <n v="50.51530039120359"/>
        <n v="39.64863372453692"/>
        <n v="45.48196705787026"/>
        <n v="50.281967057870254"/>
        <n v="48.21530039120359"/>
        <n v="50.18196705787025"/>
        <n v="44.815300391203586"/>
        <n v="38.74863372453692"/>
        <n v="49.91530039120359"/>
        <n v="50.08196705787025"/>
        <n v="48.64863372453692"/>
        <n v="40.61530039120359"/>
        <n v="43.64863372453692"/>
        <n v="39.848633724536924"/>
        <n v="40.381967057870256"/>
        <n v="41.71530039120359"/>
        <n v="40.315300391203586"/>
        <n v="42.74863372453692"/>
        <n v="42.11530039120359"/>
        <n v="47.11530039120359"/>
        <n v="47.68196705787025"/>
        <n v="41.54863372453692"/>
        <n v="45.381967057870256"/>
        <n v="46.848633724536924"/>
        <n v="40.11530039120359"/>
        <n v="50.348633724536924"/>
        <n v="40.74863372453692"/>
        <n v="45.01530039120359"/>
        <n v="42.54863372453692"/>
        <n v="43.44863372453692"/>
        <n v="38.54863372453692"/>
        <n v="46.881967057870256"/>
        <n v="46.01530039120359"/>
        <n v="46.18196705787025"/>
        <n v="43.74863372453692"/>
        <n v="44.94863372453692"/>
        <n v="44.71530039120359"/>
        <n v="38.71530039120359"/>
        <n v="39.61530039120359"/>
        <n v="48.08196705787025"/>
        <n v="41.58196705787025"/>
        <n v="43.58196705787025"/>
        <n v="45.91530039120359"/>
        <n v="45.848633724536924"/>
        <n v="39.51530039120359"/>
        <n v="48.74863372453692"/>
        <n v="49.815300391203586"/>
        <n v="44.18196705787025"/>
        <n v="46.41530039120359"/>
        <n v="40.68196705787025"/>
        <n v="48.51530039120359"/>
        <n v="49.44863372453692"/>
        <n v="42.848633724536924"/>
        <n v="43.18196705787025"/>
        <n v="46.51530039120359"/>
        <n v="50.44863372453692"/>
        <n v="49.04863372453692"/>
        <n v="42.781967057870254"/>
        <n v="43.61530039120359"/>
        <n v="45.71530039120359"/>
        <n v="40.51530039120359"/>
        <n v="42.24863372453692"/>
        <n v="47.51530039120359"/>
        <n v="38.815300391203586"/>
        <n v="42.815300391203586"/>
        <n v="43.04863372453692"/>
        <n v="49.01530039120359"/>
        <n v="39.74863372453692"/>
        <n v="46.91530039120359"/>
        <n v="49.68196705787025"/>
        <n v="45.61530039120359"/>
        <n v="38.64863372453692"/>
        <n v="44.281967057870254"/>
        <n v="48.11530039120359"/>
        <n v="39.11530039120359"/>
        <n v="47.58196705787025"/>
        <n v="45.08196705787025"/>
        <n v="48.44863372453692"/>
        <n v="47.48196705787026"/>
        <n v="41.21530039120359"/>
        <n v="40.08196705787025"/>
        <n v="48.98196705787026"/>
        <n v="49.881967057870256"/>
        <n v="43.24863372453692"/>
        <n v="45.74863372453692"/>
        <n v="43.848633724536924"/>
        <n v="42.68196705787025"/>
        <n v="49.71530039120359"/>
        <n v="40.781967057870254"/>
        <n v="44.48196705787026"/>
        <n v="49.11530039120359"/>
        <n v="47.64863372492279"/>
        <n v="39.28196705825612"/>
        <n v="48.68196705825612"/>
        <n v="49.94863372492279"/>
        <n v="47.44863372492279"/>
        <n v="49.78196705825612"/>
        <n v="47.81530039158945"/>
        <n v="50.21530039158946"/>
        <n v="40.515300391589456"/>
        <n v="50.54863372492279"/>
        <n v="41.94863372492279"/>
        <n v="49.18196705825612"/>
        <n v="50.34863372492279"/>
        <n v="44.081967058256126"/>
        <n v="40.38196705825612"/>
        <n v="46.44863372492279"/>
        <n v="49.44863372492279"/>
        <n v="39.915300391589454"/>
        <n v="40.71530039158946"/>
        <n v="42.68196705825612"/>
        <n v="38.54863372492279"/>
        <n v="47.78196705825612"/>
        <n v="40.64863372492279"/>
        <n v="45.14863372492279"/>
        <n v="46.915300391589454"/>
        <n v="41.71530039158946"/>
        <n v="40.31530039158945"/>
        <n v="48.61530039158946"/>
        <n v="46.21530039158946"/>
        <n v="45.015300391589456"/>
        <n v="46.81530039158945"/>
        <n v="43.38196705825612"/>
        <n v="48.11530039158946"/>
        <n v="45.515300391589456"/>
        <n v="46.24863372492279"/>
        <n v="49.68196705825612"/>
        <n v="45.481967058256124"/>
        <n v="49.015300391589456"/>
        <n v="47.24863372492279"/>
        <n v="40.081967058256126"/>
        <n v="40.68196705825612"/>
        <n v="46.14863372492279"/>
        <n v="48.04863372492279"/>
        <n v="45.88196705825612"/>
        <n v="39.74863372492279"/>
        <n v="44.015300391589456"/>
        <n v="46.28196705825612"/>
        <n v="42.74863372492279"/>
        <n v="45.81530039158945"/>
        <n v="47.081967058256126"/>
        <n v="41.74863372492279"/>
        <n v="40.415300391589454"/>
        <n v="50.44863372492279"/>
        <n v="48.34863372492279"/>
        <n v="45.74863372492279"/>
        <n v="41.015300391589456"/>
        <n v="42.481967058256124"/>
        <n v="44.21530039158946"/>
        <n v="39.64863372492279"/>
        <n v="40.61530039158946"/>
        <n v="39.61530039158946"/>
        <n v="46.78196705825612"/>
        <n v="48.24863372492279"/>
        <n v="44.28196705825612"/>
        <n v="47.515300391589456"/>
        <n v="43.54863372492279"/>
        <n v="44.88196705825612"/>
        <n v="46.68196705825612"/>
        <n v="47.34863372492279"/>
        <n v="41.915300391589454"/>
        <n v="43.81530039158945"/>
        <n v="46.31530039158945"/>
        <n v="45.78196705825612"/>
        <n v="50.11530039158946"/>
        <n v="42.44863372492279"/>
        <n v="41.78196705825612"/>
        <n v="43.18196705825612"/>
        <n v="46.981967058256124"/>
        <n v="49.31530039158945"/>
        <n v="42.84863372492279"/>
        <n v="39.44863372492279"/>
        <n v="47.21530039158946"/>
        <n v="43.31530039158945"/>
        <n v="39.081967058256126"/>
        <n v="43.74863372492279"/>
        <n v="48.515300391589456"/>
        <n v="41.981967058256124"/>
        <n v="50.28196705825612"/>
        <n v="50.015300391589456"/>
        <n v="44.94863372492279"/>
        <n v="44.515300391589456"/>
        <n v="48.28196705825612"/>
        <n v="40.11530039158946"/>
        <n v="40.34863372492279"/>
        <n v="39.21530039158946"/>
        <n v="47.04863372492279"/>
        <n v="39.88196705825612"/>
        <n v="47.481967058256124"/>
        <n v="38.61530039158946"/>
        <n v="38.68196705825612"/>
        <n v="38.84863372492279"/>
        <n v="42.915300391589454"/>
        <n v="46.515300391589456"/>
        <n v="39.31530039158945"/>
        <n v="45.84863372492279"/>
        <n v="44.94863372530866"/>
        <n v="48.74863372530866"/>
        <n v="49.715300391975326"/>
        <n v="40.548633725308655"/>
        <n v="49.78196705864199"/>
        <n v="48.681967058641995"/>
        <n v="39.648633725308656"/>
        <n v="38.51530039197532"/>
        <n v="47.84863372530866"/>
        <n v="43.548633725308655"/>
        <n v="45.34863372530866"/>
        <n v="41.94863372530866"/>
        <n v="46.681967058641995"/>
        <n v="45.98196705864199"/>
        <n v="45.94863372530866"/>
        <n v="48.34863372530866"/>
        <n v="48.88196705864199"/>
        <n v="47.78196705864199"/>
        <n v="44.08196705864199"/>
        <n v="45.048633725308655"/>
        <n v="42.78196705864199"/>
        <n v="45.91530039197532"/>
        <n v="48.215300391975326"/>
        <n v="45.58196705864199"/>
        <n v="46.81530039197533"/>
        <n v="49.81530039197533"/>
        <n v="39.615300391975325"/>
        <n v="44.48196705864199"/>
        <n v="43.048633725308655"/>
        <n v="49.94863372530866"/>
        <n v="40.215300391975326"/>
        <n v="40.08196705864199"/>
        <n v="48.115300391975325"/>
        <n v="43.615300391975325"/>
        <n v="40.38196705864199"/>
        <n v="42.84863372530866"/>
        <n v="45.181967058641995"/>
        <n v="44.215300391975326"/>
        <n v="41.74863372530866"/>
        <n v="43.215300391975326"/>
        <n v="48.38196705864199"/>
        <n v="44.181967058641995"/>
        <n v="38.88196705864199"/>
        <n v="47.44863372530866"/>
        <n v="44.548633725308655"/>
        <n v="45.74863372530866"/>
        <n v="48.648633725308656"/>
        <n v="45.51530039197532"/>
        <n v="39.115300391975325"/>
        <n v="44.51530039197532"/>
        <n v="40.74863372530866"/>
        <n v="41.715300391975326"/>
        <n v="41.01530039197532"/>
        <n v="46.181967058641995"/>
        <n v="46.91530039197532"/>
        <n v="42.648633725308656"/>
        <n v="39.31530039197533"/>
        <n v="40.41530039197532"/>
        <n v="44.28196705864199"/>
        <n v="41.88196705864199"/>
        <n v="39.91530039197532"/>
        <n v="45.08196705864199"/>
        <n v="50.115300391975325"/>
        <n v="49.88196705864199"/>
        <n v="48.51530039197532"/>
        <n v="43.88196705864199"/>
        <n v="41.215300391975326"/>
        <n v="39.28196705864199"/>
        <n v="49.115300391975325"/>
        <n v="40.048633725308655"/>
        <n v="47.51530039197532"/>
        <n v="46.78196705864199"/>
        <n v="50.34863372530866"/>
        <n v="38.81530039197533"/>
        <n v="50.28196705864199"/>
        <n v="41.91530039197532"/>
        <n v="44.01530039197532"/>
        <n v="48.28196705864199"/>
        <n v="38.74863372530866"/>
        <n v="39.84863372530866"/>
        <n v="39.215300391975326"/>
        <n v="40.615300391975325"/>
        <n v="49.91530039197532"/>
        <n v="45.148633725308656"/>
        <n v="46.51530039197532"/>
        <n v="50.08196705864199"/>
        <n v="43.58196705864199"/>
        <n v="42.81530039197533"/>
        <n v="49.215300391975326"/>
        <n v="44.91530039197532"/>
        <n v="44.84863372530866"/>
        <n v="45.38196705864199"/>
        <n v="43.38196705864199"/>
        <n v="39.98196705864199"/>
        <n v="47.08196705864199"/>
        <n v="49.74863372530866"/>
        <n v="49.51530039197532"/>
        <n v="49.24863372530866"/>
        <n v="43.08196705864199"/>
        <n v="39.548633725308655"/>
        <n v="40.715300391975326"/>
        <n v="46.34863372530866"/>
        <n v="41.98196705864199"/>
        <n v="42.38196705864199"/>
        <n v="45.48196705864199"/>
        <n v="50.51530039197532"/>
        <n v="49.681967058641995"/>
        <n v="41.51530039197532"/>
        <n v="41.81530039197533"/>
        <n v="41.048633725308655"/>
        <n v="39.41530039197532"/>
        <n v="45.81530039197533"/>
        <n v="47.01530039197532"/>
        <n v="49.31530039197533"/>
        <n v="44.54863372569428"/>
        <n v="49.18196705902762"/>
        <n v="38.51530039236095"/>
        <n v="40.31530039236095"/>
        <n v="50.31530039236095"/>
        <n v="42.848633725694285"/>
        <n v="49.74863372569428"/>
        <n v="49.781967059027615"/>
        <n v="47.01530039236095"/>
        <n v="49.91530039236095"/>
        <n v="46.91530039236095"/>
        <n v="45.18196705902762"/>
        <n v="40.51530039236095"/>
        <n v="40.781967059027615"/>
        <n v="39.21530039236095"/>
        <n v="42.54863372569428"/>
        <n v="48.24863372569428"/>
        <n v="46.11530039236095"/>
        <n v="48.51530039236095"/>
        <n v="43.54863372569428"/>
        <n v="43.61530039236095"/>
        <n v="50.281967059027615"/>
        <n v="49.51530039236095"/>
        <n v="46.51530039236095"/>
        <n v="45.448633725694286"/>
        <n v="38.71530039236095"/>
        <n v="44.68196705902762"/>
        <n v="48.98196705902762"/>
        <n v="50.18196705902762"/>
        <n v="39.348633725694285"/>
        <n v="50.24863372569428"/>
        <n v="48.61530039236095"/>
        <n v="43.881967059027616"/>
        <n v="39.848633725694285"/>
        <n v="46.848633725694285"/>
        <n v="40.74863372569428"/>
        <n v="39.281967059027615"/>
        <n v="45.01530039236095"/>
        <n v="41.18196705902762"/>
        <n v="49.71530039236095"/>
        <n v="45.24863372569428"/>
        <n v="39.74863372569428"/>
        <n v="41.24863372569428"/>
        <n v="38.81530039236095"/>
        <n v="39.31530039236095"/>
        <n v="49.48196705902762"/>
        <n v="43.74863372569428"/>
        <n v="41.51530039236095"/>
        <n v="44.281967059027615"/>
        <n v="41.91530039236095"/>
        <n v="44.948633725694286"/>
        <n v="45.14863372569428"/>
        <n v="47.848633725694285"/>
        <n v="50.08196705902762"/>
        <n v="43.11530039236095"/>
        <n v="46.58196705902762"/>
        <n v="47.58196705902762"/>
        <n v="47.21530039236095"/>
        <n v="45.91530039236095"/>
        <n v="44.381967059027616"/>
        <n v="47.51530039236095"/>
        <n v="43.18196705902762"/>
        <n v="40.21530039236095"/>
        <n v="49.01530039236095"/>
        <n v="43.04863372569428"/>
        <n v="42.448633725694286"/>
        <n v="50.448633725694286"/>
        <n v="41.71530039236095"/>
        <n v="40.54863372569428"/>
        <n v="45.41530039236095"/>
        <n v="49.58196705902762"/>
        <n v="50.11530039236095"/>
        <n v="45.781967059027615"/>
        <n v="46.31530039236095"/>
        <n v="49.881967059027616"/>
        <n v="39.51530039236095"/>
        <n v="46.01530039236095"/>
        <n v="42.74863372569428"/>
        <n v="44.64863372569428"/>
        <n v="44.881967059027616"/>
        <n v="50.01530039236095"/>
        <n v="48.281967059027615"/>
        <n v="43.64863372569428"/>
        <n v="47.781967059027615"/>
        <n v="46.281967059027615"/>
        <n v="50.51530039236095"/>
        <n v="45.61530039236095"/>
        <n v="50.348633725694285"/>
        <n v="45.948633725694286"/>
        <n v="39.54863372569428"/>
        <n v="39.64863372569428"/>
        <n v="40.41530039236095"/>
        <n v="49.281967059027615"/>
        <n v="44.41530039236095"/>
        <n v="42.18196705902762"/>
        <n v="41.448633725694286"/>
        <n v="40.281967059027615"/>
        <n v="42.81530039236095"/>
        <n v="42.91530039236095"/>
        <n v="40.71530039236095"/>
        <n v="42.48196705902762"/>
        <n v="45.58196705902762"/>
        <n v="48.381967059027616"/>
        <n v="44.08196705902762"/>
        <n v="42.58196705902762"/>
        <n v="46.48196705902762"/>
        <n v="49.881967059413725"/>
        <n v="40.31530039274706"/>
        <n v="44.81530039274706"/>
        <n v="38.981967059413726"/>
        <n v="50.348633726080394"/>
        <n v="43.18196705941373"/>
        <n v="39.28196705941373"/>
        <n v="46.481967059413726"/>
        <n v="38.68196705941373"/>
        <n v="40.78196705941373"/>
        <n v="44.981967059413726"/>
        <n v="50.28196705941373"/>
        <n v="48.28196705941373"/>
        <n v="43.381967059413725"/>
        <n v="45.58196705941373"/>
        <n v="45.18196705941373"/>
        <n v="45.68196705941373"/>
        <n v="43.08196705941373"/>
        <n v="46.11530039274706"/>
        <n v="41.01530039274706"/>
        <n v="43.048633726080396"/>
        <n v="46.51530039274706"/>
        <n v="46.28196705941373"/>
        <n v="49.18196705941373"/>
        <n v="42.848633726080394"/>
        <n v="43.1486337260804"/>
        <n v="41.548633726080396"/>
        <n v="50.24863372608039"/>
        <n v="46.1486337260804"/>
        <n v="41.18196705941373"/>
        <n v="44.948633726080395"/>
        <n v="48.381967059413725"/>
        <n v="40.74863372608039"/>
        <n v="40.41530039274706"/>
        <n v="47.08196705941373"/>
        <n v="48.68196705941373"/>
        <n v="48.51530039274706"/>
        <n v="43.348633726080394"/>
        <n v="38.881967059413725"/>
        <n v="39.51530039274706"/>
        <n v="39.048633726080396"/>
        <n v="39.74863372608039"/>
        <n v="38.848633726080394"/>
        <n v="45.41530039274706"/>
        <n v="42.81530039274706"/>
        <n v="48.71530039274706"/>
        <n v="48.08196705941373"/>
        <n v="47.848633726080394"/>
        <n v="50.048633726080396"/>
        <n v="45.01530039274706"/>
        <n v="43.881967059413725"/>
        <n v="46.74863372608039"/>
        <n v="44.68196705941373"/>
        <n v="44.548633726080396"/>
        <n v="44.08196705941373"/>
        <n v="42.78196705941373"/>
        <n v="44.74863372608039"/>
        <n v="40.1486337260804"/>
        <n v="44.381967059413725"/>
        <n v="47.21530039274706"/>
        <n v="43.91530039274706"/>
        <n v="47.01530039274706"/>
        <n v="41.1486337260804"/>
        <n v="40.21530039274706"/>
        <n v="42.24863372608039"/>
        <n v="39.848633726080394"/>
        <n v="49.78196705941373"/>
        <n v="40.71530039274706"/>
        <n v="40.24863372608039"/>
        <n v="43.848633726080394"/>
        <n v="41.448633726080395"/>
        <n v="47.6486337260804"/>
        <n v="43.24863372608039"/>
        <n v="45.948633726080395"/>
        <n v="41.881967059413725"/>
        <n v="41.74863372608039"/>
        <n v="40.68196705941373"/>
        <n v="50.51530039274706"/>
        <n v="47.24863372608039"/>
        <n v="43.74863372608039"/>
        <n v="45.1486337260804"/>
        <n v="48.58196705941373"/>
        <n v="46.381967059413725"/>
        <n v="38.74863372608039"/>
        <n v="42.6486337260804"/>
        <n v="46.6486337260804"/>
        <n v="40.381967059413725"/>
        <n v="44.71530039274706"/>
        <n v="43.548633726080396"/>
        <n v="46.981967059413726"/>
        <n v="46.281967059799356"/>
        <n v="45.91530039313269"/>
        <n v="39.081967059799354"/>
        <n v="39.88196705979935"/>
        <n v="49.781967059799356"/>
        <n v="45.24863372646602"/>
        <n v="41.98196705979935"/>
        <n v="49.015300393132684"/>
        <n v="47.44863372646602"/>
        <n v="44.21530039313269"/>
        <n v="43.81530039313269"/>
        <n v="46.34863372646602"/>
        <n v="39.04863372646602"/>
        <n v="46.31530039313269"/>
        <n v="50.015300393132684"/>
        <n v="50.48196705979935"/>
        <n v="38.88196705979935"/>
        <n v="40.148633726466024"/>
        <n v="40.21530039313269"/>
        <n v="44.98196705979935"/>
        <n v="42.581967059799354"/>
        <n v="42.91530039313269"/>
        <n v="48.515300393132684"/>
        <n v="45.581967059799354"/>
        <n v="42.648633726466024"/>
        <n v="47.081967059799354"/>
        <n v="49.24863372646602"/>
        <n v="43.181967059799355"/>
        <n v="44.681967059799355"/>
        <n v="43.91530039313269"/>
        <n v="48.081967059799354"/>
        <n v="39.41530039313269"/>
        <n v="48.74863372646602"/>
        <n v="47.81530039313269"/>
        <n v="44.48196705979935"/>
        <n v="46.81530039313269"/>
        <n v="46.91530039313269"/>
        <n v="45.71530039313269"/>
        <n v="50.515300393132684"/>
        <n v="40.71530039313269"/>
        <n v="45.615300393132685"/>
        <n v="45.38196705979935"/>
        <n v="45.181967059799355"/>
        <n v="40.31530039313269"/>
        <n v="45.94863372646602"/>
        <n v="38.681967059799355"/>
        <n v="41.24863372646602"/>
        <n v="45.84863372646602"/>
        <n v="44.38196705979935"/>
        <n v="41.781967059799356"/>
        <n v="43.34863372646602"/>
        <n v="43.71530039313269"/>
        <n v="43.581967059799354"/>
        <n v="42.181967059799355"/>
        <n v="49.94863372646602"/>
        <n v="40.38196705979935"/>
        <n v="41.44863372646602"/>
        <n v="43.781967059799356"/>
        <n v="39.54863372646602"/>
        <n v="44.081967059799354"/>
        <n v="41.71530039313269"/>
        <n v="40.648633726466024"/>
        <n v="44.781967059799356"/>
        <n v="38.94863372646602"/>
        <n v="41.54863372646602"/>
        <n v="40.94863372646602"/>
        <n v="41.21530039313269"/>
        <n v="40.34863372646602"/>
        <n v="48.648633726466024"/>
        <n v="38.48196705979935"/>
        <n v="47.21530039313269"/>
        <n v="40.781967059799356"/>
        <n v="46.148633726466024"/>
        <n v="42.115300393132685"/>
        <n v="42.681967059799355"/>
        <n v="40.74863372646602"/>
        <n v="49.681967059799355"/>
        <n v="41.04863372646602"/>
        <n v="42.44863372646602"/>
        <n v="50.081967059799354"/>
        <n v="41.91530039313269"/>
        <n v="45.41530039313269"/>
        <n v="48.34863372646602"/>
        <n v="49.81530039313269"/>
        <n v="46.88196705979935"/>
        <n v="47.98196705979935"/>
        <n v="42.81530039313269"/>
        <n v="46.74863372646602"/>
        <n v="40.41530039313269"/>
        <n v="41.88196705979935"/>
        <n v="41.74863372646602"/>
        <n v="48.581967059799354"/>
        <n v="45.74863372646602"/>
        <n v="46.38196705979935"/>
        <n v="47.31530039313269"/>
        <n v="42.84863372646602"/>
        <n v="39.281967059799356"/>
        <n v="39.115300393132685"/>
        <n v="45.48196705979935"/>
        <n v="50.44863372646602"/>
        <n v="49.181967059799355"/>
        <n v="44.91530039313269"/>
        <n v="45.81530039313269"/>
        <n v="42.74863372646602"/>
        <n v="43.04863372646602"/>
        <n v="46.581967059799354"/>
        <n v="39.648633726466024"/>
        <n v="38.84863372685189"/>
        <n v="49.91530039351856"/>
        <n v="40.61530039351855"/>
        <n v="46.248633726851885"/>
        <n v="46.68196706018522"/>
        <n v="42.68196706018522"/>
        <n v="42.54863372685189"/>
        <n v="47.48196706018522"/>
        <n v="40.11530039351855"/>
        <n v="43.18196706018522"/>
        <n v="39.84863372685189"/>
        <n v="50.51530039351856"/>
        <n v="45.18196706018522"/>
        <n v="42.18196706018522"/>
        <n v="39.54863372685189"/>
        <n v="47.215300393518554"/>
        <n v="41.48196706018522"/>
        <n v="41.91530039351856"/>
        <n v="40.04863372685189"/>
        <n v="49.315300393518555"/>
        <n v="49.48196706018522"/>
        <n v="49.04863372685189"/>
        <n v="43.64863372685189"/>
        <n v="43.34863372685189"/>
        <n v="44.08196706018522"/>
        <n v="45.08196706018522"/>
        <n v="41.748633726851885"/>
        <n v="39.44863372685189"/>
        <n v="48.34863372685189"/>
        <n v="39.748633726851885"/>
        <n v="50.34863372685189"/>
        <n v="44.71530039351855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продажи"/>
  </cacheSource>
  <cacheFields>
    <cacheField name="id чека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id товара" numFmtId="0">
      <sharedItems containsSemiMixedTypes="0" containsString="0" containsNumber="1" containsInteger="1">
        <n v="300.0"/>
        <n v="486.0"/>
        <n v="76.0"/>
        <n v="240.0"/>
        <n v="32.0"/>
        <n v="162.0"/>
        <n v="323.0"/>
        <n v="60.0"/>
        <n v="401.0"/>
        <n v="100.0"/>
        <n v="217.0"/>
        <n v="445.0"/>
        <n v="284.0"/>
        <n v="116.0"/>
        <n v="378.0"/>
        <n v="299.0"/>
        <n v="359.0"/>
        <n v="337.0"/>
        <n v="226.0"/>
        <n v="310.0"/>
        <n v="137.0"/>
        <n v="385.0"/>
        <n v="451.0"/>
        <n v="7.0"/>
        <n v="495.0"/>
        <n v="415.0"/>
        <n v="176.0"/>
        <n v="181.0"/>
        <n v="399.0"/>
        <n v="382.0"/>
        <n v="103.0"/>
        <n v="104.0"/>
        <n v="213.0"/>
        <n v="157.0"/>
        <n v="237.0"/>
        <n v="8.0"/>
        <n v="65.0"/>
        <n v="45.0"/>
        <n v="36.0"/>
        <n v="443.0"/>
        <n v="384.0"/>
        <n v="41.0"/>
        <n v="484.0"/>
        <n v="390.0"/>
        <n v="57.0"/>
        <n v="285.0"/>
        <n v="444.0"/>
        <n v="35.0"/>
        <n v="296.0"/>
        <n v="227.0"/>
        <n v="167.0"/>
        <n v="146.0"/>
        <n v="338.0"/>
        <n v="155.0"/>
        <n v="239.0"/>
        <n v="158.0"/>
        <n v="147.0"/>
        <n v="311.0"/>
        <n v="465.0"/>
        <n v="449.0"/>
        <n v="144.0"/>
        <n v="375.0"/>
        <n v="408.0"/>
        <n v="425.0"/>
        <n v="277.0"/>
        <n v="130.0"/>
        <n v="30.0"/>
        <n v="75.0"/>
        <n v="118.0"/>
        <n v="19.0"/>
        <n v="204.0"/>
        <n v="304.0"/>
        <n v="189.0"/>
        <n v="392.0"/>
        <n v="10.0"/>
        <n v="64.0"/>
        <n v="334.0"/>
        <n v="345.0"/>
        <n v="281.0"/>
        <n v="276.0"/>
        <n v="234.0"/>
        <n v="319.0"/>
        <n v="24.0"/>
        <n v="357.0"/>
        <n v="265.0"/>
        <n v="102.0"/>
        <n v="212.0"/>
        <n v="215.0"/>
        <n v="364.0"/>
        <n v="499.0"/>
        <n v="202.0"/>
        <n v="244.0"/>
        <n v="363.0"/>
        <n v="434.0"/>
        <n v="305.0"/>
        <n v="37.0"/>
        <n v="242.0"/>
        <n v="332.0"/>
        <n v="452.0"/>
        <n v="132.0"/>
        <n v="457.0"/>
        <n v="250.0"/>
        <n v="195.0"/>
        <n v="186.0"/>
        <n v="490.0"/>
        <n v="72.0"/>
        <n v="430.0"/>
        <n v="223.0"/>
        <n v="164.0"/>
        <n v="393.0"/>
        <n v="166.0"/>
        <n v="249.0"/>
        <n v="83.0"/>
        <n v="236.0"/>
        <n v="379.0"/>
        <n v="431.0"/>
        <n v="463.0"/>
        <n v="494.0"/>
        <n v="394.0"/>
        <n v="380.0"/>
        <n v="309.0"/>
        <n v="112.0"/>
        <n v="81.0"/>
        <n v="4.0"/>
        <n v="209.0"/>
        <n v="156.0"/>
        <n v="441.0"/>
        <n v="180.0"/>
        <n v="438.0"/>
        <n v="232.0"/>
        <n v="206.0"/>
        <n v="295.0"/>
        <n v="221.0"/>
        <n v="333.0"/>
        <n v="498.0"/>
        <n v="476.0"/>
        <n v="126.0"/>
        <n v="255.0"/>
        <n v="138.0"/>
        <n v="403.0"/>
        <n v="280.0"/>
        <n v="356.0"/>
        <n v="282.0"/>
        <n v="459.0"/>
        <n v="402.0"/>
        <n v="320.0"/>
        <n v="447.0"/>
        <n v="406.0"/>
        <n v="391.0"/>
        <n v="82.0"/>
        <n v="243.0"/>
        <n v="432.0"/>
        <n v="159.0"/>
        <n v="197.0"/>
        <n v="110.0"/>
        <n v="288.0"/>
        <n v="493.0"/>
        <n v="446.0"/>
        <n v="428.0"/>
        <n v="192.0"/>
        <n v="69.0"/>
        <n v="270.0"/>
        <n v="348.0"/>
        <n v="321.0"/>
        <n v="341.0"/>
        <n v="473.0"/>
        <n v="482.0"/>
        <n v="169.0"/>
        <n v="397.0"/>
        <n v="436.0"/>
        <n v="369.0"/>
        <n v="361.0"/>
        <n v="87.0"/>
        <n v="376.0"/>
        <n v="111.0"/>
        <n v="344.0"/>
        <n v="462.0"/>
        <n v="279.0"/>
        <n v="322.0"/>
        <n v="317.0"/>
        <n v="25.0"/>
        <n v="410.0"/>
        <n v="207.0"/>
        <n v="131.0"/>
        <n v="96.0"/>
        <n v="268.0"/>
        <n v="358.0"/>
        <n v="160.0"/>
        <n v="23.0"/>
        <n v="49.0"/>
        <n v="485.0"/>
        <n v="40.0"/>
        <n v="275.0"/>
        <n v="205.0"/>
        <n v="219.0"/>
        <n v="435.0"/>
        <n v="26.0"/>
        <n v="273.0"/>
        <n v="340.0"/>
        <n v="34.0"/>
        <n v="117.0"/>
        <n v="201.0"/>
        <n v="377.0"/>
        <n v="251.0"/>
        <n v="409.0"/>
        <n v="422.0"/>
        <n v="222.0"/>
        <n v="497.0"/>
        <n v="351.0"/>
        <n v="464.0"/>
        <n v="241.0"/>
        <n v="258.0"/>
        <n v="216.0"/>
        <n v="272.0"/>
        <n v="225.0"/>
        <n v="467.0"/>
        <n v="139.0"/>
        <n v="404.0"/>
        <n v="328.0"/>
        <n v="424.0"/>
        <n v="86.0"/>
        <n v="17.0"/>
        <n v="43.0"/>
        <n v="5.0"/>
        <n v="298.0"/>
        <n v="421.0"/>
        <n v="483.0"/>
        <n v="414.0"/>
        <n v="389.0"/>
        <n v="367.0"/>
        <n v="128.0"/>
        <n v="368.0"/>
        <n v="74.0"/>
        <n v="149.0"/>
        <n v="229.0"/>
        <n v="28.0"/>
        <n v="260.0"/>
        <n v="140.0"/>
        <n v="67.0"/>
        <n v="448.0"/>
        <n v="331.0"/>
        <n v="325.0"/>
        <n v="346.0"/>
        <n v="115.0"/>
        <n v="360.0"/>
        <n v="230.0"/>
        <n v="353.0"/>
        <n v="188.0"/>
        <n v="405.0"/>
        <n v="99.0"/>
        <n v="196.0"/>
        <n v="271.0"/>
        <n v="210.0"/>
        <n v="178.0"/>
        <n v="423.0"/>
        <n v="70.0"/>
        <n v="335.0"/>
        <n v="427.0"/>
        <n v="303.0"/>
        <n v="398.0"/>
        <n v="290.0"/>
        <n v="386.0"/>
        <n v="350.0"/>
        <n v="329.0"/>
        <n v="233.0"/>
        <n v="293.0"/>
        <n v="286.0"/>
        <n v="11.0"/>
        <n v="142.0"/>
        <n v="466.0"/>
        <n v="71.0"/>
        <n v="480.0"/>
        <n v="129.0"/>
        <n v="283.0"/>
        <n v="313.0"/>
        <n v="18.0"/>
        <n v="145.0"/>
        <n v="491.0"/>
        <n v="29.0"/>
        <n v="50.0"/>
        <n v="336.0"/>
        <n v="440.0"/>
        <n v="51.0"/>
        <n v="371.0"/>
        <n v="14.0"/>
        <n v="312.0"/>
        <n v="477.0"/>
        <n v="91.0"/>
        <n v="52.0"/>
        <n v="383.0"/>
        <n v="252.0"/>
        <n v="365.0"/>
        <n v="420.0"/>
        <n v="97.0"/>
        <n v="47.0"/>
        <n v="187.0"/>
        <n v="429.0"/>
        <n v="93.0"/>
        <n v="198.0"/>
        <n v="362.0"/>
        <n v="461.0"/>
        <n v="84.0"/>
        <n v="172.0"/>
        <n v="171.0"/>
        <n v="194.0"/>
        <n v="235.0"/>
        <n v="458.0"/>
        <n v="193.0"/>
        <n v="450.0"/>
        <n v="163.0"/>
        <n v="12.0"/>
        <n v="61.0"/>
        <n v="15.0"/>
        <n v="90.0"/>
        <n v="396.0"/>
        <n v="481.0"/>
        <n v="246.0"/>
        <n v="174.0"/>
        <n v="479.0"/>
        <n v="224.0"/>
        <n v="42.0"/>
        <n v="267.0"/>
        <n v="161.0"/>
        <n v="315.0"/>
        <n v="121.0"/>
        <n v="433.0"/>
        <n v="453.0"/>
        <n v="248.0"/>
        <n v="492.0"/>
        <n v="122.0"/>
        <n v="62.0"/>
        <n v="119.0"/>
        <n v="388.0"/>
        <n v="66.0"/>
        <n v="125.0"/>
        <n v="274.0"/>
        <n v="471.0"/>
        <n v="395.0"/>
        <n v="474.0"/>
        <n v="63.0"/>
        <n v="89.0"/>
        <n v="27.0"/>
        <n v="127.0"/>
        <n v="426.0"/>
        <n v="355.0"/>
        <n v="113.0"/>
        <n v="291.0"/>
        <n v="182.0"/>
        <n v="105.0"/>
        <n v="199.0"/>
        <n v="211.0"/>
        <n v="22.0"/>
        <n v="150.0"/>
        <n v="191.0"/>
        <n v="245.0"/>
        <n v="154.0"/>
        <n v="266.0"/>
        <n v="143.0"/>
        <n v="475.0"/>
        <n v="292.0"/>
        <n v="307.0"/>
        <n v="39.0"/>
        <n v="316.0"/>
        <n v="228.0"/>
        <n v="269.0"/>
        <n v="151.0"/>
        <n v="101.0"/>
        <n v="411.0"/>
        <n v="381.0"/>
        <n v="400.0"/>
        <n v="55.0"/>
        <n v="372.0"/>
        <n v="80.0"/>
        <n v="413.0"/>
        <n v="46.0"/>
        <n v="1.0"/>
        <n v="478.0"/>
        <n v="456.0"/>
        <n v="38.0"/>
        <n v="134.0"/>
        <n v="77.0"/>
        <n v="455.0"/>
        <n v="218.0"/>
        <n v="263.0"/>
        <n v="254.0"/>
        <n v="370.0"/>
        <n v="301.0"/>
        <n v="259.0"/>
        <n v="468.0"/>
        <n v="200.0"/>
        <n v="354.0"/>
        <n v="460.0"/>
        <n v="184.0"/>
        <n v="308.0"/>
        <n v="407.0"/>
        <n v="148.0"/>
        <n v="152.0"/>
        <n v="326.0"/>
        <n v="352.0"/>
        <n v="44.0"/>
        <n v="183.0"/>
        <n v="88.0"/>
        <n v="347.0"/>
        <n v="342.0"/>
        <n v="59.0"/>
        <n v="16.0"/>
        <n v="220.0"/>
        <n v="439.0"/>
        <n v="437.0"/>
        <n v="73.0"/>
        <n v="208.0"/>
        <n v="6.0"/>
        <n v="318.0"/>
        <n v="327.0"/>
        <n v="416.0"/>
        <n v="374.0"/>
        <n v="289.0"/>
        <n v="173.0"/>
        <n v="114.0"/>
        <n v="170.0"/>
        <n v="9.0"/>
        <n v="302.0"/>
        <n v="48.0"/>
        <n v="3.0"/>
        <n v="168.0"/>
        <n v="13.0"/>
        <n v="141.0"/>
        <n v="120.0"/>
        <n v="418.0"/>
        <n v="294.0"/>
        <n v="175.0"/>
        <n v="469.0"/>
      </sharedItems>
    </cacheField>
    <cacheField name="цена за шт в рублях" numFmtId="0">
      <sharedItems containsSemiMixedTypes="0" containsString="0" containsNumber="1" containsInteger="1">
        <n v="103.0"/>
        <n v="296.0"/>
        <n v="139.0"/>
        <n v="141.0"/>
        <n v="123.0"/>
        <n v="452.0"/>
        <n v="149.0"/>
        <n v="489.0"/>
        <n v="416.0"/>
        <n v="449.0"/>
        <n v="109.0"/>
        <n v="213.0"/>
        <n v="190.0"/>
        <n v="237.0"/>
        <n v="178.0"/>
        <n v="320.0"/>
        <n v="419.0"/>
        <n v="458.0"/>
        <n v="152.0"/>
        <n v="352.0"/>
        <n v="228.0"/>
        <n v="161.0"/>
        <n v="362.0"/>
        <n v="312.0"/>
        <n v="311.0"/>
        <n v="220.0"/>
        <n v="476.0"/>
        <n v="198.0"/>
        <n v="254.0"/>
        <n v="351.0"/>
        <n v="387.0"/>
        <n v="55.0"/>
        <n v="336.0"/>
        <n v="480.0"/>
        <n v="214.0"/>
        <n v="60.0"/>
        <n v="414.0"/>
        <n v="62.0"/>
        <n v="357.0"/>
        <n v="493.0"/>
        <n v="305.0"/>
        <n v="162.0"/>
        <n v="78.0"/>
        <n v="343.0"/>
        <n v="498.0"/>
        <n v="133.0"/>
        <n v="242.0"/>
        <n v="101.0"/>
        <n v="65.0"/>
        <n v="143.0"/>
        <n v="402.0"/>
        <n v="97.0"/>
        <n v="482.0"/>
        <n v="59.0"/>
        <n v="87.0"/>
        <n v="238.0"/>
        <n v="392.0"/>
        <n v="473.0"/>
        <n v="231.0"/>
        <n v="438.0"/>
        <n v="365.0"/>
        <n v="324.0"/>
        <n v="208.0"/>
        <n v="115.0"/>
        <n v="261.0"/>
        <n v="257.0"/>
        <n v="459.0"/>
        <n v="112.0"/>
        <n v="491.0"/>
        <n v="278.0"/>
        <n v="484.0"/>
        <n v="53.0"/>
        <n v="131.0"/>
        <n v="120.0"/>
        <n v="396.0"/>
        <n v="267.0"/>
        <n v="371.0"/>
        <n v="295.0"/>
        <n v="75.0"/>
        <n v="247.0"/>
        <n v="281.0"/>
        <n v="136.0"/>
        <n v="142.0"/>
        <n v="206.0"/>
        <n v="66.0"/>
        <n v="175.0"/>
        <n v="323.0"/>
        <n v="96.0"/>
        <n v="422.0"/>
        <n v="57.0"/>
        <n v="272.0"/>
        <n v="478.0"/>
        <n v="333.0"/>
        <n v="327.0"/>
        <n v="89.0"/>
        <n v="211.0"/>
        <n v="240.0"/>
        <n v="244.0"/>
        <n v="219.0"/>
        <n v="119.0"/>
        <n v="174.0"/>
        <n v="229.0"/>
        <n v="411.0"/>
        <n v="245.0"/>
        <n v="113.0"/>
        <n v="73.0"/>
        <n v="368.0"/>
        <n v="221.0"/>
        <n v="442.0"/>
        <n v="465.0"/>
        <n v="380.0"/>
        <n v="313.0"/>
        <n v="348.0"/>
        <n v="349.0"/>
        <n v="379.0"/>
        <n v="448.0"/>
        <n v="173.0"/>
        <n v="304.0"/>
        <n v="344.0"/>
        <n v="470.0"/>
        <n v="116.0"/>
        <n v="314.0"/>
        <n v="284.0"/>
        <n v="332.0"/>
        <n v="239.0"/>
        <n v="86.0"/>
        <n v="154.0"/>
        <n v="230.0"/>
        <n v="88.0"/>
        <n v="477.0"/>
        <n v="74.0"/>
        <n v="430.0"/>
        <n v="286.0"/>
        <n v="273.0"/>
        <n v="279.0"/>
        <n v="210.0"/>
        <n v="192.0"/>
        <n v="373.0"/>
        <n v="315.0"/>
        <n v="321.0"/>
        <n v="189.0"/>
        <n v="405.0"/>
        <n v="426.0"/>
        <n v="271.0"/>
        <n v="356.0"/>
        <n v="233.0"/>
        <n v="494.0"/>
        <n v="177.0"/>
        <n v="114.0"/>
        <n v="427.0"/>
        <n v="376.0"/>
        <n v="51.0"/>
        <n v="316.0"/>
        <n v="156.0"/>
        <n v="215.0"/>
        <n v="497.0"/>
        <n v="194.0"/>
        <n v="171.0"/>
        <n v="386.0"/>
        <n v="148.0"/>
        <n v="291.0"/>
        <n v="339.0"/>
        <n v="487.0"/>
        <n v="335.0"/>
        <n v="172.0"/>
        <n v="104.0"/>
        <n v="433.0"/>
        <n v="79.0"/>
        <n v="181.0"/>
        <n v="196.0"/>
        <n v="125.0"/>
        <n v="472.0"/>
        <n v="163.0"/>
        <n v="70.0"/>
        <n v="417.0"/>
        <n v="345.0"/>
        <n v="81.0"/>
        <n v="184.0"/>
        <n v="288.0"/>
        <n v="292.0"/>
        <n v="243.0"/>
        <n v="382.0"/>
        <n v="308.0"/>
        <n v="82.0"/>
        <n v="117.0"/>
        <n v="474.0"/>
        <n v="334.0"/>
        <n v="282.0"/>
        <n v="499.0"/>
        <n v="170.0"/>
        <n v="52.0"/>
        <n v="450.0"/>
        <n v="366.0"/>
        <n v="102.0"/>
        <n v="355.0"/>
        <n v="403.0"/>
        <n v="294.0"/>
        <n v="299.0"/>
        <n v="500.0"/>
        <n v="412.0"/>
        <n v="155.0"/>
        <n v="290.0"/>
        <n v="326.0"/>
        <n v="420.0"/>
        <n v="71.0"/>
        <n v="400.0"/>
        <n v="217.0"/>
        <n v="428.0"/>
        <n v="83.0"/>
        <n v="488.0"/>
        <n v="421.0"/>
        <n v="232.0"/>
        <n v="93.0"/>
        <n v="157.0"/>
        <n v="363.0"/>
        <n v="289.0"/>
        <n v="226.0"/>
        <n v="253.0"/>
        <n v="457.0"/>
        <n v="145.0"/>
        <n v="467.0"/>
        <n v="124.0"/>
        <n v="406.0"/>
        <n v="76.0"/>
        <n v="466.0"/>
        <n v="265.0"/>
        <n v="397.0"/>
        <n v="359.0"/>
        <n v="168.0"/>
        <n v="106.0"/>
        <n v="204.0"/>
        <n v="317.0"/>
        <n v="99.0"/>
        <n v="479.0"/>
        <n v="463.0"/>
        <n v="431.0"/>
        <n v="455.0"/>
        <n v="176.0"/>
        <n v="212.0"/>
        <n v="389.0"/>
        <n v="222.0"/>
        <n v="100.0"/>
        <n v="92.0"/>
        <n v="179.0"/>
        <n v="209.0"/>
        <n v="486.0"/>
        <n v="218.0"/>
        <n v="68.0"/>
        <n v="404.0"/>
        <n v="193.0"/>
        <n v="424.0"/>
        <n v="147.0"/>
        <n v="319.0"/>
        <n v="361.0"/>
        <n v="187.0"/>
        <n v="122.0"/>
        <n v="199.0"/>
        <n v="160.0"/>
        <n v="325.0"/>
        <n v="425.0"/>
        <n v="227.0"/>
        <n v="235.0"/>
        <n v="107.0"/>
        <n v="50.0"/>
        <n v="269.0"/>
        <n v="385.0"/>
        <n v="64.0"/>
        <n v="223.0"/>
        <n v="91.0"/>
        <n v="61.0"/>
        <n v="95.0"/>
        <n v="469.0"/>
        <n v="275.0"/>
        <n v="129.0"/>
        <n v="164.0"/>
        <n v="201.0"/>
        <n v="251.0"/>
        <n v="443.0"/>
        <n v="234.0"/>
        <n v="260.0"/>
        <n v="203.0"/>
        <n v="413.0"/>
        <n v="435.0"/>
        <n v="303.0"/>
        <n v="429.0"/>
        <n v="127.0"/>
        <n v="390.0"/>
        <n v="298.0"/>
        <n v="471.0"/>
        <n v="185.0"/>
        <n v="67.0"/>
        <n v="358.0"/>
        <n v="464.0"/>
        <n v="307.0"/>
        <n v="121.0"/>
        <n v="451.0"/>
        <n v="407.0"/>
        <n v="338.0"/>
        <n v="268.0"/>
        <n v="216.0"/>
        <n v="94.0"/>
        <n v="309.0"/>
        <n v="118.0"/>
        <n v="322.0"/>
        <n v="328.0"/>
        <n v="276.0"/>
        <n v="134.0"/>
        <n v="436.0"/>
        <n v="318.0"/>
        <n v="183.0"/>
        <n v="58.0"/>
        <n v="461.0"/>
        <n v="293.0"/>
        <n v="63.0"/>
        <n v="432.0"/>
        <n v="301.0"/>
        <n v="225.0"/>
        <n v="110.0"/>
        <n v="77.0"/>
        <n v="158.0"/>
        <n v="263.0"/>
        <n v="369.0"/>
        <n v="258.0"/>
        <n v="370.0"/>
        <n v="454.0"/>
        <n v="492.0"/>
        <n v="384.0"/>
        <n v="383.0"/>
        <n v="340.0"/>
        <n v="378.0"/>
        <n v="69.0"/>
        <n v="137.0"/>
        <n v="496.0"/>
        <n v="302.0"/>
        <n v="138.0"/>
        <n v="350.0"/>
        <n v="347.0"/>
        <n v="144.0"/>
        <n v="132.0"/>
        <n v="151.0"/>
        <n v="105.0"/>
        <n v="207.0"/>
        <n v="440.0"/>
        <n v="453.0"/>
        <n v="375.0"/>
        <n v="374.0"/>
        <n v="456.0"/>
        <n v="388.0"/>
        <n v="300.0"/>
        <n v="415.0"/>
        <n v="84.0"/>
        <n v="166.0"/>
        <n v="252.0"/>
        <n v="485.0"/>
        <n v="150.0"/>
        <n v="135.0"/>
        <n v="277.0"/>
        <n v="169.0"/>
        <n v="342.0"/>
        <n v="248.0"/>
        <n v="202.0"/>
        <n v="72.0"/>
        <n v="191.0"/>
        <n v="394.0"/>
        <n v="126.0"/>
        <n v="54.0"/>
        <n v="490.0"/>
        <n v="439.0"/>
        <n v="274.0"/>
        <n v="140.0"/>
        <n v="353.0"/>
        <n v="80.0"/>
        <n v="90.0"/>
        <n v="167.0"/>
        <n v="310.0"/>
        <n v="98.0"/>
        <n v="241.0"/>
        <n v="182.0"/>
        <n v="441.0"/>
        <n v="423.0"/>
        <n v="111.0"/>
        <n v="306.0"/>
        <n v="391.0"/>
        <n v="398.0"/>
        <n v="445.0"/>
        <n v="197.0"/>
        <n v="146.0"/>
        <n v="337.0"/>
        <n v="437.0"/>
        <n v="205.0"/>
        <n v="270.0"/>
        <n v="280.0"/>
        <n v="259.0"/>
        <n v="246.0"/>
        <n v="180.0"/>
        <n v="200.0"/>
        <n v="401.0"/>
        <n v="468.0"/>
        <n v="283.0"/>
      </sharedItems>
    </cacheField>
    <cacheField name="кол-во штук в чеке" numFmtId="0">
      <sharedItems containsSemiMixedTypes="0" containsString="0" containsNumber="1" containsInteger="1">
        <n v="4.0"/>
        <n v="3.0"/>
        <n v="5.0"/>
        <n v="2.0"/>
        <n v="1.0"/>
      </sharedItems>
    </cacheField>
    <cacheField name="Сумма чека" numFmtId="0">
      <sharedItems containsSemiMixedTypes="0" containsString="0" containsNumber="1" containsInteger="1">
        <n v="412.0"/>
        <n v="888.0"/>
        <n v="695.0"/>
        <n v="705.0"/>
        <n v="246.0"/>
        <n v="904.0"/>
        <n v="745.0"/>
        <n v="1956.0"/>
        <n v="2080.0"/>
        <n v="898.0"/>
        <n v="592.0"/>
        <n v="545.0"/>
        <n v="639.0"/>
        <n v="760.0"/>
        <n v="237.0"/>
        <n v="534.0"/>
        <n v="1600.0"/>
        <n v="838.0"/>
        <n v="950.0"/>
        <n v="916.0"/>
        <n v="304.0"/>
        <n v="704.0"/>
        <n v="456.0"/>
        <n v="644.0"/>
        <n v="362.0"/>
        <n v="312.0"/>
        <n v="1555.0"/>
        <n v="220.0"/>
        <n v="1904.0"/>
        <n v="190.0"/>
        <n v="990.0"/>
        <n v="762.0"/>
        <n v="351.0"/>
        <n v="387.0"/>
        <n v="110.0"/>
        <n v="336.0"/>
        <n v="1920.0"/>
        <n v="642.0"/>
        <n v="120.0"/>
        <n v="1242.0"/>
        <n v="186.0"/>
        <n v="357.0"/>
        <n v="1479.0"/>
        <n v="610.0"/>
        <n v="648.0"/>
        <n v="78.0"/>
        <n v="1715.0"/>
        <n v="1992.0"/>
        <n v="133.0"/>
        <n v="1244.0"/>
        <n v="484.0"/>
        <n v="303.0"/>
        <n v="65.0"/>
        <n v="429.0"/>
        <n v="2010.0"/>
        <n v="97.0"/>
        <n v="482.0"/>
        <n v="59.0"/>
        <n v="348.0"/>
        <n v="1190.0"/>
        <n v="622.0"/>
        <n v="1176.0"/>
        <n v="2365.0"/>
        <n v="462.0"/>
        <n v="1314.0"/>
        <n v="730.0"/>
        <n v="1040.0"/>
        <n v="345.0"/>
        <n v="261.0"/>
        <n v="514.0"/>
        <n v="918.0"/>
        <n v="448.0"/>
        <n v="1964.0"/>
        <n v="162.0"/>
        <n v="556.0"/>
        <n v="1936.0"/>
        <n v="53.0"/>
        <n v="655.0"/>
        <n v="240.0"/>
        <n v="1584.0"/>
        <n v="1335.0"/>
        <n v="371.0"/>
        <n v="295.0"/>
        <n v="375.0"/>
        <n v="494.0"/>
        <n v="562.0"/>
        <n v="272.0"/>
        <n v="710.0"/>
        <n v="414.0"/>
        <n v="66.0"/>
        <n v="452.0"/>
        <n v="175.0"/>
        <n v="109.0"/>
        <n v="646.0"/>
        <n v="96.0"/>
        <n v="844.0"/>
        <n v="171.0"/>
        <n v="1656.0"/>
        <n v="544.0"/>
        <n v="1676.0"/>
        <n v="1912.0"/>
        <n v="999.0"/>
        <n v="654.0"/>
        <n v="267.0"/>
        <n v="234.0"/>
        <n v="834.0"/>
        <n v="485.0"/>
        <n v="480.0"/>
        <n v="244.0"/>
        <n v="219.0"/>
        <n v="687.0"/>
        <n v="2055.0"/>
        <n v="980.0"/>
        <n v="565.0"/>
        <n v="292.0"/>
        <n v="736.0"/>
        <n v="1105.0"/>
        <n v="2210.0"/>
        <n v="465.0"/>
        <n v="380.0"/>
        <n v="313.0"/>
        <n v="696.0"/>
        <n v="349.0"/>
        <n v="1895.0"/>
        <n v="1792.0"/>
        <n v="346.0"/>
        <n v="912.0"/>
        <n v="1720.0"/>
        <n v="1880.0"/>
        <n v="498.0"/>
        <n v="1053.0"/>
        <n v="116.0"/>
        <n v="1256.0"/>
        <n v="1420.0"/>
        <n v="332.0"/>
        <n v="478.0"/>
        <n v="344.0"/>
        <n v="616.0"/>
        <n v="436.0"/>
        <n v="365.0"/>
        <n v="920.0"/>
        <n v="352.0"/>
        <n v="1908.0"/>
        <n v="148.0"/>
        <n v="2150.0"/>
        <n v="572.0"/>
        <n v="819.0"/>
        <n v="837.0"/>
        <n v="420.0"/>
        <n v="229.0"/>
        <n v="384.0"/>
        <n v="373.0"/>
        <n v="945.0"/>
        <n v="1605.0"/>
        <n v="378.0"/>
        <n v="1215.0"/>
        <n v="852.0"/>
        <n v="271.0"/>
        <n v="426.0"/>
        <n v="712.0"/>
        <n v="466.0"/>
        <n v="2470.0"/>
        <n v="915.0"/>
        <n v="692.0"/>
        <n v="354.0"/>
        <n v="342.0"/>
        <n v="1281.0"/>
        <n v="376.0"/>
        <n v="102.0"/>
        <n v="632.0"/>
        <n v="156.0"/>
        <n v="215.0"/>
        <n v="257.0"/>
        <n v="1491.0"/>
        <n v="230.0"/>
        <n v="368.0"/>
        <n v="582.0"/>
        <n v="684.0"/>
        <n v="1930.0"/>
        <n v="74.0"/>
        <n v="245.0"/>
        <n v="1356.0"/>
        <n v="487.0"/>
        <n v="1675.0"/>
        <n v="428.0"/>
        <n v="1808.0"/>
        <n v="860.0"/>
        <n v="416.0"/>
        <n v="1732.0"/>
        <n v="395.0"/>
        <n v="181.0"/>
        <n v="588.0"/>
        <n v="174.0"/>
        <n v="1068.0"/>
        <n v="625.0"/>
        <n v="2360.0"/>
        <n v="489.0"/>
        <n v="70.0"/>
        <n v="1668.0"/>
        <n v="392.0"/>
        <n v="1448.0"/>
        <n v="1725.0"/>
        <n v="243.0"/>
        <n v="388.0"/>
        <n v="172.0"/>
        <n v="576.0"/>
        <n v="522.0"/>
        <n v="876.0"/>
        <n v="729.0"/>
        <n v="1910.0"/>
        <n v="308.0"/>
        <n v="1428.0"/>
        <n v="82.0"/>
        <n v="585.0"/>
        <n v="2370.0"/>
        <n v="668.0"/>
        <n v="1100.0"/>
        <n v="1410.0"/>
        <n v="2495.0"/>
        <n v="170.0"/>
        <n v="52.0"/>
        <n v="780.0"/>
        <n v="1350.0"/>
        <n v="1464.0"/>
        <n v="210.0"/>
        <n v="1516.0"/>
        <n v="408.0"/>
        <n v="1900.0"/>
        <n v="1775.0"/>
        <n v="1612.0"/>
        <n v="101.0"/>
        <n v="294.0"/>
        <n v="299.0"/>
        <n v="698.0"/>
        <n v="1000.0"/>
        <n v="774.0"/>
        <n v="824.0"/>
        <n v="775.0"/>
        <n v="214.0"/>
        <n v="870.0"/>
        <n v="542.0"/>
        <n v="652.0"/>
        <n v="840.0"/>
        <n v="284.0"/>
        <n v="1200.0"/>
        <n v="218.0"/>
        <n v="217.0"/>
        <n v="104.0"/>
        <n v="1712.0"/>
        <n v="249.0"/>
        <n v="339.0"/>
        <n v="884.0"/>
        <n v="2105.0"/>
        <n v="279.0"/>
        <n v="785.0"/>
        <n v="1452.0"/>
        <n v="1445.0"/>
        <n v="1305.0"/>
        <n v="759.0"/>
        <n v="1371.0"/>
        <n v="325.0"/>
        <n v="960.0"/>
        <n v="580.0"/>
        <n v="2335.0"/>
        <n v="496.0"/>
        <n v="1218.0"/>
        <n v="1325.0"/>
        <n v="794.0"/>
        <n v="718.0"/>
        <n v="672.0"/>
        <n v="624.0"/>
        <n v="1467.0"/>
        <n v="318.0"/>
        <n v="612.0"/>
        <n v="1268.0"/>
        <n v="442.0"/>
        <n v="264.0"/>
        <n v="198.0"/>
        <n v="890.0"/>
        <n v="897.0"/>
        <n v="479.0"/>
        <n v="1389.0"/>
        <n v="1293.0"/>
        <n v="213.0"/>
        <n v="2275.0"/>
        <n v="528.0"/>
        <n v="636.0"/>
        <n v="1945.0"/>
        <n v="255.0"/>
        <n v="666.0"/>
        <n v="100.0"/>
        <n v="382.0"/>
        <n v="1116.0"/>
        <n v="184.0"/>
        <n v="895.0"/>
        <n v="836.0"/>
        <n v="2430.0"/>
        <n v="123.0"/>
        <n v="179.0"/>
        <n v="51.0"/>
        <n v="1960.0"/>
        <n v="1365.0"/>
        <n v="154.0"/>
        <n v="404.0"/>
        <n v="193.0"/>
        <n v="1280.0"/>
        <n v="2350.0"/>
        <n v="1272.0"/>
        <n v="957.0"/>
        <n v="958.0"/>
        <n v="905.0"/>
        <n v="1805.0"/>
        <n v="254.0"/>
        <n v="748.0"/>
        <n v="620.0"/>
        <n v="956.0"/>
        <n v="880.0"/>
        <n v="716.0"/>
        <n v="796.0"/>
        <n v="519.0"/>
        <n v="314.0"/>
        <n v="640.0"/>
        <n v="650.0"/>
        <n v="457.0"/>
        <n v="2125.0"/>
        <n v="500.0"/>
        <n v="681.0"/>
        <n v="2130.0"/>
        <n v="386.0"/>
        <n v="470.0"/>
        <n v="321.0"/>
        <n v="250.0"/>
        <n v="1345.0"/>
        <n v="1540.0"/>
        <n v="320.0"/>
        <n v="446.0"/>
        <n v="1377.0"/>
        <n v="113.0"/>
        <n v="455.0"/>
        <n v="305.0"/>
        <n v="938.0"/>
        <n v="474.0"/>
        <n v="825.0"/>
        <n v="129.0"/>
        <n v="1996.0"/>
        <n v="328.0"/>
        <n v="795.0"/>
        <n v="1544.0"/>
        <n v="1440.0"/>
        <n v="1005.0"/>
        <n v="1084.0"/>
        <n v="627.0"/>
        <n v="251.0"/>
        <n v="1772.0"/>
        <n v="1300.0"/>
        <n v="812.0"/>
        <n v="502.0"/>
        <n v="630.0"/>
        <n v="324.0"/>
        <n v="826.0"/>
        <n v="816.0"/>
        <n v="435.0"/>
        <n v="606.0"/>
        <n v="693.0"/>
        <n v="1716.0"/>
        <n v="50.0"/>
        <n v="127.0"/>
        <n v="1170.0"/>
        <n v="596.0"/>
        <n v="1413.0"/>
        <n v="801.0"/>
        <n v="114.0"/>
        <n v="147.0"/>
        <n v="370.0"/>
        <n v="1752.0"/>
        <n v="201.0"/>
        <n v="948.0"/>
        <n v="1432.0"/>
        <n v="1329.0"/>
        <n v="928.0"/>
        <n v="1535.0"/>
        <n v="605.0"/>
        <n v="530.0"/>
        <n v="902.0"/>
        <n v="1060.0"/>
        <n v="1344.0"/>
        <n v="814.0"/>
        <n v="1236.0"/>
        <n v="508.0"/>
        <n v="1014.0"/>
        <n v="1340.0"/>
        <n v="379.0"/>
        <n v="1876.0"/>
        <n v="282.0"/>
        <n v="1976.0"/>
        <n v="1545.0"/>
        <n v="118.0"/>
        <n v="966.0"/>
        <n v="1312.0"/>
        <n v="552.0"/>
        <n v="340.0"/>
        <n v="89.0"/>
        <n v="134.0"/>
        <n v="1590.0"/>
        <n v="183.0"/>
        <n v="896.0"/>
        <n v="232.0"/>
        <n v="486.0"/>
        <n v="964.0"/>
        <n v="256.0"/>
        <n v="1383.0"/>
        <n v="732.0"/>
        <n v="832.0"/>
        <n v="879.0"/>
        <n v="63.0"/>
        <n v="2160.0"/>
        <n v="1972.0"/>
        <n v="872.0"/>
        <n v="2060.0"/>
        <n v="1204.0"/>
        <n v="564.0"/>
        <n v="926.0"/>
        <n v="1296.0"/>
        <n v="476.0"/>
        <n v="225.0"/>
        <n v="322.0"/>
        <n v="440.0"/>
        <n v="316.0"/>
        <n v="664.0"/>
        <n v="130.0"/>
        <n v="2445.0"/>
        <n v="77.0"/>
        <n v="310.0"/>
        <n v="858.0"/>
        <n v="460.0"/>
        <n v="790.0"/>
        <n v="994.0"/>
        <n v="1052.0"/>
        <n v="670.0"/>
        <n v="927.0"/>
        <n v="2295.0"/>
        <n v="88.0"/>
        <n v="158.0"/>
        <n v="738.0"/>
        <n v="107.0"/>
        <n v="1032.0"/>
        <n v="935.0"/>
        <n v="468.0"/>
        <n v="1104.0"/>
        <n v="1850.0"/>
        <n v="142.0"/>
        <n v="1416.0"/>
        <n v="260.0"/>
        <n v="2270.0"/>
        <n v="1950.0"/>
        <n v="1988.0"/>
        <n v="984.0"/>
        <n v="449.0"/>
        <n v="768.0"/>
        <n v="1424.0"/>
        <n v="438.0"/>
        <n v="1160.0"/>
        <n v="766.0"/>
        <n v="2095.0"/>
        <n v="69.0"/>
        <n v="274.0"/>
        <n v="850.0"/>
        <n v="992.0"/>
        <n v="411.0"/>
        <n v="1208.0"/>
        <n v="187.0"/>
        <n v="942.0"/>
        <n v="516.0"/>
        <n v="1928.0"/>
        <n v="350.0"/>
        <n v="222.0"/>
        <n v="1352.0"/>
        <n v="286.0"/>
        <n v="651.0"/>
        <n v="1041.0"/>
        <n v="568.0"/>
        <n v="459.0"/>
        <n v="58.0"/>
        <n v="930.0"/>
        <n v="152.0"/>
        <n v="1434.0"/>
        <n v="75.0"/>
        <n v="735.0"/>
        <n v="1616.0"/>
        <n v="361.0"/>
        <n v="2020.0"/>
        <n v="396.0"/>
        <n v="1332.0"/>
        <n v="604.0"/>
        <n v="618.0"/>
        <n v="1450.0"/>
        <n v="1620.0"/>
        <n v="1405.0"/>
        <n v="1035.0"/>
        <n v="756.0"/>
        <n v="1635.0"/>
        <n v="407.0"/>
        <n v="711.0"/>
        <n v="1359.0"/>
        <n v="750.0"/>
        <n v="1870.0"/>
        <n v="1284.0"/>
        <n v="1368.0"/>
        <n v="988.0"/>
        <n v="1552.0"/>
        <n v="1488.0"/>
        <n v="885.0"/>
        <n v="301.0"/>
        <n v="293.0"/>
        <n v="764.0"/>
        <n v="1184.0"/>
        <n v="690.0"/>
        <n v="1113.0"/>
        <n v="441.0"/>
        <n v="2200.0"/>
        <n v="908.0"/>
        <n v="1660.0"/>
        <n v="784.0"/>
        <n v="356.0"/>
        <n v="830.0"/>
        <n v="1984.0"/>
        <n v="1285.0"/>
        <n v="952.0"/>
        <n v="464.0"/>
        <n v="1940.0"/>
        <n v="300.0"/>
        <n v="1896.0"/>
        <n v="270.0"/>
        <n v="1385.0"/>
        <n v="2135.0"/>
        <n v="676.0"/>
        <n v="1140.0"/>
        <n v="1026.0"/>
        <n v="1260.0"/>
        <n v="946.0"/>
        <n v="1029.0"/>
        <n v="309.0"/>
        <n v="1290.0"/>
        <n v="1010.0"/>
        <n v="155.0"/>
        <n v="360.0"/>
        <n v="955.0"/>
        <n v="724.0"/>
        <n v="1970.0"/>
        <n v="2250.0"/>
        <n v="323.0"/>
        <n v="2485.0"/>
        <n v="144.0"/>
        <n v="291.0"/>
        <n v="504.0"/>
        <n v="108.0"/>
        <n v="600.0"/>
        <n v="932.0"/>
        <n v="1812.0"/>
        <n v="285.0"/>
        <n v="326.0"/>
        <n v="490.0"/>
        <n v="475.0"/>
        <n v="1510.0"/>
        <n v="2195.0"/>
        <n v="680.0"/>
        <n v="1096.0"/>
        <n v="567.0"/>
        <n v="2320.0"/>
        <n v="700.0"/>
        <n v="706.0"/>
        <n v="400.0"/>
        <n v="1240.0"/>
        <n v="1050.0"/>
        <n v="67.0"/>
        <n v="1470.0"/>
        <n v="808.0"/>
        <n v="196.0"/>
        <n v="417.0"/>
        <n v="910.0"/>
        <n v="364.0"/>
        <n v="1015.0"/>
        <n v="515.0"/>
        <n v="688.0"/>
        <n v="1308.0"/>
        <n v="1017.0"/>
        <n v="1044.0"/>
        <n v="1192.0"/>
        <n v="882.0"/>
        <n v="1664.0"/>
        <n v="1548.0"/>
        <n v="302.0"/>
        <n v="471.0"/>
        <n v="275.0"/>
        <n v="1175.0"/>
        <n v="1916.0"/>
        <n v="1108.0"/>
        <n v="635.0"/>
        <n v="2115.0"/>
        <n v="940.0"/>
        <n v="996.0"/>
        <n v="431.0"/>
        <n v="1528.0"/>
        <n v="281.0"/>
        <n v="444.0"/>
        <n v="1530.0"/>
        <n v="391.0"/>
        <n v="252.0"/>
        <n v="1592.0"/>
        <n v="200.0"/>
        <n v="402.0"/>
        <n v="226.0"/>
        <n v="73.0"/>
        <n v="194.0"/>
        <n v="2225.0"/>
        <n v="265.0"/>
        <n v="1076.0"/>
        <n v="810.0"/>
        <n v="394.0"/>
        <n v="1220.0"/>
        <n v="513.0"/>
        <n v="1398.0"/>
        <n v="289.0"/>
        <n v="573.0"/>
        <n v="986.0"/>
        <n v="1695.0"/>
        <n v="1264.0"/>
        <n v="1136.0"/>
        <n v="868.0"/>
        <n v="363.0"/>
        <n v="560.0"/>
        <n v="590.0"/>
        <n v="419.0"/>
        <n v="146.0"/>
        <n v="758.0"/>
        <n v="804.0"/>
        <n v="1011.0"/>
        <n v="160.0"/>
        <n v="985.0"/>
        <n v="874.0"/>
        <n v="410.0"/>
        <n v="1095.0"/>
        <n v="1269.0"/>
        <n v="540.0"/>
        <n v="1112.0"/>
        <n v="2380.0"/>
        <n v="280.0"/>
        <n v="315.0"/>
        <n v="353.0"/>
        <n v="397.0"/>
        <n v="177.0"/>
        <n v="1648.0"/>
        <n v="558.0"/>
        <n v="472.0"/>
        <n v="720.0"/>
        <n v="1482.0"/>
        <n v="355.0"/>
        <n v="488.0"/>
        <n v="848.0"/>
        <n v="1145.0"/>
        <n v="1295.0"/>
        <n v="921.0"/>
        <n v="334.0"/>
        <n v="1059.0"/>
        <n v="2355.0"/>
        <n v="939.0"/>
        <n v="1360.0"/>
        <n v="296.0"/>
        <n v="782.0"/>
        <n v="800.0"/>
        <n v="2100.0"/>
        <n v="278.0"/>
        <n v="1455.0"/>
        <n v="1436.0"/>
        <n v="594.0"/>
        <n v="103.0"/>
        <n v="802.0"/>
        <n v="139.0"/>
        <n v="1520.0"/>
        <n v="445.0"/>
        <n v="1415.0"/>
        <n v="1836.0"/>
        <n v="976.0"/>
        <n v="598.0"/>
        <n v="1263.0"/>
        <n v="453.0"/>
      </sharedItems>
    </cacheField>
    <cacheField name="дата создания чека" numFmtId="14">
      <sharedItems containsSemiMixedTypes="0" containsDate="1" containsString="0">
        <d v="2023-09-18T00:00:00Z"/>
        <d v="2023-06-06T00:00:00Z"/>
        <d v="2024-03-12T00:00:00Z"/>
        <d v="2023-12-02T00:00:00Z"/>
        <d v="2023-08-13T00:00:00Z"/>
        <d v="2023-12-21T00:00:00Z"/>
        <d v="2024-02-27T00:00:00Z"/>
        <d v="2024-02-05T00:00:00Z"/>
        <d v="2024-03-25T00:00:00Z"/>
        <d v="2023-04-16T00:00:00Z"/>
        <d v="2023-07-29T00:00:00Z"/>
        <d v="2024-04-12T00:00:00Z"/>
        <d v="2023-12-06T00:00:00Z"/>
        <d v="2023-07-26T00:00:00Z"/>
        <d v="2023-02-15T00:00:00Z"/>
        <d v="2023-02-23T00:00:00Z"/>
        <d v="2023-10-17T00:00:00Z"/>
        <d v="2023-07-09T00:00:00Z"/>
        <d v="2023-05-12T00:00:00Z"/>
        <d v="2023-08-20T00:00:00Z"/>
        <d v="2023-11-14T00:00:00Z"/>
        <d v="2023-07-16T00:00:00Z"/>
        <d v="2023-04-11T00:00:00Z"/>
        <d v="2023-02-09T00:00:00Z"/>
        <d v="2024-02-04T00:00:00Z"/>
        <d v="2023-09-05T00:00:00Z"/>
        <d v="2023-06-22T00:00:00Z"/>
        <d v="2024-03-17T00:00:00Z"/>
        <d v="2023-04-24T00:00:00Z"/>
        <d v="2024-05-02T00:00:00Z"/>
        <d v="2023-07-18T00:00:00Z"/>
        <d v="2024-03-01T00:00:00Z"/>
        <d v="2023-03-12T00:00:00Z"/>
        <d v="2023-12-07T00:00:00Z"/>
        <d v="2024-03-30T00:00:00Z"/>
        <d v="2023-02-14T00:00:00Z"/>
        <d v="2023-01-21T00:00:00Z"/>
        <d v="2023-07-22T00:00:00Z"/>
        <d v="2024-04-24T00:00:00Z"/>
        <d v="2023-07-10T00:00:00Z"/>
        <d v="2023-09-25T00:00:00Z"/>
        <d v="2023-09-27T00:00:00Z"/>
        <d v="2023-06-27T00:00:00Z"/>
        <d v="2023-11-04T00:00:00Z"/>
        <d v="2024-04-05T00:00:00Z"/>
        <d v="2023-02-19T00:00:00Z"/>
        <d v="2023-05-17T00:00:00Z"/>
        <d v="2023-10-09T00:00:00Z"/>
        <d v="2024-04-16T00:00:00Z"/>
        <d v="2023-11-09T00:00:00Z"/>
        <d v="2023-06-03T00:00:00Z"/>
        <d v="2024-01-17T00:00:00Z"/>
        <d v="2023-11-16T00:00:00Z"/>
        <d v="2024-03-05T00:00:00Z"/>
        <d v="2024-04-18T00:00:00Z"/>
        <d v="2023-10-15T00:00:00Z"/>
        <d v="2024-05-11T00:00:00Z"/>
        <d v="2023-02-24T00:00:00Z"/>
        <d v="2023-11-15T00:00:00Z"/>
        <d v="2023-01-08T00:00:00Z"/>
        <d v="2023-12-20T00:00:00Z"/>
        <d v="2023-07-07T00:00:00Z"/>
        <d v="2023-02-16T00:00:00Z"/>
        <d v="2023-03-04T00:00:00Z"/>
        <d v="2023-12-27T00:00:00Z"/>
        <d v="2023-02-18T00:00:00Z"/>
        <d v="2023-04-30T00:00:00Z"/>
        <d v="2023-03-15T00:00:00Z"/>
        <d v="2024-01-15T00:00:00Z"/>
        <d v="2023-03-08T00:00:00Z"/>
        <d v="2024-03-09T00:00:00Z"/>
        <d v="2023-01-04T00:00:00Z"/>
        <d v="2024-01-25T00:00:00Z"/>
        <d v="2023-07-02T00:00:00Z"/>
        <d v="2024-01-11T00:00:00Z"/>
        <d v="2023-08-26T00:00:00Z"/>
        <d v="2023-01-20T00:00:00Z"/>
        <d v="2023-09-04T00:00:00Z"/>
        <d v="2023-03-19T00:00:00Z"/>
        <d v="2023-12-12T00:00:00Z"/>
        <d v="2023-01-13T00:00:00Z"/>
        <d v="2023-09-20T00:00:00Z"/>
        <d v="2023-06-02T00:00:00Z"/>
        <d v="2023-01-01T00:00:00Z"/>
        <d v="2023-10-27T00:00:00Z"/>
        <d v="2024-04-06T00:00:00Z"/>
        <d v="2024-05-12T00:00:00Z"/>
        <d v="2023-09-14T00:00:00Z"/>
        <d v="2023-10-19T00:00:00Z"/>
        <d v="2023-12-30T00:00:00Z"/>
        <d v="2023-11-05T00:00:00Z"/>
        <d v="2023-09-28T00:00:00Z"/>
        <d v="2023-01-16T00:00:00Z"/>
        <d v="2023-05-31T00:00:00Z"/>
        <d v="2024-02-09T00:00:00Z"/>
        <d v="2023-10-11T00:00:00Z"/>
        <d v="2023-06-05T00:00:00Z"/>
        <d v="2023-09-02T00:00:00Z"/>
        <d v="2023-11-29T00:00:00Z"/>
        <d v="2023-06-18T00:00:00Z"/>
        <d v="2023-04-17T00:00:00Z"/>
        <d v="2023-12-25T00:00:00Z"/>
        <d v="2023-03-28T00:00:00Z"/>
        <d v="2023-04-23T00:00:00Z"/>
        <d v="2023-12-17T00:00:00Z"/>
        <d v="2023-09-07T00:00:00Z"/>
        <d v="2023-01-22T00:00:00Z"/>
        <d v="2023-02-02T00:00:00Z"/>
        <d v="2023-11-11T00:00:00Z"/>
        <d v="2024-02-16T00:00:00Z"/>
        <d v="2024-02-21T00:00:00Z"/>
        <d v="2023-02-03T00:00:00Z"/>
        <d v="2024-05-21T00:00:00Z"/>
        <d v="2024-01-22T00:00:00Z"/>
        <d v="2024-03-10T00:00:00Z"/>
        <d v="2023-04-09T00:00:00Z"/>
        <d v="2024-03-28T00:00:00Z"/>
        <d v="2023-11-30T00:00:00Z"/>
        <d v="2023-03-24T00:00:00Z"/>
        <d v="2023-04-13T00:00:00Z"/>
        <d v="2024-04-02T00:00:00Z"/>
        <d v="2024-01-23T00:00:00Z"/>
        <d v="2024-05-22T00:00:00Z"/>
        <d v="2023-04-22T00:00:00Z"/>
        <d v="2023-05-24T00:00:00Z"/>
        <d v="2023-07-03T00:00:00Z"/>
        <d v="2024-03-21T00:00:00Z"/>
        <d v="2024-02-14T00:00:00Z"/>
        <d v="2023-08-29T00:00:00Z"/>
        <d v="2023-05-23T00:00:00Z"/>
        <d v="2023-06-26T00:00:00Z"/>
        <d v="2023-12-04T00:00:00Z"/>
        <d v="2024-01-19T00:00:00Z"/>
        <d v="2023-03-05T00:00:00Z"/>
        <d v="2023-09-16T00:00:00Z"/>
        <d v="2023-08-15T00:00:00Z"/>
        <d v="2023-06-29T00:00:00Z"/>
        <d v="2023-05-05T00:00:00Z"/>
        <d v="2023-06-04T00:00:00Z"/>
        <d v="2023-03-27T00:00:00Z"/>
        <d v="2023-03-06T00:00:00Z"/>
        <d v="2023-12-23T00:00:00Z"/>
        <d v="2023-12-31T00:00:00Z"/>
        <d v="2023-10-03T00:00:00Z"/>
        <d v="2023-01-23T00:00:00Z"/>
        <d v="2024-04-30T00:00:00Z"/>
        <d v="2023-04-25T00:00:00Z"/>
        <d v="2024-02-19T00:00:00Z"/>
        <d v="2023-12-29T00:00:00Z"/>
        <d v="2023-09-06T00:00:00Z"/>
        <d v="2024-03-18T00:00:00Z"/>
        <d v="2024-03-02T00:00:00Z"/>
        <d v="2024-05-01T00:00:00Z"/>
        <d v="2023-08-27T00:00:00Z"/>
        <d v="2024-02-03T00:00:00Z"/>
        <d v="2023-10-13T00:00:00Z"/>
        <d v="2023-11-23T00:00:00Z"/>
        <d v="2024-05-09T00:00:00Z"/>
        <d v="2024-04-29T00:00:00Z"/>
        <d v="2024-01-18T00:00:00Z"/>
        <d v="2023-06-07T00:00:00Z"/>
        <d v="2023-02-12T00:00:00Z"/>
        <d v="2023-12-16T00:00:00Z"/>
        <d v="2024-03-29T00:00:00Z"/>
        <d v="2023-09-24T00:00:00Z"/>
        <d v="2024-02-13T00:00:00Z"/>
        <d v="2023-11-25T00:00:00Z"/>
        <d v="2023-02-10T00:00:00Z"/>
        <d v="2023-03-25T00:00:00Z"/>
        <d v="2023-09-09T00:00:00Z"/>
        <d v="2023-11-21T00:00:00Z"/>
        <d v="2023-04-03T00:00:00Z"/>
        <d v="2023-02-26T00:00:00Z"/>
        <d v="2023-04-15T00:00:00Z"/>
        <d v="2023-06-15T00:00:00Z"/>
        <d v="2023-06-28T00:00:00Z"/>
        <d v="2023-12-05T00:00:00Z"/>
        <d v="2023-07-01T00:00:00Z"/>
        <d v="2024-03-20T00:00:00Z"/>
        <d v="2023-04-06T00:00:00Z"/>
        <d v="2023-04-02T00:00:00Z"/>
        <d v="2023-12-22T00:00:00Z"/>
        <d v="2023-10-25T00:00:00Z"/>
        <d v="2023-09-26T00:00:00Z"/>
        <d v="2023-08-01T00:00:00Z"/>
        <d v="2023-05-30T00:00:00Z"/>
        <d v="2023-03-20T00:00:00Z"/>
        <d v="2024-02-29T00:00:00Z"/>
        <d v="2024-05-18T00:00:00Z"/>
        <d v="2024-05-15T00:00:00Z"/>
        <d v="2024-04-27T00:00:00Z"/>
        <d v="2023-08-09T00:00:00Z"/>
        <d v="2023-03-11T00:00:00Z"/>
        <d v="2024-04-14T00:00:00Z"/>
        <d v="2023-05-13T00:00:00Z"/>
        <d v="2023-03-02T00:00:00Z"/>
        <d v="2024-03-14T00:00:00Z"/>
        <d v="2024-01-31T00:00:00Z"/>
        <d v="2023-05-11T00:00:00Z"/>
        <d v="2023-03-26T00:00:00Z"/>
        <d v="2023-04-12T00:00:00Z"/>
        <d v="2023-03-21T00:00:00Z"/>
        <d v="2024-01-09T00:00:00Z"/>
        <d v="2023-01-25T00:00:00Z"/>
        <d v="2024-04-23T00:00:00Z"/>
        <d v="2023-02-04T00:00:00Z"/>
        <d v="2023-01-07T00:00:00Z"/>
        <d v="2023-12-01T00:00:00Z"/>
        <d v="2024-02-07T00:00:00Z"/>
        <d v="2024-02-15T00:00:00Z"/>
        <d v="2023-04-29T00:00:00Z"/>
        <d v="2023-08-19T00:00:00Z"/>
        <d v="2023-01-19T00:00:00Z"/>
        <d v="2023-08-04T00:00:00Z"/>
        <d v="2023-04-21T00:00:00Z"/>
        <d v="2023-11-20T00:00:00Z"/>
        <d v="2024-05-04T00:00:00Z"/>
        <d v="2023-09-30T00:00:00Z"/>
        <d v="2023-08-28T00:00:00Z"/>
        <d v="2023-07-19T00:00:00Z"/>
        <d v="2024-04-09T00:00:00Z"/>
        <d v="2024-04-10T00:00:00Z"/>
        <d v="2024-03-11T00:00:00Z"/>
        <d v="2023-03-16T00:00:00Z"/>
        <d v="2023-01-17T00:00:00Z"/>
        <d v="2023-02-28T00:00:00Z"/>
        <d v="2024-02-01T00:00:00Z"/>
        <d v="2024-01-08T00:00:00Z"/>
        <d v="2023-05-21T00:00:00Z"/>
        <d v="2023-06-30T00:00:00Z"/>
        <d v="2023-02-27T00:00:00Z"/>
        <d v="2023-09-23T00:00:00Z"/>
        <d v="2023-01-10T00:00:00Z"/>
        <d v="2023-08-30T00:00:00Z"/>
        <d v="2023-01-29T00:00:00Z"/>
        <d v="2024-01-06T00:00:00Z"/>
        <d v="2023-10-23T00:00:00Z"/>
        <d v="2023-10-12T00:00:00Z"/>
        <d v="2023-09-15T00:00:00Z"/>
        <d v="2023-05-18T00:00:00Z"/>
        <d v="2023-11-28T00:00:00Z"/>
        <d v="2023-12-19T00:00:00Z"/>
        <d v="2023-06-10T00:00:00Z"/>
        <d v="2024-03-19T00:00:00Z"/>
        <d v="2023-11-13T00:00:00Z"/>
        <d v="2024-03-15T00:00:00Z"/>
        <d v="2023-06-25T00:00:00Z"/>
        <d v="2023-08-23T00:00:00Z"/>
        <d v="2023-09-13T00:00:00Z"/>
        <d v="2023-10-28T00:00:00Z"/>
        <d v="2023-11-02T00:00:00Z"/>
        <d v="2023-06-14T00:00:00Z"/>
        <d v="2024-02-28T00:00:00Z"/>
        <d v="2024-02-24T00:00:00Z"/>
        <d v="2023-01-12T00:00:00Z"/>
        <d v="2023-04-20T00:00:00Z"/>
        <d v="2023-10-18T00:00:00Z"/>
        <d v="2024-01-01T00:00:00Z"/>
        <d v="2024-04-03T00:00:00Z"/>
        <d v="2023-05-08T00:00:00Z"/>
        <d v="2023-12-14T00:00:00Z"/>
        <d v="2023-01-06T00:00:00Z"/>
        <d v="2024-03-23T00:00:00Z"/>
        <d v="2023-05-29T00:00:00Z"/>
        <d v="2023-08-22T00:00:00Z"/>
        <d v="2023-07-25T00:00:00Z"/>
        <d v="2023-06-21T00:00:00Z"/>
        <d v="2023-10-08T00:00:00Z"/>
        <d v="2023-05-06T00:00:00Z"/>
        <d v="2023-02-25T00:00:00Z"/>
        <d v="2024-02-18T00:00:00Z"/>
        <d v="2023-11-24T00:00:00Z"/>
        <d v="2024-02-20T00:00:00Z"/>
        <d v="2024-03-22T00:00:00Z"/>
        <d v="2024-02-10T00:00:00Z"/>
        <d v="2024-03-24T00:00:00Z"/>
        <d v="2023-01-02T00:00:00Z"/>
        <d v="2023-11-01T00:00:00Z"/>
        <d v="2023-07-17T00:00:00Z"/>
        <d v="2023-08-07T00:00:00Z"/>
        <d v="2024-02-26T00:00:00Z"/>
        <d v="2023-11-03T00:00:00Z"/>
        <d v="2023-10-06T00:00:00Z"/>
        <d v="2024-03-06T00:00:00Z"/>
        <d v="2023-01-28T00:00:00Z"/>
        <d v="2023-03-01T00:00:00Z"/>
        <d v="2023-01-05T00:00:00Z"/>
        <d v="2023-09-29T00:00:00Z"/>
        <d v="2024-03-26T00:00:00Z"/>
        <d v="2023-05-28T00:00:00Z"/>
        <d v="2023-07-13T00:00:00Z"/>
        <d v="2023-05-20T00:00:00Z"/>
        <d v="2023-10-07T00:00:00Z"/>
        <d v="2024-05-13T00:00:00Z"/>
        <d v="2023-11-26T00:00:00Z"/>
        <d v="2023-03-22T00:00:00Z"/>
        <d v="2023-01-09T00:00:00Z"/>
        <d v="2023-03-23T00:00:00Z"/>
        <d v="2023-10-20T00:00:00Z"/>
        <d v="2024-01-21T00:00:00Z"/>
        <d v="2024-04-28T00:00:00Z"/>
        <d v="2024-05-08T00:00:00Z"/>
        <d v="2023-10-14T00:00:00Z"/>
        <d v="2023-08-18T00:00:00Z"/>
        <d v="2023-04-05T00:00:00Z"/>
        <d v="2023-12-11T00:00:00Z"/>
        <d v="2024-04-26T00:00:00Z"/>
        <d v="2023-09-19T00:00:00Z"/>
        <d v="2023-03-18T00:00:00Z"/>
        <d v="2023-06-17T00:00:00Z"/>
        <d v="2024-01-13T00:00:00Z"/>
        <d v="2024-04-07T00:00:00Z"/>
        <d v="2023-06-01T00:00:00Z"/>
        <d v="2024-04-25T00:00:00Z"/>
        <d v="2024-02-22T00:00:00Z"/>
        <d v="2023-07-24T00:00:00Z"/>
        <d v="2024-01-10T00:00:00Z"/>
        <d v="2024-03-08T00:00:00Z"/>
        <d v="2023-08-17T00:00:00Z"/>
        <d v="2023-11-17T00:00:00Z"/>
        <d v="2024-03-31T00:00:00Z"/>
        <d v="2024-01-26T00:00:00Z"/>
        <d v="2023-12-09T00:00:00Z"/>
        <d v="2024-03-13T00:00:00Z"/>
        <d v="2023-02-08T00:00:00Z"/>
        <d v="2023-03-31T00:00:00Z"/>
        <d v="2024-01-20T00:00:00Z"/>
        <d v="2023-09-08T00:00:00Z"/>
        <d v="2023-12-24T00:00:00Z"/>
        <d v="2023-07-14T00:00:00Z"/>
        <d v="2024-04-15T00:00:00Z"/>
        <d v="2023-03-17T00:00:00Z"/>
        <d v="2023-05-01T00:00:00Z"/>
        <d v="2024-02-08T00:00:00Z"/>
        <d v="2023-10-04T00:00:00Z"/>
        <d v="2024-03-04T00:00:00Z"/>
        <d v="2024-03-27T00:00:00Z"/>
        <d v="2024-04-04T00:00:00Z"/>
        <d v="2023-09-17T00:00:00Z"/>
        <d v="2023-05-27T00:00:00Z"/>
        <d v="2023-12-03T00:00:00Z"/>
        <d v="2023-08-08T00:00:00Z"/>
        <d v="2023-01-24T00:00:00Z"/>
        <d v="2023-04-07T00:00:00Z"/>
        <d v="2023-07-30T00:00:00Z"/>
        <d v="2023-09-12T00:00:00Z"/>
        <d v="2023-06-11T00:00:00Z"/>
        <d v="2023-02-01T00:00:00Z"/>
        <d v="2023-07-05T00:00:00Z"/>
        <d v="2023-05-09T00:00:00Z"/>
        <d v="2023-12-18T00:00:00Z"/>
        <d v="2024-04-20T00:00:00Z"/>
        <d v="2023-09-22T00:00:00Z"/>
        <d v="2023-05-15T00:00:00Z"/>
        <d v="2023-03-14T00:00:00Z"/>
        <d v="2024-04-11T00:00:00Z"/>
        <d v="2024-01-27T00:00:00Z"/>
        <d v="2023-05-07T00:00:00Z"/>
        <d v="2024-04-22T00:00:00Z"/>
        <d v="2023-08-10T00:00:00Z"/>
        <d v="2024-05-17T00:00:00Z"/>
        <d v="2023-10-24T00:00:00Z"/>
        <d v="2024-03-07T00:00:00Z"/>
        <d v="2023-01-03T00:00:00Z"/>
        <d v="2023-02-22T00:00:00Z"/>
        <d v="2023-08-12T00:00:00Z"/>
        <d v="2023-03-29T00:00:00Z"/>
        <d v="2023-07-06T00:00:00Z"/>
        <d v="2024-01-04T00:00:00Z"/>
        <d v="2023-12-26T00:00:00Z"/>
        <d v="2023-12-28T00:00:00Z"/>
        <d v="2024-02-02T00:00:00Z"/>
        <d v="2023-06-09T00:00:00Z"/>
        <d v="2024-05-03T00:00:00Z"/>
        <d v="2024-01-02T00:00:00Z"/>
        <d v="2023-08-02T00:00:00Z"/>
        <d v="2023-08-05T00:00:00Z"/>
        <d v="2023-10-30T00:00:00Z"/>
        <d v="2023-01-18T00:00:00Z"/>
        <d v="2024-05-19T00:00:00Z"/>
        <d v="2024-01-24T00:00:00Z"/>
        <d v="2023-07-15T00:00:00Z"/>
        <d v="2023-04-04T00:00:00Z"/>
        <d v="2023-03-07T00:00:00Z"/>
        <d v="2024-01-05T00:00:00Z"/>
        <d v="2023-02-07T00:00:00Z"/>
        <d v="2023-04-01T00:00:00Z"/>
        <d v="2024-05-10T00:00:00Z"/>
        <d v="2023-06-23T00:00:00Z"/>
        <d v="2023-08-06T00:00:00Z"/>
        <d v="2023-07-27T00:00:00Z"/>
        <d v="2023-05-19T00:00:00Z"/>
        <d v="2024-01-12T00:00:00Z"/>
        <d v="2023-04-18T00:00:00Z"/>
        <d v="2024-04-08T00:00:00Z"/>
        <d v="2023-11-07T00:00:00Z"/>
        <d v="2023-05-16T00:00:00Z"/>
        <d v="2024-01-07T00:00:00Z"/>
        <d v="2023-05-10T00:00:00Z"/>
        <d v="2024-02-11T00:00:00Z"/>
        <d v="2023-08-25T00:00:00Z"/>
        <d v="2023-11-06T00:00:00Z"/>
        <d v="2023-10-31T00:00:00Z"/>
        <d v="2023-12-15T00:00:00Z"/>
        <d v="2024-01-03T00:00:00Z"/>
        <d v="2024-05-07T00:00:00Z"/>
        <d v="2023-07-21T00:00:00Z"/>
        <d v="2024-01-28T00:00:00Z"/>
        <d v="2024-04-13T00:00:00Z"/>
        <d v="2023-08-21T00:00:00Z"/>
        <d v="2023-05-14T00:00:00Z"/>
        <d v="2023-06-16T00:00:00Z"/>
        <d v="2023-08-16T00:00:00Z"/>
        <d v="2024-01-29T00:00:00Z"/>
        <d v="2023-07-28T00:00:00Z"/>
        <d v="2023-05-04T00:00:00Z"/>
        <d v="2023-11-10T00:00:00Z"/>
        <d v="2023-07-04T00:00:00Z"/>
        <d v="2023-02-13T00:00:00Z"/>
        <d v="2024-04-19T00:00:00Z"/>
        <d v="2023-01-11T00:00:00Z"/>
        <d v="2023-04-14T00:00:00Z"/>
        <d v="2023-06-24T00:00:00Z"/>
        <d v="2023-02-05T00:00:00Z"/>
        <d v="2024-02-17T00:00:00Z"/>
        <d v="2023-04-10T00:00:00Z"/>
        <d v="2023-06-20T00:00:00Z"/>
        <d v="2023-11-08T00:00:00Z"/>
        <d v="2023-05-26T00:00:00Z"/>
        <d v="2023-11-22T00:00:00Z"/>
        <d v="2023-07-31T00:00:00Z"/>
        <d v="2023-01-14T00:00:00Z"/>
        <d v="2023-11-19T00:00:00Z"/>
        <d v="2023-03-10T00:00:00Z"/>
        <d v="2023-12-13T00:00:00Z"/>
        <d v="2023-11-18T00:00:00Z"/>
      </sharedItems>
    </cacheField>
    <cacheField name="магазин покупки" numFmtId="0">
      <sharedItems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>
        <n v="315.0"/>
        <n v="253.0"/>
        <n v="12.0"/>
        <n v="116.0"/>
        <n v="471.0"/>
        <n v="374.0"/>
        <n v="477.0"/>
        <n v="335.0"/>
        <n v="350.0"/>
        <n v="413.0"/>
        <n v="495.0"/>
        <n v="353.0"/>
        <n v="332.0"/>
        <n v="414.0"/>
        <n v="236.0"/>
        <n v="164.0"/>
        <n v="490.0"/>
        <n v="223.0"/>
        <n v="204.0"/>
        <n v="481.0"/>
        <n v="363.0"/>
        <n v="397.0"/>
        <n v="280.0"/>
        <n v="39.0"/>
        <n v="303.0"/>
        <n v="422.0"/>
        <n v="24.0"/>
        <n v="112.0"/>
        <n v="451.0"/>
        <n v="131.0"/>
        <n v="160.0"/>
        <n v="408.0"/>
        <n v="324.0"/>
        <n v="310.0"/>
        <n v="179.0"/>
        <n v="64.0"/>
        <n v="318.0"/>
        <n v="239.0"/>
        <n v="194.0"/>
        <n v="267.0"/>
        <n v="334.0"/>
        <n v="47.0"/>
        <n v="287.0"/>
        <n v="145.0"/>
        <n v="270.0"/>
        <n v="183.0"/>
        <n v="2.0"/>
        <n v="229.0"/>
        <n v="385.0"/>
        <n v="407.0"/>
        <n v="493.0"/>
        <n v="34.0"/>
        <n v="190.0"/>
        <n v="266.0"/>
        <n v="222.0"/>
        <n v="382.0"/>
        <n v="142.0"/>
        <n v="150.0"/>
        <n v="14.0"/>
        <n v="371.0"/>
        <n v="328.0"/>
        <n v="171.0"/>
        <n v="68.0"/>
        <n v="346.0"/>
        <n v="415.0"/>
        <n v="115.0"/>
        <n v="42.0"/>
        <n v="378.0"/>
        <n v="449.0"/>
        <n v="317.0"/>
        <n v="426.0"/>
        <n v="25.0"/>
        <n v="462.0"/>
        <n v="252.0"/>
        <n v="392.0"/>
        <n v="487.0"/>
        <n v="134.0"/>
        <n v="11.0"/>
        <n v="458.0"/>
        <n v="130.0"/>
        <n v="330.0"/>
        <n v="167.0"/>
        <n v="140.0"/>
        <n v="423.0"/>
        <n v="365.0"/>
        <n v="452.0"/>
        <n v="424.0"/>
        <n v="75.0"/>
        <n v="71.0"/>
        <n v="313.0"/>
        <n v="301.0"/>
        <n v="359.0"/>
        <n v="474.0"/>
        <n v="111.0"/>
        <n v="126.0"/>
        <n v="356.0"/>
        <n v="166.0"/>
        <n v="162.0"/>
        <n v="459.0"/>
        <n v="211.0"/>
        <n v="132.0"/>
        <n v="333.0"/>
        <n v="298.0"/>
        <n v="273.0"/>
        <n v="321.0"/>
        <n v="119.0"/>
        <n v="472.0"/>
        <n v="396.0"/>
        <n v="269.0"/>
        <n v="16.0"/>
        <n v="281.0"/>
        <n v="149.0"/>
        <n v="380.0"/>
        <n v="114.0"/>
        <n v="381.0"/>
        <n v="342.0"/>
        <n v="276.0"/>
        <n v="293.0"/>
        <n v="386.0"/>
        <n v="362.0"/>
        <n v="283.0"/>
        <n v="388.0"/>
        <n v="437.0"/>
        <n v="450.0"/>
        <n v="136.0"/>
        <n v="61.0"/>
        <n v="364.0"/>
        <n v="496.0"/>
        <n v="464.0"/>
        <n v="419.0"/>
        <n v="247.0"/>
        <n v="73.0"/>
        <n v="139.0"/>
        <n v="258.0"/>
        <n v="349.0"/>
        <n v="325.0"/>
        <n v="250.0"/>
        <n v="153.0"/>
        <n v="286.0"/>
        <n v="32.0"/>
        <n v="49.0"/>
        <n v="420.0"/>
        <n v="202.0"/>
        <n v="37.0"/>
        <n v="366.0"/>
        <n v="434.0"/>
        <n v="172.0"/>
        <n v="52.0"/>
        <n v="395.0"/>
        <n v="46.0"/>
        <n v="361.0"/>
        <n v="358.0"/>
        <n v="44.0"/>
        <n v="416.0"/>
        <n v="74.0"/>
        <n v="180.0"/>
        <n v="159.0"/>
        <n v="106.0"/>
        <n v="65.0"/>
        <n v="457.0"/>
        <n v="255.0"/>
        <n v="436.0"/>
        <n v="175.0"/>
        <n v="274.0"/>
        <n v="59.0"/>
        <n v="411.0"/>
        <n v="259.0"/>
        <n v="337.0"/>
        <n v="354.0"/>
        <n v="329.0"/>
        <n v="186.0"/>
        <n v="448.0"/>
        <n v="377.0"/>
        <n v="316.0"/>
        <n v="322.0"/>
        <n v="62.0"/>
        <n v="295.0"/>
        <n v="235.0"/>
        <n v="156.0"/>
        <n v="327.0"/>
        <n v="275.0"/>
        <n v="177.0"/>
        <n v="181.0"/>
        <n v="478.0"/>
        <n v="429.0"/>
        <n v="431.0"/>
        <n v="147.0"/>
        <n v="312.0"/>
        <n v="41.0"/>
        <n v="389.0"/>
        <n v="249.0"/>
        <n v="168.0"/>
        <n v="121.0"/>
        <n v="405.0"/>
        <n v="376.0"/>
        <n v="489.0"/>
        <n v="483.0"/>
        <n v="107.0"/>
        <n v="51.0"/>
        <n v="9.0"/>
        <n v="456.0"/>
        <n v="110.0"/>
        <n v="216.0"/>
        <n v="77.0"/>
        <n v="192.0"/>
        <n v="308.0"/>
        <n v="455.0"/>
        <n v="480.0"/>
        <n v="203.0"/>
        <n v="21.0"/>
        <n v="302.0"/>
        <n v="341.0"/>
        <n v="463.0"/>
        <n v="421.0"/>
        <n v="86.0"/>
        <n v="319.0"/>
        <n v="290.0"/>
        <n v="13.0"/>
        <n v="453.0"/>
        <n v="120.0"/>
        <n v="292.0"/>
        <n v="1.0"/>
        <n v="98.0"/>
        <n v="226.0"/>
        <n v="296.0"/>
        <n v="29.0"/>
        <n v="297.0"/>
        <n v="497.0"/>
        <n v="191.0"/>
        <n v="58.0"/>
        <n v="446.0"/>
        <n v="117.0"/>
        <n v="187.0"/>
        <n v="231.0"/>
        <n v="265.0"/>
        <n v="391.0"/>
        <n v="355.0"/>
        <n v="277.0"/>
        <n v="104.0"/>
        <n v="109.0"/>
        <n v="369.0"/>
        <n v="78.0"/>
        <n v="66.0"/>
        <n v="261.0"/>
        <n v="307.0"/>
        <n v="144.0"/>
        <n v="76.0"/>
        <n v="84.0"/>
        <n v="81.0"/>
        <n v="157.0"/>
        <n v="57.0"/>
        <n v="479.0"/>
        <n v="406.0"/>
        <n v="56.0"/>
        <n v="10.0"/>
        <n v="174.0"/>
        <n v="72.0"/>
        <n v="38.0"/>
        <n v="18.0"/>
        <n v="88.0"/>
        <n v="129.0"/>
        <n v="19.0"/>
        <n v="304.0"/>
        <n v="285.0"/>
        <n v="461.0"/>
        <n v="278.0"/>
        <n v="246.0"/>
        <n v="205.0"/>
        <n v="357.0"/>
        <n v="152.0"/>
        <n v="323.0"/>
        <n v="185.0"/>
        <n v="314.0"/>
        <n v="476.0"/>
        <n v="375.0"/>
        <n v="233.0"/>
        <n v="69.0"/>
        <n v="254.0"/>
        <n v="219.0"/>
        <n v="232.0"/>
        <n v="372.0"/>
        <n v="432.0"/>
        <n v="221.0"/>
        <n v="148.0"/>
        <n v="209.0"/>
        <n v="263.0"/>
        <n v="101.0"/>
        <n v="124.0"/>
        <n v="257.0"/>
        <n v="309.0"/>
        <n v="103.0"/>
        <n v="31.0"/>
        <n v="306.0"/>
        <n v="383.0"/>
        <n v="367.0"/>
        <n v="138.0"/>
        <n v="158.0"/>
        <n v="217.0"/>
        <n v="102.0"/>
        <n v="425.0"/>
        <n v="43.0"/>
        <n v="326.0"/>
        <n v="402.0"/>
        <n v="23.0"/>
        <n v="468.0"/>
        <n v="141.0"/>
        <n v="182.0"/>
        <n v="225.0"/>
        <n v="151.0"/>
        <n v="428.0"/>
        <n v="438.0"/>
        <n v="465.0"/>
        <n v="215.0"/>
        <n v="15.0"/>
        <n v="370.0"/>
        <n v="80.0"/>
        <n v="17.0"/>
        <n v="127.0"/>
        <n v="441.0"/>
        <n v="220.0"/>
        <n v="206.0"/>
        <n v="210.0"/>
        <n v="67.0"/>
        <n v="125.0"/>
        <n v="213.0"/>
        <n v="336.0"/>
        <n v="294.0"/>
        <n v="27.0"/>
        <n v="53.0"/>
        <n v="143.0"/>
        <n v="135.0"/>
        <n v="279.0"/>
        <n v="271.0"/>
        <n v="444.0"/>
        <n v="133.0"/>
        <n v="300.0"/>
        <n v="54.0"/>
        <n v="340.0"/>
        <n v="272.0"/>
        <n v="165.0"/>
        <n v="214.0"/>
        <n v="409.0"/>
        <n v="348.0"/>
        <n v="351.0"/>
        <n v="40.0"/>
        <n v="245.0"/>
        <n v="466.0"/>
        <n v="122.0"/>
        <n v="199.0"/>
        <n v="447.0"/>
        <n v="163.0"/>
        <n v="320.0"/>
        <n v="173.0"/>
        <n v="485.0"/>
        <n v="401.0"/>
        <n v="379.0"/>
        <n v="201.0"/>
        <n v="498.0"/>
        <n v="237.0"/>
        <n v="403.0"/>
        <n v="460.0"/>
        <n v="50.0"/>
        <n v="197.0"/>
        <n v="243.0"/>
        <n v="45.0"/>
        <n v="242.0"/>
        <n v="79.0"/>
        <n v="70.0"/>
        <n v="345.0"/>
        <n v="33.0"/>
        <n v="7.0"/>
        <n v="494.0"/>
        <n v="83.0"/>
        <n v="352.0"/>
        <n v="8.0"/>
        <n v="291.0"/>
        <n v="418.0"/>
        <n v="470.0"/>
        <n v="123.0"/>
        <n v="442.0"/>
        <n v="218.0"/>
        <n v="331.0"/>
        <n v="196.0"/>
        <n v="36.0"/>
        <n v="22.0"/>
        <n v="360.0"/>
        <n v="188.0"/>
        <n v="63.0"/>
        <n v="238.0"/>
        <n v="105.0"/>
        <n v="260.0"/>
        <n v="394.0"/>
        <n v="248.0"/>
        <n v="3.0"/>
        <n v="435.0"/>
        <n v="262.0"/>
        <n v="264.0"/>
        <n v="99.0"/>
        <n v="404.0"/>
        <n v="146.0"/>
        <n v="338.0"/>
        <n v="445.0"/>
        <n v="208.0"/>
        <n v="343.0"/>
        <n v="486.0"/>
        <n v="299.0"/>
        <n v="368.0"/>
        <n v="108.0"/>
        <n v="443.0"/>
        <n v="91.0"/>
        <n v="473.0"/>
        <n v="482.0"/>
        <n v="48.0"/>
        <n v="26.0"/>
        <n v="417.0"/>
        <n v="491.0"/>
        <n v="492.0"/>
        <n v="155.0"/>
        <n v="430.0"/>
        <n v="488.0"/>
        <n v="6.0"/>
        <n v="400.0"/>
        <n v="282.0"/>
        <n v="433.0"/>
        <n v="212.0"/>
        <n v="499.0"/>
        <n v="347.0"/>
        <n v="469.0"/>
        <n v="93.0"/>
        <n v="200.0"/>
        <n v="95.0"/>
        <n v="20.0"/>
        <n v="94.0"/>
        <n v="427.0"/>
      </sharedItems>
    </cacheField>
    <cacheField name="Категория товара" numFmtId="0">
      <sharedItems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4">
      <sharedItems containsSemiMixedTypes="0" containsString="0" containsNumber="1">
        <n v="252.76271186440678"/>
        <n v="264.8679245283019"/>
        <n v="283.468085106383"/>
        <n v="265.4767441860465"/>
        <n v="250.4878048780488"/>
        <n v="268.6034482758621"/>
        <n v="258.5128205128205"/>
        <n v="249.02380952380952"/>
        <n v="271.1818181818182"/>
        <n v="263.2542372881356"/>
        <n v="271.74545454545455"/>
        <n v="262.63492063492066"/>
        <n v="274.16279069767444"/>
        <n v="258.375"/>
        <n v="273.72549019607845"/>
        <n v="294.95238095238096"/>
        <n v="300.3181818181818"/>
        <n v="267.85483870967744"/>
        <n v="255.11627906976744"/>
        <n v="286.9230769230769"/>
      </sharedItems>
    </cacheField>
    <cacheField name="Выгода для клиента" numFmtId="9">
      <sharedItems containsSemiMixedTypes="0" containsString="0" containsNumber="1">
        <n v="-0.5925031851404814"/>
        <n v="0.11753811084200017"/>
        <n v="-0.5096449748555131"/>
        <n v="-0.4688800315360694"/>
        <n v="-0.5089581304771178"/>
        <n v="0.6827780987226393"/>
        <n v="-0.4236262646300337"/>
        <n v="0.9636676546514964"/>
        <n v="0.5340261481729802"/>
        <n v="0.7055755858872006"/>
        <n v="0.08925465007359823"/>
        <n v="-0.5687655066049755"/>
        <n v="-0.2161782416700121"/>
        <n v="-0.2826613477703377"/>
        <n v="-0.11765838628923564"/>
        <n v="-0.34361381159906135"/>
        <n v="0.1775725946741602"/>
        <n v="0.5782926722438788"/>
        <n v="-0.2765623111326001"/>
        <n v="0.72519819543603"/>
        <n v="-0.4455848672491306"/>
        <n v="0.3259165170163374"/>
        <n v="-0.13187477335912012"/>
        <n v="-0.3768746976294146"/>
        <n v="0.3783391756315724"/>
        <n v="0.1505196111297351"/>
        <n v="0.13617478510028636"/>
        <n v="-0.12961845369811575"/>
        <n v="0.6138198256377139"/>
        <n v="-0.36733767216588464"/>
        <n v="-0.2095423563777995"/>
        <n v="-0.017456853798849425"/>
        <n v="0.3333118722637136"/>
        <n v="0.5310802655401328"/>
        <n v="-0.7905838269068053"/>
        <n v="0.2544107906304569"/>
        <n v="0.808067977749551"/>
        <n v="-0.28742243075525953"/>
        <n v="-0.7766223762757558"/>
        <n v="0.5594586308089877"/>
        <n v="-0.7510278229276222"/>
        <n v="0.41239187286260304"/>
        <n v="0.9080793420416062"/>
        <n v="0.07595886812279518"/>
        <n v="-0.3831741810709538"/>
        <n v="-0.7096090891584825"/>
        <n v="0.21001275988891388"/>
        <n v="0.8758705269151592"/>
        <n v="-0.5095541401273885"/>
        <n v="0.18136749935616803"/>
        <n v="-0.051412944393801285"/>
        <n v="-0.6041020966271651"/>
        <n v="-0.7551574613464149"/>
        <n v="-0.47377224675498464"/>
        <n v="0.4966300789524358"/>
        <n v="-0.6306660219992748"/>
        <n v="0.8309296935359258"/>
        <n v="-0.7758820499613701"/>
        <n v="-0.655803661235164"/>
        <n v="-0.11145902330342627"/>
        <n v="-0.10349962769918097"/>
        <n v="0.44252642847584633"/>
        <n v="0.7817003197407033"/>
        <n v="-0.12986728570802852"/>
        <n v="0.6637908833376256"/>
        <n v="0.3780453055990882"/>
        <n v="0.19477036540395565"/>
        <n v="-0.21470294913805388"/>
        <n v="-0.5668170469975033"/>
        <n v="-0.04648997134670496"/>
        <n v="-0.09337236358177592"/>
        <n v="0.815932407966204"/>
        <n v="-0.5878495918640438"/>
        <n v="0.7321173909780079"/>
        <n v="-0.39519479737460106"/>
        <n v="-0.074315120326926"/>
        <n v="0.9435892532746917"/>
        <n v="-0.8026830990435844"/>
        <n v="-0.5434316353887398"/>
        <n v="-0.546944009118108"/>
        <n v="0.34258960284145945"/>
        <n v="-0.0031914253025833172"/>
        <n v="0.36808581964465303"/>
        <n v="0.028150134048257502"/>
        <n v="-0.7234327857861214"/>
        <n v="-0.061743497295905225"/>
        <n v="0.058473128640883054"/>
        <n v="-0.453867482550913"/>
        <n v="-0.4812320916905445"/>
        <n v="0.5726242595930982"/>
        <n v="-0.24193764217850933"/>
        <n v="-0.7571256523484544"/>
        <n v="0.5945357652180439"/>
        <n v="-0.3606733524355301"/>
        <n v="-0.5941973169009565"/>
        <n v="0.27787836116140285"/>
        <n v="-0.6613375365908579"/>
        <n v="0.6847127555988315"/>
        <n v="-0.7902448815736652"/>
        <n v="0.378537914333283"/>
        <n v="0.16905444126074487"/>
        <n v="0.035658165115435736"/>
        <n v="0.4781205434211513"/>
        <n v="0.8046730303462031"/>
        <n v="0.3294060370009737"/>
        <n v="0.20583305397251084"/>
        <n v="-0.6753753499024515"/>
        <n v="-0.715497497667317"/>
        <n v="0.07538186867684993"/>
        <n v="-0.21445535656974135"/>
        <n v="-0.6461956060734584"/>
        <n v="-0.20084758589374907"/>
        <n v="-0.07095370482291807"/>
        <n v="-0.16614287441073383"/>
        <n v="-0.5611800201139792"/>
        <n v="-0.3583640630238015"/>
        <n v="-0.22360348724572165"/>
        <n v="0.515588333892055"/>
        <n v="-0.09842098220259599"/>
        <n v="-0.5628843483435826"/>
        <n v="-0.728223891135503"/>
        <n v="0.35702313107609784"/>
        <n v="0.3067590987868283"/>
        <n v="-0.11772151898734184"/>
        <n v="0.6299027824337915"/>
        <n v="0.6403963071380319"/>
        <n v="0.4434715426216844"/>
        <n v="0.18172104288360158"/>
        <n v="-0.43709834469328146"/>
        <n v="0.29921117601011615"/>
        <n v="0.2729663245398253"/>
        <n v="0.513047711781889"/>
        <n v="0.6340656544236152"/>
        <n v="-0.30528731236255857"/>
        <n v="0.15750030218783984"/>
        <n v="0.9797303757529401"/>
        <n v="0.2842777142168964"/>
        <n v="0.729559748427673"/>
        <n v="0.8592159932558558"/>
        <n v="0.19002260251856629"/>
        <n v="-0.5722427086825344"/>
        <n v="0.21528785679729068"/>
        <n v="-0.05433630997426975"/>
        <n v="0.21095936890321476"/>
        <n v="-0.11867247737177344"/>
        <n v="-0.6858166189111747"/>
        <n v="-0.3815852375944163"/>
        <n v="-0.6304488214401034"/>
        <n v="-0.7525024216984179"/>
        <n v="-0.18862118141559714"/>
        <n v="-0.6895594085416198"/>
        <n v="-0.2308158014227335"/>
        <n v="0.742621776504298"/>
        <n v="-0.7137472723665939"/>
        <n v="0.4578624475298676"/>
        <n v="0.10632810950208293"/>
        <n v="0.08006437336551997"/>
        <n v="0.12037479682570029"/>
        <n v="-0.20041097546234743"/>
        <n v="-0.1555481059336239"/>
        <n v="-0.26894717756557485"/>
        <n v="0.3158447797042707"/>
        <n v="0.21915820029027566"/>
        <n v="0.2193535925830543"/>
        <n v="-0.2685050798258345"/>
        <n v="0.5875113947128532"/>
        <n v="0.4184955350385955"/>
        <n v="0.011742036490636432"/>
        <n v="-0.6467282215977519"/>
        <n v="-0.7530903940252383"/>
        <n v="0.5859811284421335"/>
        <n v="0.37710771672287247"/>
        <n v="-0.11283693944155693"/>
        <n v="0.9119496855345912"/>
        <n v="0.14887652752836056"/>
        <n v="-0.32187784867821334"/>
        <n v="-0.3755910830893944"/>
        <n v="-0.016863037098681644"/>
        <n v="-0.24610177686449908"/>
        <n v="-0.5659373866795601"/>
        <n v="0.6084271385397046"/>
        <n v="0.5010710808179162"/>
        <n v="-0.7982297324481995"/>
        <n v="0.15444126074498565"/>
        <n v="-0.4175949900644307"/>
        <n v="-0.2088184129532985"/>
        <n v="-0.7716497339138848"/>
        <n v="-0.6785100286532951"/>
        <n v="0.8273258298902977"/>
        <n v="-0.04052507978563258"/>
        <n v="0.8156876790830945"/>
        <n v="-0.5943105907077986"/>
        <n v="0.35420848387528436"/>
        <n v="-0.5529403875813049"/>
        <n v="-0.2692391923262232"/>
        <n v="-0.43060390494929623"/>
        <n v="0.25824977210574285"/>
        <n v="0.4079226397489184"/>
        <n v="-0.4378058202420808"/>
        <n v="0.16173320350535536"/>
        <n v="-0.7491120439134646"/>
        <n v="0.290765139610782"/>
        <n v="0.9556362941007746"/>
        <n v="0.25067742518215197"/>
        <n v="-0.14064442107276032"/>
        <n v="0.7882384496747803"/>
        <n v="-0.3596508119905001"/>
        <n v="-0.5974842767295597"/>
        <n v="0.6972652689152232"/>
        <n v="-0.6903372835004558"/>
        <n v="-0.3108304121842138"/>
        <n v="-0.27029976250080245"/>
        <n v="0.3005730659025787"/>
        <n v="-0.4980399655798834"/>
        <n v="-0.16704871060171922"/>
        <n v="0.6002583144979012"/>
        <n v="-0.39146143192629623"/>
        <n v="-0.7292203927792105"/>
        <n v="-0.17709381076912767"/>
        <n v="0.5234240687679081"/>
        <n v="-0.23367198838896952"/>
        <n v="0.39983310867193"/>
        <n v="0.3667189058270408"/>
        <n v="0.29954885900748973"/>
        <n v="-0.6865021770682148"/>
        <n v="-0.6423064029500503"/>
        <n v="-0.2654333008763389"/>
        <n v="-0.3578611428915518"/>
        <n v="0.12889699179580671"/>
        <n v="-0.32691926205118027"/>
        <n v="0.1301402999516208"/>
        <n v="-0.08466558626428977"/>
        <n v="0.42217087104435436"/>
        <n v="0.16284370993018937"/>
        <n v="0.3328114650448606"/>
        <n v="-0.7142091152815013"/>
        <n v="-0.559283430423547"/>
        <n v="0.8005408189544168"/>
        <n v="0.2610058412879328"/>
        <n v="-0.19755704470268898"/>
        <n v="0.06223993692786123"/>
        <n v="0.8362772648200187"/>
        <n v="-0.3744145590793524"/>
        <n v="-0.8020065272573431"/>
        <n v="0.7134050525806839"/>
        <n v="0.4346399270738377"/>
        <n v="-0.17684594348222427"/>
        <n v="0.4309018378686422"/>
        <n v="-0.6157855547282204"/>
        <n v="0.25234556781505657"/>
        <n v="0.40455764075067036"/>
        <n v="-0.6195523630151987"/>
        <n v="0.1737098344693282"/>
        <n v="0.0905929256086182"/>
        <n v="0.40147241610096573"/>
        <n v="0.6951888924765901"/>
        <n v="0.4448124284940085"/>
        <n v="0.5161247156429813"/>
        <n v="-0.43373925501432664"/>
        <n v="-0.18518070832829692"/>
        <n v="0.10419436721866293"/>
        <n v="0.04886308659893568"/>
        <n v="0.15004128199354483"/>
        <n v="0.5680134882880712"/>
        <n v="-0.7191041373298465"/>
        <n v="0.39410187667560326"/>
        <n v="-0.5783574687561992"/>
        <n v="-0.18985969771782985"/>
        <n v="-0.6040130545146863"/>
        <n v="0.5978804118745107"/>
        <n v="-0.6666985371450425"/>
        <n v="-0.5570647219690064"/>
        <n v="-0.2203707873602042"/>
        <n v="-0.5695968086622026"/>
        <n v="0.7957982068780944"/>
        <n v="0.5858262888178354"/>
        <n v="0.4012738853503184"/>
        <n v="-0.11872263713623488"/>
        <n v="-0.6602435530085959"/>
        <n v="-0.48338913211434453"/>
        <n v="-0.41386162461612575"/>
        <n v="0.4041856774449515"/>
        <n v="0.07593555427177612"/>
        <n v="0.6366762177650429"/>
        <n v="-0.20273211739097807"/>
        <n v="0.032589016294508166"/>
        <n v="0.015967109666316093"/>
        <n v="0.61217443518727"/>
        <n v="-0.7452142206016408"/>
        <n v="0.27750730282375846"/>
        <n v="-0.465303385853168"/>
        <n v="0.7220918538384176"/>
        <n v="-0.567828418230563"/>
        <n v="0.48087199932140123"/>
        <n v="-0.7197452229299364"/>
        <n v="-0.7246648793565684"/>
        <n v="0.7148400909942458"/>
        <n v="0.009005197630847173"/>
        <n v="0.3836461126005364"/>
        <n v="0.25120643431635403"/>
        <n v="-0.37279460468477155"/>
        <n v="-0.42593336009634686"/>
        <n v="-0.694257064721969"/>
        <n v="0.8462031628437099"/>
        <n v="-0.5897435897435898"/>
        <n v="-0.22980481550078358"/>
        <n v="0.2041591552922999"/>
        <n v="0.6789853206283802"/>
        <n v="-0.667758940019946"/>
        <n v="-0.6314269208549972"/>
        <n v="0.1357841874839043"/>
        <n v="0.8238244893025504"/>
        <n v="0.7480410314859667"/>
        <n v="0.6045959304191539"/>
        <n v="-0.3633748160042821"/>
        <n v="-0.19582561618464167"/>
        <n v="0.515059785076434"/>
        <n v="-0.3298682461017769"/>
        <n v="-0.4778818211172102"/>
        <n v="-0.14867578162348216"/>
        <n v="0.29529287119721515"/>
        <n v="0.8413013291013689"/>
        <n v="-0.7963972736124635"/>
        <n v="0.687481182633829"/>
        <n v="-0.18896848137535827"/>
        <n v="-0.6346704871060171"/>
        <n v="0.45449051130182516"/>
        <n v="-0.01576221571718084"/>
        <n v="1.0078401376804664"/>
        <n v="-0.6754484725662389"/>
        <n v="-0.36853561510170385"/>
        <n v="-0.19109820996613447"/>
        <n v="0.6938337801608581"/>
        <n v="-0.5327710533092969"/>
        <n v="-0.3200489312387329"/>
        <n v="-0.2035816618911176"/>
        <n v="-0.8026124818577649"/>
        <n v="0.3052822763735432"/>
        <n v="-0.09096412895413952"/>
        <n v="-0.4382899312918823"/>
        <n v="-0.7519721774535584"/>
        <n v="0.4699464391985717"/>
        <n v="0.5524744848834968"/>
        <n v="0.5217905479392055"/>
        <n v="-0.27300600061320135"/>
        <n v="0.28501768811549866"/>
        <n v="0.8594514852812982"/>
        <n v="0.6619872379216043"/>
        <n v="-0.4629656160458453"/>
        <n v="0.16354228518110103"/>
        <n v="0.8950580030845572"/>
        <n v="-0.29984130132910136"/>
        <n v="0.343988702740869"/>
        <n v="-0.05172517613054739"/>
        <n v="-0.293987747542385"/>
        <n v="-0.40982714855554214"/>
        <n v="-0.7055136059267701"/>
        <n v="0.8157352562451714"/>
        <n v="-0.33144475920679883"/>
        <n v="-0.33172758475341724"/>
        <n v="-0.5365696626319856"/>
        <n v="-0.3373694566369002"/>
        <n v="-0.3620516258799866"/>
        <n v="-0.4774521611133413"/>
        <n v="-0.4022120149885169"/>
        <n v="-0.41640512342013747"/>
        <n v="0.18542709305284588"/>
        <n v="0.7400580200652724"/>
        <n v="0.5501738909152598"/>
        <n v="-0.5590332507693463"/>
        <n v="-0.12143202709240442"/>
        <n v="0.6083487676307167"/>
        <n v="-0.7626735550532774"/>
        <n v="-0.1352201257861635"/>
        <n v="-0.6005298970313724"/>
        <n v="-0.6873549121808068"/>
        <n v="-0.8021860122041172"/>
        <n v="-0.010103037602034015"/>
        <n v="0.4373456975973986"/>
        <n v="-0.7563157258551916"/>
        <n v="-0.1258887876025524"/>
        <n v="-0.23377462060058118"/>
        <n v="0.7755405673477487"/>
        <n v="0.8164556962025316"/>
        <n v="-0.2295034079844207"/>
        <n v="-0.6564325402478985"/>
        <n v="-0.7755252241402382"/>
        <n v="-0.6463187624366133"/>
        <n v="0.7294669795507878"/>
        <n v="-0.06236169784751555"/>
        <n v="0.42122687439143136"/>
        <n v="0.014079785450888282"/>
        <n v="-0.5504021447721179"/>
        <n v="0.6615710609959136"/>
        <n v="-0.35117012002950443"/>
        <n v="-0.031876790830945634"/>
        <n v="0.4573301040034192"/>
        <n v="0.08484078664973072"/>
        <n v="-0.26685893629654767"/>
        <n v="-0.055495978552278724"/>
        <n v="0.559920405674305"/>
        <n v="-0.22898938713070083"/>
        <n v="-0.23643800710789242"/>
        <n v="-0.030711459800174312"/>
        <n v="-0.16072282244956493"/>
        <n v="-0.5532447525515116"/>
        <n v="-0.06553694075357863"/>
        <n v="0.7145621673923561"/>
        <n v="-0.22082639624640532"/>
        <n v="-0.043222266827244726"/>
        <n v="-0.2442390397329739"/>
        <n v="0.007935749115594248"/>
        <n v="-0.26809651474530827"/>
        <n v="0.11376264425131777"/>
        <n v="-0.7123700972175662"/>
        <n v="-0.40816618911174785"/>
        <n v="0.10983446932814012"/>
        <n v="0.5820594805308572"/>
        <n v="0.5725250815907166"/>
        <n v="0.02692691266562175"/>
        <n v="0.7468209197820059"/>
        <n v="0.1987527660430497"/>
        <n v="0.5647637628297564"/>
        <n v="-0.676102445599846"/>
        <n v="-0.8156218571907475"/>
        <n v="-0.5326508764886926"/>
        <n v="0.29862267292265776"/>
        <n v="0.0512647301658784"/>
        <n v="0.7332396627860296"/>
        <n v="0.15917302288237645"/>
        <n v="-0.015420717398592076"/>
        <n v="0.7516392345778133"/>
        <n v="-0.6162408636759874"/>
        <n v="-0.5978383247016439"/>
        <n v="-0.45905258932155757"/>
        <n v="-0.3031404669090272"/>
        <n v="0.4424794895168642"/>
        <n v="0.42708682534361375"/>
        <n v="-0.38617428507093"/>
        <n v="0.6118024889602569"/>
        <n v="0.22960077896786757"/>
        <n v="-0.7373746581586145"/>
        <n v="0.5783260178598457"/>
        <n v="-0.08430452550325407"/>
        <n v="0.19206901770849094"/>
        <n v="0.6986812789787438"/>
        <n v="0.6158283145304944"/>
        <n v="0.7110291652698626"/>
        <n v="0.02224912971091264"/>
        <n v="-0.5547303626388331"/>
        <n v="0.06415527297064738"/>
        <n v="0.6450080583594875"/>
        <n v="-0.22550143266475653"/>
        <n v="0.2390211196781764"/>
        <n v="0.575229801644896"/>
        <n v="0.5945815191098209"/>
        <n v="-0.03287803698779168"/>
        <n v="0.2348137535816619"/>
        <n v="0.011825046302892162"/>
        <n v="-0.2574542152262751"/>
        <n v="0.2619948539427879"/>
        <n v="-0.17756557476127166"/>
        <n v="0.7666330865927904"/>
        <n v="-0.6451061404758514"/>
        <n v="0.6449220523686998"/>
        <n v="0.04762673555053265"/>
        <n v="-0.5507071195455095"/>
        <n v="0.298760507194757"/>
        <n v="0.1849324233908738"/>
        <n v="0.20701190954101434"/>
        <n v="0.3447505584512285"/>
        <n v="0.04841617306206536"/>
        <n v="-0.3542364151429307"/>
        <n v="-0.6446932814021422"/>
        <n v="-0.4897860510093074"/>
        <n v="0.45179355229302254"/>
        <n v="0.25809696238181457"/>
        <n v="-0.32517599731813607"/>
        <n v="0.6725477208406092"/>
        <n v="-0.7791611265562675"/>
        <n v="-0.3494597953915288"/>
        <n v="0.6341620923474329"/>
        <n v="-0.7524300733981353"/>
        <n v="-0.27624576681180457"/>
        <n v="0.6841690544412606"/>
        <n v="0.2699658016495674"/>
        <n v="-0.10023466309084816"/>
        <n v="0.5197707736389683"/>
        <n v="0.0804559168622192"/>
        <n v="-0.7698424068767908"/>
        <n v="-0.11498491451558834"/>
        <n v="0.5757061667656289"/>
        <n v="-0.25371691043152433"/>
        <n v="0.5380920213165201"/>
        <n v="0.6544602734487046"/>
        <n v="0.10995641971169956"/>
        <n v="-0.4123779072313959"/>
        <n v="-0.4800536372779082"/>
        <n v="0.6914756446991404"/>
        <n v="0.7091128545564274"/>
        <n v="-0.16039930946483527"/>
        <n v="-0.47702044790652387"/>
        <n v="-0.11804922515952598"/>
        <n v="0.050939512066926484"/>
        <n v="-0.4118194842406877"/>
        <n v="0.05632669483001407"/>
        <n v="-0.5904743565055524"/>
        <n v="0.20036054596961117"/>
        <n v="-0.24080520659906157"/>
        <n v="-0.5984319724639067"/>
        <n v="0.28495403967102084"/>
        <n v="-0.740506329113924"/>
        <n v="0.6578947368421053"/>
        <n v="0.17273252455228172"/>
        <n v="0.3219160442956477"/>
        <n v="-0.7186962750716333"/>
        <n v="-0.7547106551331053"/>
        <n v="-0.5551477881372744"/>
        <n v="-0.4426180289724537"/>
        <n v="0.19784503525907748"/>
        <n v="-0.3214884344619511"/>
        <n v="0.8554826278075509"/>
        <n v="0.8142233683792899"/>
        <n v="-0.018124887095803066"/>
        <n v="0.2755348724767315"/>
        <n v="0.12706760539485962"/>
        <n v="0.5561834032935098"/>
        <n v="-0.4051606621226874"/>
        <n v="-0.659591350922436"/>
        <n v="-0.7024221453287197"/>
        <n v="0.3017338437288899"/>
        <n v="-0.5860940289625074"/>
        <n v="-0.0589532615149716"/>
        <n v="0.5679124886052871"/>
        <n v="-0.07639353666698534"/>
        <n v="-0.10902937265804435"/>
        <n v="0.3738784849762147"/>
        <n v="-0.005969574427113544"/>
        <n v="0.3969226385525002"/>
        <n v="-0.7580075742987356"/>
        <n v="0.7140618321698247"/>
        <n v="0.6650904450949484"/>
        <n v="-0.11511139812721993"/>
        <n v="0.43814951391216894"/>
        <n v="0.9225352112676057"/>
        <n v="0.45769193995601887"/>
        <n v="-0.02906169410831183"/>
        <n v="0.8368158005660262"/>
        <n v="0.6951844992164125"/>
        <n v="0.48323782234957013"/>
        <n v="0.5330087633885101"/>
        <n v="0.3554937749304967"/>
        <n v="0.5451474893042108"/>
        <n v="-0.15243553008596"/>
        <n v="0.4094071992506356"/>
        <n v="0.5916173062065413"/>
        <n v="-0.156707142174204"/>
        <n v="-0.15335613223362166"/>
        <n v="-0.5805411824582238"/>
        <n v="0.1321325866505223"/>
        <n v="0.46347925573553317"/>
        <n v="0.4072790294627382"/>
        <n v="-0.3083629318695512"/>
        <n v="-0.7460859092733843"/>
        <n v="0.7600674469351321"/>
        <n v="-0.4827610770765066"/>
        <n v="-0.4261290782162701"/>
        <n v="-0.35271364680285267"/>
        <n v="0.8465883561204184"/>
        <n v="0.49910933921452183"/>
        <n v="-0.15334384147714486"/>
        <n v="0.11133413622373878"/>
        <n v="-0.4540333936833635"/>
        <n v="0.090069804098176"/>
        <n v="0.8009790886014745"/>
        <n v="-0.31792348799728565"/>
        <n v="0.253554040895813"/>
        <n v="-0.5404493889886558"/>
        <n v="-0.3521089746397442"/>
        <n v="0.758079565696836"/>
        <n v="0.27865329512893977"/>
        <n v="-0.39864547710051634"/>
        <n v="0.03753581661891103"/>
        <n v="-0.21650387630852785"/>
        <n v="0.3493670886075948"/>
        <n v="0.34229319579448525"/>
        <n v="-0.7871311078858249"/>
        <n v="-0.4605974761782127"/>
        <n v="0.7289650037230082"/>
        <n v="-0.7978552278820376"/>
        <n v="0.7997097242380262"/>
        <n v="-0.43252845185765043"/>
        <n v="-0.4302957151478576"/>
        <n v="-0.7005842259006816"/>
        <n v="-0.4310595065312046"/>
        <n v="0.4496605794052968"/>
        <n v="-0.5027813061188735"/>
        <n v="0.28813727435032743"/>
        <n v="0.6616374974854153"/>
        <n v="-0.4155781325592647"/>
        <n v="-0.45457250545526673"/>
        <n v="0.34117883725608533"/>
        <n v="-0.31406084455880123"/>
        <n v="-0.6035760079783445"/>
        <n v="0.31004951157500327"/>
        <n v="-0.12460768513020615"/>
        <n v="0.16454727985467055"/>
        <n v="0.6168451801363193"/>
        <n v="0.12181110029211295"/>
        <n v="-0.18860528714676394"/>
        <n v="0.5090555014605647"/>
        <n v="0.6381025739777906"/>
        <n v="0.13967828418230566"/>
        <n v="0.5496796808896409"/>
        <n v="0.14212199182685037"/>
        <n v="-0.19648046496609628"/>
        <n v="-0.568136594133128"/>
        <n v="0.6865010591180434"/>
        <n v="0.4278375438172366"/>
        <n v="0.3663323782234955"/>
        <n v="-0.6747298976957644"/>
        <n v="0.612193946826683"/>
        <n v="0.6815286624203822"/>
        <n v="-0.04402515723270439"/>
        <n v="0.8001072889425334"/>
        <n v="0.4152175757061667"/>
        <n v="0.6816273813367775"/>
        <n v="0.15633546034639934"/>
        <n v="-0.17567223683094413"/>
        <n v="0.55171676877048"/>
        <n v="0.13380929438044764"/>
        <n v="0.6633212899772514"/>
        <n v="0.39555873925501417"/>
        <n v="-0.47389132738005146"/>
        <n v="0.14501091053362436"/>
        <n v="0.16968033580884723"/>
        <n v="-0.42842775729131743"/>
        <n v="0.13004248609346947"/>
        <n v="0.4358974358974359"/>
        <n v="0.02833866234505722"/>
        <n v="-0.4579282601407979"/>
        <n v="0.6074498567335243"/>
        <n v="-0.11020966271649957"/>
        <n v="0.5632254390959659"/>
        <n v="-0.6835881038938285"/>
        <n v="-0.2682603721322334"/>
        <n v="-0.5316692856279464"/>
        <n v="0.1854094142576055"/>
        <n v="-0.333397074290085"/>
        <n v="0.8683369103412026"/>
        <n v="-0.02970508619461465"/>
        <n v="0.658981233243968"/>
        <n v="-0.1338592159932559"/>
        <n v="-0.14562479819179852"/>
        <n v="0.8056357917709736"/>
        <n v="-0.43497875695326527"/>
        <n v="0.6070390700678074"/>
        <n v="-0.49599566447883425"/>
        <n v="-0.28520891098575385"/>
        <n v="-0.5830284357147442"/>
        <n v="0.2583606136465755"/>
        <n v="0.011962750716332238"/>
        <n v="0.6258310165598935"/>
        <n v="-0.42702615434291247"/>
        <n v="-0.1339170744269894"/>
        <n v="0.2621695533272561"/>
        <n v="0.27681098332028653"/>
        <n v="0.19656193664692245"/>
        <n v="-0.13565683646112592"/>
        <n v="0.23277131004951146"/>
        <n v="0.26483405967147156"/>
        <n v="0.16394376067627348"/>
        <n v="-0.3168900804289544"/>
        <n v="-0.03679171433732775"/>
        <n v="0.8252375217449484"/>
        <n v="-0.31514368743945753"/>
        <n v="-0.3924339106654512"/>
        <n v="-0.7265001287664177"/>
        <n v="-0.2869271993737581"/>
        <n v="0.41896080218778486"/>
        <n v="0.3899271935750206"/>
        <n v="0.7407260464193612"/>
        <n v="0.2166790766939688"/>
        <n v="0.21375524701323867"/>
        <n v="0.799179580674567"/>
        <n v="0.6549114575450281"/>
        <n v="-0.397310674083483"/>
        <n v="0.5418841161514787"/>
        <n v="0.567263610315186"/>
        <n v="-0.7281664054708648"/>
        <n v="-0.7847984043311014"/>
        <n v="-0.5363307908470494"/>
        <n v="-0.7844206426484908"/>
        <n v="-0.433680011397635"/>
        <n v="-0.12233366913407206"/>
        <n v="-0.38282035807684567"/>
        <n v="0.33485254691689015"/>
        <n v="0.4054854493947979"/>
        <n v="-0.34284058717486476"/>
        <n v="-0.601366058695489"/>
        <n v="0.3935694427656229"/>
        <n v="-0.6327166504381694"/>
        <n v="0.06717516392345768"/>
        <n v="0.7063641540011387"/>
        <n v="-0.6128121188779768"/>
        <n v="-0.7871981694466189"/>
        <n v="0.23080210856247318"/>
        <n v="-0.34292768109833205"/>
        <n v="0.7872593095258291"/>
        <n v="-0.30485449394797837"/>
        <n v="0.1498851686208147"/>
        <n v="0.6345487693710119"/>
        <n v="0.5300268096514746"/>
        <n v="-0.5471469653397911"/>
        <n v="0.04081895441668815"/>
        <n v="-0.31062855204003736"/>
        <n v="-0.6907926187972082"/>
        <n v="-0.18969970939618985"/>
        <n v="0.7274536234674882"/>
        <n v="-0.5120643431635388"/>
        <n v="0.39656675383893236"/>
        <n v="-0.6986553370417414"/>
        <n v="-0.6581251609580221"/>
        <n v="-0.3656322431109966"/>
        <n v="0.8500241896468312"/>
        <n v="0.1775688900334793"/>
        <n v="-0.7552292263610315"/>
        <n v="0.03715379419049758"/>
        <n v="0.5382569805391029"/>
        <n v="-0.6207063376874697"/>
        <n v="-0.4752101438951418"/>
        <n v="-0.06774449513985314"/>
        <n v="-0.308653103270667"/>
        <n v="0.02667549828385618"/>
        <n v="-0.26914618988431016"/>
        <n v="-0.25142474019443517"/>
        <n v="-0.5863849316378238"/>
        <n v="0.33068835548502284"/>
        <n v="0.6423284131225089"/>
        <n v="-0.7050641295839104"/>
        <n v="0.24749096748293864"/>
        <n v="0.20437384242769618"/>
        <n v="0.3974567358256047"/>
        <n v="-0.7720834406386814"/>
        <n v="-0.539054642976869"/>
        <n v="0.707774798927614"/>
        <n v="0.18967867575462516"/>
        <n v="0.6464141627024746"/>
        <n v="-0.5015087507543754"/>
        <n v="0.5530800264948514"/>
        <n v="0.44078567302137484"/>
        <n v="-0.4312119486662871"/>
        <n v="-0.7976047102903787"/>
        <n v="-0.14284502502332685"/>
        <n v="0.7646832274215287"/>
        <n v="0.8529061694108313"/>
        <n v="0.7589674824002681"/>
        <n v="0.08577939835916126"/>
        <n v="-0.5271840297836832"/>
        <n v="-0.404284864114263"/>
        <n v="-0.6931232091690545"/>
        <n v="0.6735063367531684"/>
        <n v="0.7703998948797688"/>
        <n v="-0.7844555873925502"/>
        <n v="0.15710455764075082"/>
        <n v="-0.6683930045785484"/>
        <n v="0.39100762745885187"/>
        <n v="0.05793573515092487"/>
        <n v="0.589339591015756"/>
        <n v="0.4086490110626886"/>
        <n v="0.11171461141286132"/>
        <n v="-0.41595259799453055"/>
        <n v="-0.021455336637253852"/>
        <n v="-0.27410322385348873"/>
        <n v="-0.22388331814038287"/>
        <n v="-0.5568646543330088"/>
        <n v="0.15264333581533873"/>
        <n v="0.4852562451712594"/>
        <n v="-0.11101103355100206"/>
        <n v="0.574599342855227"/>
        <n v="-0.6266634551695068"/>
        <n v="0.051017113335485975"/>
        <n v="0.06774251821521049"/>
        <n v="-0.33070985318601487"/>
        <n v="-0.025929619603932252"/>
        <n v="-0.33359008922267164"/>
        <n v="-0.5781297043415428"/>
        <n v="-0.7220476248035779"/>
        <n v="0.59541591552923"/>
        <n v="0.9623147589351573"/>
        <n v="-0.24394575395544082"/>
        <n v="-0.6578098025970127"/>
        <n v="0.6257163323782233"/>
        <n v="-0.1925250683682771"/>
        <n v="-0.0017958039507687262"/>
        <n v="0.07390457643622206"/>
        <n v="0.37310300290603804"/>
        <n v="-0.280300859598854"/>
        <n v="-0.6846948659993543"/>
        <n v="-0.26686840072109197"/>
        <n v="-0.4065580366123517"/>
        <n v="-0.21183367581288537"/>
        <n v="0.12470667113643974"/>
        <n v="-0.42024539877300615"/>
        <n v="0.8436263662576275"/>
        <n v="-0.7744920539126936"/>
        <n v="0.5080479011073913"/>
        <n v="0.007238605898123307"/>
        <n v="-0.23300506740606175"/>
        <n v="-0.08905883061359676"/>
        <n v="0.49256617913695133"/>
        <n v="0.8179684880992288"/>
        <n v="0.31134695496925224"/>
        <n v="0.1652698625544753"/>
        <n v="0.12358345068061416"/>
        <n v="-0.3015821762996448"/>
        <n v="-0.1414872929658687"/>
        <n v="-0.7287898033375673"/>
        <n v="-0.5482627807551033"/>
        <n v="-0.44612083417152815"/>
        <n v="0.07600305369412164"/>
        <n v="0.2270266419717908"/>
        <n v="-0.4527248218756018"/>
        <n v="0.5953704822917925"/>
        <n v="0.4594004749983951"/>
        <n v="0.04987483150394745"/>
        <n v="4.986465308447485E-4"/>
        <n v="-0.44409524960715585"/>
        <n v="-0.7726526891522334"/>
        <n v="0.3975863224941334"/>
        <n v="-0.24113121527283088"/>
        <n v="0.2694143927116639"/>
        <n v="-0.25793876746528843"/>
        <n v="0.646095221409487"/>
        <n v="-0.207002578853402"/>
        <n v="0.5849856213107312"/>
        <n v="-0.13164268414304037"/>
        <n v="-0.22742625534789462"/>
        <n v="0.2920152424335334"/>
        <n v="-0.4511952790991751"/>
        <n v="0.5970223678586692"/>
        <n v="0.7427005929595436"/>
        <n v="0.005199306759098743"/>
        <n v="0.7170487106017192"/>
        <n v="0.04957971220971635"/>
        <n v="-0.020174012811932318"/>
        <n v="-0.4638837441230945"/>
        <n v="-0.467231723929166"/>
        <n v="0.7770819533931475"/>
        <n v="0.2459438578418749"/>
        <n v="0.2849531804972554"/>
        <n v="-0.7446772414963101"/>
        <n v="-0.05069422021310954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"/>
        <n v="0.5381465647016317"/>
        <n v="0.026696105981533602"/>
        <n v="0.8258282086887523"/>
        <n v="-0.7911846256812315"/>
        <n v="-0.42512171372930874"/>
        <n v="-0.039476217985750184"/>
        <n v="-0.355927851595096"/>
        <n v="0.8391424353296102"/>
        <n v="-0.7302987380891064"/>
        <n v="0.10159670357970652"/>
        <n v="-0.4304165321278657"/>
        <n v="0.3034852546916891"/>
        <n v="-0.7769032843953383"/>
        <n v="-0.172747820471424"/>
        <n v="0.16481001987113864"/>
        <n v="-0.20143664316061494"/>
        <n v="-0.21004197610590902"/>
        <n v="0.5230267134050524"/>
        <n v="-0.36717620778765714"/>
        <n v="-0.38198857436292455"/>
        <n v="-0.7319418720615473"/>
        <n v="0.35232452142206006"/>
        <n v="0.033982473222979426"/>
        <n v="0.4883758475944462"/>
        <n v="-0.0947410678442393"/>
        <n v="-0.5517640999227401"/>
        <n v="-0.5768937144795996"/>
        <n v="0.12156160458452714"/>
        <n v="-0.6707383773928897"/>
        <n v="-0.29443938012762083"/>
        <n v="0.3412372119705518"/>
        <n v="-0.07423053711526861"/>
        <n v="0.5028146813780678"/>
        <n v="0.8608032937672463"/>
        <n v="0.6372537169104313"/>
        <n v="0.7933639550344493"/>
        <n v="0.24956183057448866"/>
        <n v="0.29457270639429467"/>
        <n v="-0.4425123735272217"/>
        <n v="0.5326344576116682"/>
        <n v="-0.3182077000569401"/>
        <n v="0.017643566036135372"/>
        <n v="-0.23747540487361884"/>
        <n v="-0.6346195961631116"/>
        <n v="0.8385269121813033"/>
        <n v="-0.2087440488164689"/>
        <n v="-0.5731299344306169"/>
        <n v="-0.2186074191628644"/>
        <n v="0.21289398280802274"/>
        <n v="0.4816482774149966"/>
        <n v="-0.49300195097124444"/>
        <n v="-0.5914835863940962"/>
        <n v="0.32108925465007365"/>
        <n v="0.28056743976581844"/>
        <n v="-0.6570304222794006"/>
        <n v="0.58646818212298"/>
        <n v="-0.47641364811002584"/>
        <n v="0.747215029806708"/>
        <n v="-0.6043720244082345"/>
        <n v="0.15477723409734745"/>
        <n v="-0.6557230708192818"/>
        <n v="0.04141576341496056"/>
        <n v="0.05470632035390466"/>
        <n v="0.7476731536322976"/>
        <n v="-0.13923290550176393"/>
        <n v="0.13846246827027664"/>
        <n v="-0.72746432227374"/>
        <n v="0.5380372492836676"/>
        <n v="0.14878159527773582"/>
        <n v="-0.8116595856510884"/>
        <n v="0.7605647517039922"/>
        <n v="-0.31683381088825224"/>
        <n v="-0.37993044363389605"/>
        <n v="-0.5705838552844816"/>
        <n v="0.7756608933454876"/>
      </sharedItems>
    </cacheField>
    <cacheField name="Поставщик товара" numFmtId="0">
      <sharedItems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">
      <sharedItems containsSemiMixedTypes="0" containsString="0" containsNumber="1">
        <n v="240.5"/>
        <n v="238.16666666666666"/>
        <n v="232.44444444444446"/>
        <n v="236.27586206896552"/>
        <n v="159.2"/>
        <n v="281.96875"/>
        <n v="260.6470588235294"/>
        <n v="276.2105263157895"/>
        <n v="291.45454545454544"/>
        <n v="257.7826086956522"/>
        <n v="311.2"/>
        <n v="240.26666666666668"/>
        <n v="212.8125"/>
        <n v="320.84615384615387"/>
        <n v="260.1578947368421"/>
        <n v="316.5833333333333"/>
        <n v="276.6756756756757"/>
        <n v="311.3333333333333"/>
        <n v="253.6875"/>
        <n v="329.27272727272725"/>
        <n v="269.70588235294116"/>
        <n v="238.72222222222223"/>
        <n v="280.23809523809524"/>
        <n v="318.8181818181818"/>
        <n v="281.73333333333335"/>
        <n v="303.8235294117647"/>
        <n v="216.4"/>
        <n v="288.23809523809524"/>
        <n v="242.8181818181818"/>
        <n v="235.55555555555554"/>
        <n v="317.85714285714283"/>
        <n v="323.0769230769231"/>
        <n v="254.1818181818182"/>
        <n v="248.5"/>
        <n v="250.30769230769232"/>
        <n v="250.25925925925927"/>
        <n v="249.5"/>
        <n v="272.3529411764706"/>
        <n v="264.0"/>
        <n v="222.2"/>
        <n v="273.5833333333333"/>
        <n v="274.77777777777777"/>
        <n v="312.6666666666667"/>
        <n v="287.1"/>
        <n v="320.57142857142856"/>
        <n v="293.4117647058824"/>
        <n v="321.6363636363636"/>
        <n v="271.0"/>
        <n v="281.75"/>
        <n v="272.25"/>
        <n v="280.6666666666667"/>
        <n v="331.1666666666667"/>
        <n v="243.3"/>
        <n v="322.54545454545456"/>
        <n v="292.6666666666667"/>
        <n v="293.6666666666667"/>
        <n v="247.66666666666666"/>
        <n v="316.6"/>
        <n v="241.83333333333334"/>
        <n v="256.9"/>
        <n v="289.8888888888889"/>
        <n v="274.2857142857143"/>
        <n v="168.0"/>
        <n v="266.27272727272725"/>
        <n v="236.91666666666666"/>
        <n v="258.3076923076923"/>
        <n v="273.625"/>
        <n v="251.91666666666666"/>
        <n v="215.85714285714286"/>
        <n v="273.7"/>
        <n v="181.57142857142858"/>
        <n v="268.0"/>
        <n v="82.0"/>
        <n v="252.0909090909091"/>
        <n v="320.25"/>
        <n v="193.5"/>
        <n v="208.0"/>
        <n v="369.2"/>
        <n v="140.0"/>
        <n v="187.0"/>
      </sharedItems>
    </cacheField>
    <cacheField name="Дата регистрации клиента" numFmtId="165">
      <sharedItems containsSemiMixedTypes="0" containsDate="1" containsString="0">
        <d v="2022-07-05T00:00:00Z"/>
        <d v="2022-07-08T00:00:00Z"/>
        <d v="2022-10-08T00:00:00Z"/>
        <d v="2022-03-23T00:00:00Z"/>
        <d v="2022-01-16T00:00:00Z"/>
        <d v="2022-01-21T00:00:00Z"/>
        <d v="2022-06-26T00:00:00Z"/>
        <d v="2022-02-27T00:00:00Z"/>
        <d v="2022-05-03T00:00:00Z"/>
        <d v="2022-05-18T00:00:00Z"/>
        <d v="2022-04-03T00:00:00Z"/>
        <d v="2022-04-05T00:00:00Z"/>
        <d v="2022-10-24T00:00:00Z"/>
        <d v="2022-08-21T00:00:00Z"/>
        <d v="2022-09-16T00:00:00Z"/>
        <d v="2022-04-27T00:00:00Z"/>
        <d v="2022-02-11T00:00:00Z"/>
        <d v="2022-11-28T00:00:00Z"/>
        <d v="2022-11-02T00:00:00Z"/>
        <d v="2022-07-14T00:00:00Z"/>
        <d v="2022-04-24T00:00:00Z"/>
        <d v="2022-06-16T00:00:00Z"/>
        <d v="2022-01-02T00:00:00Z"/>
        <d v="2022-04-02T00:00:00Z"/>
        <d v="2022-05-08T00:00:00Z"/>
        <d v="2022-08-11T00:00:00Z"/>
        <d v="2022-02-17T00:00:00Z"/>
        <d v="2022-04-01T00:00:00Z"/>
        <d v="2022-01-23T00:00:00Z"/>
        <d v="2022-05-12T00:00:00Z"/>
        <d v="2022-03-29T00:00:00Z"/>
        <d v="2022-10-23T00:00:00Z"/>
        <d v="2022-07-19T00:00:00Z"/>
        <d v="2022-09-03T00:00:00Z"/>
        <d v="2022-09-29T00:00:00Z"/>
        <d v="2022-05-26T00:00:00Z"/>
        <d v="2022-11-27T00:00:00Z"/>
        <d v="2022-07-25T00:00:00Z"/>
        <d v="2022-12-29T00:00:00Z"/>
        <d v="2022-12-15T00:00:00Z"/>
        <d v="2022-11-16T00:00:00Z"/>
        <d v="2022-02-16T00:00:00Z"/>
        <d v="2022-09-23T00:00:00Z"/>
        <d v="2022-12-05T00:00:00Z"/>
        <d v="2022-08-02T00:00:00Z"/>
        <d v="2022-07-24T00:00:00Z"/>
        <d v="2022-07-11T00:00:00Z"/>
        <d v="2022-03-01T00:00:00Z"/>
        <d v="2022-10-21T00:00:00Z"/>
        <d v="2022-08-22T00:00:00Z"/>
        <d v="2022-05-13T00:00:00Z"/>
        <d v="2022-10-16T00:00:00Z"/>
        <d v="2022-05-02T00:00:00Z"/>
        <d v="2022-03-02T00:00:00Z"/>
        <d v="2022-10-10T00:00:00Z"/>
        <d v="2022-01-07T00:00:00Z"/>
        <d v="2022-05-29T00:00:00Z"/>
        <d v="2022-11-17T00:00:00Z"/>
        <d v="2022-03-16T00:00:00Z"/>
        <d v="2022-04-10T00:00:00Z"/>
        <d v="2022-09-28T00:00:00Z"/>
        <d v="2022-08-10T00:00:00Z"/>
        <d v="2022-03-25T00:00:00Z"/>
        <d v="2022-07-28T00:00:00Z"/>
        <d v="2022-07-26T00:00:00Z"/>
        <d v="2022-07-09T00:00:00Z"/>
        <d v="2022-12-24T00:00:00Z"/>
        <d v="2022-09-11T00:00:00Z"/>
        <d v="2022-05-09T00:00:00Z"/>
        <d v="2022-10-29T00:00:00Z"/>
        <d v="2022-03-07T00:00:00Z"/>
        <d v="2022-10-07T00:00:00Z"/>
        <d v="2022-07-27T00:00:00Z"/>
        <d v="2022-01-24T00:00:00Z"/>
        <d v="2022-08-23T00:00:00Z"/>
        <d v="2022-07-20T00:00:00Z"/>
        <d v="2022-12-01T00:00:00Z"/>
        <d v="2022-06-02T00:00:00Z"/>
        <d v="2022-02-13T00:00:00Z"/>
        <d v="2022-08-31T00:00:00Z"/>
        <d v="2022-09-18T00:00:00Z"/>
        <d v="2022-01-09T00:00:00Z"/>
        <d v="2022-03-19T00:00:00Z"/>
        <d v="2022-07-01T00:00:00Z"/>
        <d v="2022-02-09T00:00:00Z"/>
        <d v="2022-09-17T00:00:00Z"/>
        <d v="2022-02-07T00:00:00Z"/>
        <d v="2022-12-06T00:00:00Z"/>
        <d v="2022-11-06T00:00:00Z"/>
        <d v="2022-06-08T00:00:00Z"/>
        <d v="2022-06-01T00:00:00Z"/>
        <d v="2022-05-30T00:00:00Z"/>
        <d v="2022-11-24T00:00:00Z"/>
        <d v="2022-03-12T00:00:00Z"/>
        <d v="2022-01-12T00:00:00Z"/>
        <d v="2022-06-22T00:00:00Z"/>
        <d v="2022-12-21T00:00:00Z"/>
        <d v="2022-01-20T00:00:00Z"/>
        <d v="2022-01-15T00:00:00Z"/>
        <d v="2022-10-26T00:00:00Z"/>
        <d v="2022-11-18T00:00:00Z"/>
        <d v="2022-11-04T00:00:00Z"/>
        <d v="2022-04-14T00:00:00Z"/>
        <d v="2022-03-28T00:00:00Z"/>
        <d v="2022-06-05T00:00:00Z"/>
        <d v="2022-04-22T00:00:00Z"/>
        <d v="2022-11-10T00:00:00Z"/>
        <d v="2022-10-22T00:00:00Z"/>
        <d v="2022-08-29T00:00:00Z"/>
        <d v="2022-12-27T00:00:00Z"/>
        <d v="2022-04-21T00:00:00Z"/>
        <d v="2022-05-17T00:00:00Z"/>
        <d v="2022-06-18T00:00:00Z"/>
        <d v="2022-06-25T00:00:00Z"/>
        <d v="2022-12-22T00:00:00Z"/>
        <d v="2022-11-25T00:00:00Z"/>
        <d v="2022-09-27T00:00:00Z"/>
        <d v="2022-07-29T00:00:00Z"/>
        <d v="2022-05-20T00:00:00Z"/>
        <d v="2022-05-22T00:00:00Z"/>
        <d v="2022-02-24T00:00:00Z"/>
        <d v="2022-05-05T00:00:00Z"/>
        <d v="2022-03-03T00:00:00Z"/>
        <d v="2022-02-03T00:00:00Z"/>
        <d v="2022-08-20T00:00:00Z"/>
        <d v="2022-01-04T00:00:00Z"/>
        <d v="2022-02-15T00:00:00Z"/>
        <d v="2022-09-07T00:00:00Z"/>
        <d v="2022-12-19T00:00:00Z"/>
        <d v="2022-08-14T00:00:00Z"/>
        <d v="2022-11-21T00:00:00Z"/>
        <d v="2022-04-20T00:00:00Z"/>
        <d v="2022-01-27T00:00:00Z"/>
        <d v="2022-03-15T00:00:00Z"/>
        <d v="2022-12-10T00:00:00Z"/>
        <d v="2022-03-31T00:00:00Z"/>
        <d v="2022-06-14T00:00:00Z"/>
        <d v="2022-03-05T00:00:00Z"/>
        <d v="2022-11-11T00:00:00Z"/>
        <d v="2022-08-08T00:00:00Z"/>
        <d v="2022-05-25T00:00:00Z"/>
        <d v="2022-07-21T00:00:00Z"/>
        <d v="2022-08-25T00:00:00Z"/>
        <d v="2022-01-26T00:00:00Z"/>
        <d v="2022-07-02T00:00:00Z"/>
        <d v="2022-02-26T00:00:00Z"/>
        <d v="2022-01-19T00:00:00Z"/>
        <d v="2022-04-04T00:00:00Z"/>
        <d v="2022-03-24T00:00:00Z"/>
        <d v="2022-01-11T00:00:00Z"/>
        <d v="2022-01-01T00:00:00Z"/>
        <d v="2022-05-04T00:00:00Z"/>
        <d v="2022-10-25T00:00:00Z"/>
        <d v="2022-06-12T00:00:00Z"/>
        <d v="2022-02-28T00:00:00Z"/>
        <d v="2022-05-11T00:00:00Z"/>
        <d v="2022-04-23T00:00:00Z"/>
        <d v="2022-08-04T00:00:00Z"/>
        <d v="2022-05-10T00:00:00Z"/>
        <d v="2022-03-17T00:00:00Z"/>
        <d v="2022-05-21T00:00:00Z"/>
        <d v="2022-07-16T00:00:00Z"/>
        <d v="2022-05-23T00:00:00Z"/>
        <d v="2022-04-15T00:00:00Z"/>
        <d v="2022-09-22T00:00:00Z"/>
        <d v="2022-11-01T00:00:00Z"/>
        <d v="2022-03-08T00:00:00Z"/>
        <d v="2022-10-14T00:00:00Z"/>
        <d v="2022-07-10T00:00:00Z"/>
        <d v="2022-03-11T00:00:00Z"/>
        <d v="2022-07-30T00:00:00Z"/>
        <d v="2022-06-20T00:00:00Z"/>
        <d v="2022-04-07T00:00:00Z"/>
        <d v="2022-07-22T00:00:00Z"/>
        <d v="2022-05-24T00:00:00Z"/>
        <d v="2022-01-14T00:00:00Z"/>
        <d v="2022-09-01T00:00:00Z"/>
        <d v="2022-09-21T00:00:00Z"/>
        <d v="2022-04-18T00:00:00Z"/>
        <d v="2022-11-30T00:00:00Z"/>
        <d v="2022-04-11T00:00:00Z"/>
        <d v="2022-08-06T00:00:00Z"/>
        <d v="2022-12-11T00:00:00Z"/>
        <d v="2022-09-15T00:00:00Z"/>
        <d v="2022-01-17T00:00:00Z"/>
        <d v="2022-03-10T00:00:00Z"/>
        <d v="2022-11-03T00:00:00Z"/>
        <d v="2022-12-07T00:00:00Z"/>
        <d v="2022-04-16T00:00:00Z"/>
        <d v="2022-12-25T00:00:00Z"/>
        <d v="2022-12-23T00:00:00Z"/>
        <d v="2022-12-18T00:00:00Z"/>
        <d v="2022-08-18T00:00:00Z"/>
        <d v="2022-12-04T00:00:00Z"/>
        <d v="2022-10-28T00:00:00Z"/>
        <d v="2022-12-28T00:00:00Z"/>
        <d v="2022-06-06T00:00:00Z"/>
        <d v="2022-05-19T00:00:00Z"/>
        <d v="2022-02-20T00:00:00Z"/>
        <d v="2022-06-15T00:00:00Z"/>
        <d v="2022-11-07T00:00:00Z"/>
        <d v="2022-06-11T00:00:00Z"/>
        <d v="2022-08-09T00:00:00Z"/>
        <d v="2022-12-17T00:00:00Z"/>
        <d v="2022-06-30T00:00:00Z"/>
        <d v="2022-08-26T00:00:00Z"/>
        <d v="2022-11-12T00:00:00Z"/>
        <d v="2022-02-10T00:00:00Z"/>
        <d v="2022-06-19T00:00:00Z"/>
        <d v="2022-06-21T00:00:00Z"/>
        <d v="2022-11-14T00:00:00Z"/>
        <d v="2022-01-25T00:00:00Z"/>
        <d v="2022-02-01T00:00:00Z"/>
        <d v="2022-08-13T00:00:00Z"/>
        <d v="2022-05-07T00:00:00Z"/>
        <d v="2022-09-20T00:00:00Z"/>
        <d v="2022-10-13T00:00:00Z"/>
        <d v="2022-04-17T00:00:00Z"/>
        <d v="2022-01-08T00:00:00Z"/>
        <d v="2022-05-14T00:00:00Z"/>
        <d v="2022-06-03T00:00:00Z"/>
        <d v="2022-12-03T00:00:00Z"/>
        <d v="2022-01-10T00:00:00Z"/>
        <d v="2022-10-09T00:00:00Z"/>
        <d v="2022-06-09T00:00:00Z"/>
        <d v="2022-02-02T00:00:00Z"/>
        <d v="2022-08-12T00:00:00Z"/>
        <d v="2022-04-30T00:00:00Z"/>
        <d v="2022-06-04T00:00:00Z"/>
        <d v="2022-01-30T00:00:00Z"/>
        <d v="2022-06-27T00:00:00Z"/>
        <d v="2022-02-08T00:00:00Z"/>
        <d v="2022-07-04T00:00:00Z"/>
        <d v="2022-09-09T00:00:00Z"/>
        <d v="2022-10-01T00:00:00Z"/>
        <d v="2022-11-05T00:00:00Z"/>
        <d v="2022-08-28T00:00:00Z"/>
        <d v="2022-12-14T00:00:00Z"/>
        <d v="2022-06-17T00:00:00Z"/>
        <d v="2022-05-27T00:00:00Z"/>
        <d v="2022-08-05T00:00:00Z"/>
        <d v="2022-12-12T00:00:00Z"/>
        <d v="2022-02-25T00:00:00Z"/>
        <d v="2022-04-25T00:00:00Z"/>
        <d v="2022-06-24T00:00:00Z"/>
        <d v="2022-11-09T00:00:00Z"/>
        <d v="2022-05-06T00:00:00Z"/>
        <d v="2022-04-28T00:00:00Z"/>
        <d v="2022-01-03T00:00:00Z"/>
        <d v="2022-07-23T00:00:00Z"/>
        <d v="2022-06-23T00:00:00Z"/>
        <d v="2022-04-08T00:00:00Z"/>
        <d v="2022-09-30T00:00:00Z"/>
      </sharedItems>
    </cacheField>
    <cacheField name="Кол-во дней с момента регистрации" numFmtId="0">
      <sharedItems containsSemiMixedTypes="0" containsString="0" containsNumber="1" containsInteger="1">
        <n v="440.0"/>
        <n v="333.0"/>
        <n v="521.0"/>
        <n v="619.0"/>
        <n v="574.0"/>
        <n v="699.0"/>
        <n v="611.0"/>
        <n v="708.0"/>
        <n v="692.0"/>
        <n v="482.0"/>
        <n v="738.0"/>
        <n v="408.0"/>
        <n v="339.0"/>
        <n v="152.0"/>
        <n v="302.0"/>
        <n v="613.0"/>
        <n v="223.0"/>
        <n v="191.0"/>
        <n v="402.0"/>
        <n v="569.0"/>
        <n v="395.0"/>
        <n v="464.0"/>
        <n v="313.0"/>
        <n v="637.0"/>
        <n v="390.0"/>
        <n v="490.0"/>
        <n v="716.0"/>
        <n v="456.0"/>
        <n v="721.0"/>
        <n v="476.0"/>
        <n v="495.0"/>
        <n v="236.0"/>
        <n v="460.0"/>
        <n v="548.0"/>
        <n v="264.0"/>
        <n v="55.0"/>
        <n v="362.0"/>
        <n v="207.0"/>
        <n v="503.0"/>
        <n v="496.0"/>
        <n v="581.0"/>
        <n v="560.0"/>
        <n v="269.0"/>
        <n v="163.0"/>
        <n v="433.0"/>
        <n v="237.0"/>
        <n v="632.0"/>
        <n v="486.0"/>
        <n v="459.0"/>
        <n v="453.0"/>
        <n v="592.0"/>
        <n v="667.0"/>
        <n v="439.0"/>
        <n v="706.0"/>
        <n v="364.0"/>
        <n v="740.0"/>
        <n v="154.0"/>
        <n v="623.0"/>
        <n v="159.0"/>
        <n v="423.0"/>
        <n v="712.0"/>
        <n v="404.0"/>
        <n v="91.0"/>
        <n v="353.0"/>
        <n v="626.0"/>
        <n v="143.0"/>
        <n v="263.0"/>
        <n v="290.0"/>
        <n v="661.0"/>
        <n v="101.0"/>
        <n v="590.0"/>
        <n v="162.0"/>
        <n v="734.0"/>
        <n v="358.0"/>
        <n v="659.0"/>
        <n v="245.0"/>
        <n v="131.0"/>
        <n v="468.0"/>
        <n v="420.0"/>
        <n v="396.0"/>
        <n v="303.0"/>
        <n v="578.0"/>
        <n v="76.0"/>
        <n v="374.0"/>
        <n v="516.0"/>
        <n v="300.0"/>
        <n v="385.0"/>
        <n v="547.0"/>
        <n v="655.0"/>
        <n v="598.0"/>
        <n v="422.0"/>
        <n v="537.0"/>
        <n v="473.0"/>
        <n v="301.0"/>
        <n v="175.0"/>
        <n v="363.0"/>
        <n v="747.0"/>
        <n v="605.0"/>
        <n v="278.0"/>
        <n v="352.0"/>
        <n v="601.0"/>
        <n v="463.0"/>
        <n v="648.0"/>
        <n v="412.0"/>
        <n v="684.0"/>
        <n v="193.0"/>
        <n v="182.0"/>
        <n v="393.0"/>
        <n v="678.0"/>
        <n v="258.0"/>
        <n v="58.0"/>
        <n v="370.0"/>
        <n v="618.0"/>
        <n v="630.0"/>
        <n v="533.0"/>
        <n v="78.0"/>
        <n v="671.0"/>
        <n v="494.0"/>
        <n v="750.0"/>
        <n v="136.0"/>
        <n v="665.0"/>
        <n v="606.0"/>
        <n v="628.0"/>
        <n v="436.0"/>
        <n v="295.0"/>
        <n v="111.0"/>
        <n v="733.0"/>
        <n v="858.0"/>
        <n v="419.0"/>
        <n v="210.0"/>
        <n v="306.0"/>
        <n v="243.0"/>
        <n v="545.0"/>
        <n v="499.0"/>
        <n v="594.0"/>
        <n v="773.0"/>
        <n v="371.0"/>
        <n v="288.0"/>
        <n v="616.0"/>
        <n v="766.0"/>
        <n v="478.0"/>
        <n v="273.0"/>
        <n v="317.0"/>
        <n v="415.0"/>
        <n v="553.0"/>
        <n v="585.0"/>
        <n v="250.0"/>
        <n v="249.0"/>
        <n v="518.0"/>
        <n v="69.0"/>
        <n v="504.0"/>
        <n v="392.0"/>
        <n v="221.0"/>
        <n v="272.0"/>
        <n v="682.0"/>
        <n v="304.0"/>
        <n v="424.0"/>
        <n v="399.0"/>
        <n v="539.0"/>
        <n v="538.0"/>
        <n v="582.0"/>
        <n v="472.0"/>
        <n v="432.0"/>
        <n v="355.0"/>
        <n v="500.0"/>
        <n v="639.0"/>
        <n v="461.0"/>
        <n v="546.0"/>
        <n v="377.0"/>
        <n v="673.0"/>
        <n v="489.0"/>
        <n v="176.0"/>
        <n v="493.0"/>
        <n v="627.0"/>
        <n v="510.0"/>
        <n v="770.0"/>
        <n v="186.0"/>
        <n v="197.0"/>
        <n v="342.0"/>
        <n v="535.0"/>
        <n v="471.0"/>
        <n v="376.0"/>
        <n v="282.0"/>
        <n v="120.0"/>
        <n v="220.0"/>
        <n v="274.0"/>
        <n v="178.0"/>
        <n v="335.0"/>
        <n v="321.0"/>
        <n v="681.0"/>
        <n v="685.0"/>
        <n v="414.0"/>
        <n v="132.0"/>
        <n v="636.0"/>
        <n v="485.0"/>
        <n v="310.0"/>
        <n v="446.0"/>
        <n v="865.0"/>
        <n v="776.0"/>
        <n v="583.0"/>
        <n v="564.0"/>
        <n v="841.0"/>
        <n v="351.0"/>
        <n v="653.0"/>
        <n v="828.0"/>
        <n v="455.0"/>
        <n v="291.0"/>
        <n v="125.0"/>
        <n v="130.0"/>
        <n v="691.0"/>
        <n v="576.0"/>
        <n v="180.0"/>
        <n v="323.0"/>
        <n v="170.0"/>
        <n v="557.0"/>
        <n v="217.0"/>
        <n v="599.0"/>
        <n v="542.0"/>
        <n v="488.0"/>
        <n v="593.0"/>
        <n v="726.0"/>
        <n v="389.0"/>
        <n v="688.0"/>
        <n v="257.0"/>
        <n v="327.0"/>
        <n v="534.0"/>
        <n v="444.0"/>
        <n v="541.0"/>
        <n v="279.0"/>
        <n v="475.0"/>
        <n v="430.0"/>
        <n v="768.0"/>
        <n v="848.0"/>
        <n v="443.0"/>
        <n v="122.0"/>
        <n v="438.0"/>
        <n v="138.0"/>
        <n v="309.0"/>
        <n v="328.0"/>
        <n v="242.0"/>
        <n v="189.0"/>
        <n v="746.0"/>
        <n v="338.0"/>
        <n v="668.0"/>
        <n v="119.0"/>
        <n v="474.0"/>
        <n v="380.0"/>
        <n v="219.0"/>
        <n v="350.0"/>
        <n v="675.0"/>
        <n v="722.0"/>
        <n v="638.0"/>
        <n v="406.0"/>
        <n v="108.0"/>
        <n v="334.0"/>
        <n v="484.0"/>
        <n v="462.0"/>
        <n v="660.0"/>
        <n v="381.0"/>
        <n v="307.0"/>
        <n v="336.0"/>
        <n v="517.0"/>
        <n v="501.0"/>
        <n v="360.0"/>
        <n v="617.0"/>
        <n v="416.0"/>
        <n v="651.0"/>
        <n v="664.0"/>
        <n v="261.0"/>
        <n v="562.0"/>
        <n v="213.0"/>
        <n v="477.0"/>
        <n v="271.0"/>
        <n v="551.0"/>
        <n v="359.0"/>
        <n v="525.0"/>
        <n v="75.0"/>
        <n v="259.0"/>
        <n v="466.0"/>
        <n v="709.0"/>
        <n v="372.0"/>
        <n v="394.0"/>
        <n v="294.0"/>
        <n v="693.0"/>
        <n v="246.0"/>
        <n v="723.0"/>
        <n v="164.0"/>
        <n v="275.0"/>
        <n v="663.0"/>
        <n v="410.0"/>
        <n v="201.0"/>
        <n v="149.0"/>
        <n v="577.0"/>
        <n v="579.0"/>
        <n v="345.0"/>
        <n v="530.0"/>
        <n v="70.0"/>
        <n v="280.0"/>
        <n v="212.0"/>
        <n v="71.0"/>
        <n v="118.0"/>
        <n v="325.0"/>
        <n v="719.0"/>
        <n v="398.0"/>
        <n v="177.0"/>
        <n v="772.0"/>
        <n v="552.0"/>
        <n v="649.0"/>
        <n v="672.0"/>
        <n v="752.0"/>
        <n v="66.0"/>
        <n v="454.0"/>
        <n v="479.0"/>
        <n v="502.0"/>
        <n v="515.0"/>
        <n v="657.0"/>
        <n v="656.0"/>
        <n v="357.0"/>
        <n v="745.0"/>
        <n v="531.0"/>
        <n v="483.0"/>
        <n v="427.0"/>
        <n v="491.0"/>
        <n v="96.0"/>
        <n v="187.0"/>
        <n v="411.0"/>
        <n v="603.0"/>
        <n v="505.0"/>
        <n v="266.0"/>
        <n v="253.0"/>
        <n v="379.0"/>
        <n v="735.0"/>
        <n v="513.0"/>
        <n v="265.0"/>
        <n v="229.0"/>
        <n v="314.0"/>
        <n v="230.0"/>
        <n v="559.0"/>
        <n v="554.0"/>
        <n v="128.0"/>
        <n v="340.0"/>
        <n v="409.0"/>
        <n v="316.0"/>
        <n v="696.0"/>
        <n v="785.0"/>
        <n v="276.0"/>
        <n v="346.0"/>
        <n v="109.0"/>
        <n v="806.0"/>
        <n v="127.0"/>
        <n v="571.0"/>
        <n v="526.0"/>
        <n v="549.0"/>
        <n v="710.0"/>
        <n v="522.0"/>
        <n v="508.0"/>
        <n v="161.0"/>
        <n v="492.0"/>
        <n v="720.0"/>
        <n v="635.0"/>
        <n v="448.0"/>
        <n v="543.0"/>
        <n v="634.0"/>
        <n v="780.0"/>
        <n v="586.0"/>
        <n v="568.0"/>
        <n v="287.0"/>
        <n v="299.0"/>
        <n v="413.0"/>
        <n v="405.0"/>
        <n v="607.0"/>
        <n v="674.0"/>
        <n v="480.0"/>
        <n v="767.0"/>
        <n v="260.0"/>
        <n v="498.0"/>
        <n v="690.0"/>
        <n v="567.0"/>
        <n v="429.0"/>
        <n v="435.0"/>
        <n v="224.0"/>
        <n v="252.0"/>
        <n v="428.0"/>
        <n v="64.0"/>
        <n v="235.0"/>
        <n v="347.0"/>
        <n v="386.0"/>
        <n v="451.0"/>
        <n v="855.0"/>
        <n v="104.0"/>
        <n v="441.0"/>
        <n v="238.0"/>
        <n v="725.0"/>
        <n v="254.0"/>
        <n v="375.0"/>
        <n v="447.0"/>
        <n v="695.0"/>
        <n v="281.0"/>
        <n v="834.0"/>
        <n v="329.0"/>
        <n v="555.0"/>
        <n v="512.0"/>
        <n v="856.0"/>
        <n v="61.0"/>
        <n v="169.0"/>
        <n v="643.0"/>
        <n v="167.0"/>
        <n v="544.0"/>
        <n v="646.0"/>
        <n v="497.0"/>
        <n v="366.0"/>
        <n v="669.0"/>
        <n v="95.0"/>
        <n v="100.0"/>
        <n v="198.0"/>
        <n v="228.0"/>
        <n v="743.0"/>
        <n v="92.0"/>
        <n v="591.0"/>
        <n v="558.0"/>
        <n v="88.0"/>
        <n v="387.0"/>
        <n v="509.0"/>
        <n v="759.0"/>
        <n v="556.0"/>
        <n v="796.0"/>
        <n v="707.0"/>
        <n v="588.0"/>
        <n v="604.0"/>
        <n v="612.0"/>
        <n v="247.0"/>
        <n v="369.0"/>
        <n v="565.0"/>
        <n v="361.0"/>
        <n v="211.0"/>
        <n v="609.0"/>
        <n v="524.0"/>
        <n v="202.0"/>
        <n v="470.0"/>
        <n v="866.0"/>
        <n v="452.0"/>
        <n v="67.0"/>
        <n v="268.0"/>
        <n v="126.0"/>
        <n v="532.0"/>
        <n v="330.0"/>
        <n v="349.0"/>
        <n v="344.0"/>
        <n v="156.0"/>
        <n v="615.0"/>
        <n v="203.0"/>
        <n v="218.0"/>
        <n v="481.0"/>
        <n v="373.0"/>
        <n v="391.0"/>
        <n v="293.0"/>
        <n v="529.0"/>
        <n v="216.0"/>
        <n v="610.0"/>
        <n v="196.0"/>
        <n v="520.0"/>
        <n v="232.0"/>
        <n v="322.0"/>
        <n v="426.0"/>
        <n v="72.0"/>
        <n v="417.0"/>
        <n v="739.0"/>
        <n v="292.0"/>
        <n v="286.0"/>
        <n v="469.0"/>
        <n v="458.0"/>
        <n v="155.0"/>
        <n v="311.0"/>
        <n v="587.0"/>
        <n v="645.0"/>
        <n v="174.0"/>
        <n v="84.0"/>
        <n v="467.0"/>
        <n v="795.0"/>
        <n v="270.0"/>
        <n v="312.0"/>
        <n v="640.0"/>
        <n v="676.0"/>
        <n v="115.0"/>
        <n v="595.0"/>
        <n v="222.0"/>
        <n v="658.0"/>
        <n v="608.0"/>
        <n v="812.0"/>
        <n v="184.0"/>
        <n v="256.0"/>
        <n v="179.0"/>
        <n v="775.0"/>
        <n v="326.0"/>
        <n v="575.0"/>
        <n v="644.0"/>
        <n v="239.0"/>
        <n v="434.0"/>
        <n v="596.0"/>
        <n v="573.0"/>
        <n v="437.0"/>
        <n v="536.0"/>
        <n v="285.0"/>
        <n v="621.0"/>
        <n v="80.0"/>
        <n v="511.0"/>
        <n v="614.0"/>
        <n v="102.0"/>
        <n v="8.0"/>
        <n v="157.0"/>
        <n v="724.0"/>
        <n v="597.0"/>
        <n v="367.0"/>
        <n v="566.0"/>
        <n v="226.0"/>
        <n v="124.0"/>
        <n v="589.0"/>
        <n v="631.0"/>
        <n v="786.0"/>
        <n v="296.0"/>
        <n v="523.0"/>
        <n v="356.0"/>
        <n v="68.0"/>
        <n v="43.0"/>
        <n v="388.0"/>
        <n v="383.0"/>
        <n v="331.0"/>
        <n v="487.0"/>
        <n v="332.0"/>
        <n v="214.0"/>
        <n v="778.0"/>
        <n v="267.0"/>
        <n v="48.0"/>
        <n v="680.0"/>
        <n v="702.0"/>
      </sharedItems>
    </cacheField>
    <cacheField name="Страна клиента" numFmtId="0">
      <sharedItems>
        <s v="Узбекистан"/>
        <s v="Беларусь"/>
        <s v="Россия"/>
        <s v="Украина"/>
        <s v="Таджикистан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1" sheet="продажи"/>
  </cacheSource>
  <cacheFields>
    <cacheField name="id чека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id товара" numFmtId="0">
      <sharedItems containsSemiMixedTypes="0" containsString="0" containsNumber="1" containsInteger="1">
        <n v="300.0"/>
        <n v="486.0"/>
        <n v="76.0"/>
        <n v="240.0"/>
        <n v="32.0"/>
        <n v="162.0"/>
        <n v="323.0"/>
        <n v="60.0"/>
        <n v="401.0"/>
        <n v="100.0"/>
        <n v="217.0"/>
        <n v="445.0"/>
        <n v="284.0"/>
        <n v="116.0"/>
        <n v="378.0"/>
        <n v="299.0"/>
        <n v="359.0"/>
        <n v="337.0"/>
        <n v="226.0"/>
        <n v="310.0"/>
        <n v="137.0"/>
        <n v="385.0"/>
        <n v="451.0"/>
        <n v="7.0"/>
        <n v="495.0"/>
        <n v="415.0"/>
        <n v="176.0"/>
        <n v="181.0"/>
        <n v="399.0"/>
        <n v="382.0"/>
        <n v="103.0"/>
        <n v="104.0"/>
        <n v="213.0"/>
        <n v="157.0"/>
        <n v="237.0"/>
        <n v="8.0"/>
        <n v="65.0"/>
        <n v="45.0"/>
        <n v="36.0"/>
        <n v="443.0"/>
        <n v="384.0"/>
        <n v="41.0"/>
        <n v="484.0"/>
        <n v="390.0"/>
        <n v="57.0"/>
        <n v="285.0"/>
        <n v="444.0"/>
        <n v="35.0"/>
        <n v="296.0"/>
        <n v="227.0"/>
        <n v="167.0"/>
        <n v="146.0"/>
        <n v="338.0"/>
        <n v="155.0"/>
        <n v="239.0"/>
        <n v="158.0"/>
        <n v="147.0"/>
        <n v="311.0"/>
        <n v="465.0"/>
        <n v="449.0"/>
        <n v="144.0"/>
        <n v="375.0"/>
        <n v="408.0"/>
        <n v="425.0"/>
        <n v="277.0"/>
        <n v="130.0"/>
        <n v="30.0"/>
        <n v="75.0"/>
        <n v="118.0"/>
        <n v="19.0"/>
        <n v="204.0"/>
        <n v="304.0"/>
        <n v="189.0"/>
        <n v="392.0"/>
        <n v="10.0"/>
        <n v="64.0"/>
        <n v="334.0"/>
        <n v="345.0"/>
        <n v="281.0"/>
        <n v="276.0"/>
        <n v="234.0"/>
        <n v="319.0"/>
        <n v="24.0"/>
        <n v="357.0"/>
        <n v="265.0"/>
        <n v="102.0"/>
        <n v="212.0"/>
        <n v="215.0"/>
        <n v="364.0"/>
        <n v="499.0"/>
        <n v="202.0"/>
        <n v="244.0"/>
        <n v="363.0"/>
        <n v="434.0"/>
        <n v="305.0"/>
        <n v="37.0"/>
        <n v="242.0"/>
        <n v="332.0"/>
        <n v="452.0"/>
        <n v="132.0"/>
        <n v="457.0"/>
        <n v="250.0"/>
        <n v="195.0"/>
        <n v="186.0"/>
        <n v="490.0"/>
        <n v="72.0"/>
        <n v="430.0"/>
        <n v="223.0"/>
        <n v="164.0"/>
        <n v="393.0"/>
        <n v="166.0"/>
        <n v="249.0"/>
        <n v="83.0"/>
        <n v="236.0"/>
        <n v="379.0"/>
        <n v="431.0"/>
        <n v="463.0"/>
        <n v="494.0"/>
        <n v="394.0"/>
        <n v="380.0"/>
        <n v="309.0"/>
        <n v="112.0"/>
        <n v="81.0"/>
        <n v="4.0"/>
        <n v="209.0"/>
        <n v="156.0"/>
        <n v="441.0"/>
        <n v="180.0"/>
        <n v="438.0"/>
        <n v="232.0"/>
        <n v="206.0"/>
        <n v="295.0"/>
        <n v="221.0"/>
        <n v="333.0"/>
        <n v="498.0"/>
        <n v="476.0"/>
        <n v="126.0"/>
        <n v="255.0"/>
        <n v="138.0"/>
        <n v="403.0"/>
        <n v="280.0"/>
        <n v="356.0"/>
        <n v="282.0"/>
        <n v="459.0"/>
        <n v="402.0"/>
        <n v="320.0"/>
        <n v="447.0"/>
        <n v="406.0"/>
        <n v="391.0"/>
        <n v="82.0"/>
        <n v="243.0"/>
        <n v="432.0"/>
        <n v="159.0"/>
        <n v="197.0"/>
        <n v="110.0"/>
        <n v="288.0"/>
        <n v="493.0"/>
        <n v="446.0"/>
        <n v="428.0"/>
        <n v="192.0"/>
        <n v="69.0"/>
        <n v="270.0"/>
        <n v="348.0"/>
        <n v="321.0"/>
        <n v="341.0"/>
        <n v="473.0"/>
        <n v="482.0"/>
        <n v="169.0"/>
        <n v="397.0"/>
        <n v="436.0"/>
        <n v="369.0"/>
        <n v="361.0"/>
        <n v="87.0"/>
        <n v="376.0"/>
        <n v="111.0"/>
        <n v="344.0"/>
        <n v="462.0"/>
        <n v="279.0"/>
        <n v="322.0"/>
        <n v="317.0"/>
        <n v="25.0"/>
        <n v="410.0"/>
        <n v="207.0"/>
        <n v="131.0"/>
        <n v="96.0"/>
        <n v="268.0"/>
        <n v="358.0"/>
        <n v="160.0"/>
        <n v="23.0"/>
        <n v="49.0"/>
        <n v="485.0"/>
        <n v="40.0"/>
        <n v="275.0"/>
        <n v="205.0"/>
        <n v="219.0"/>
        <n v="435.0"/>
        <n v="26.0"/>
        <n v="273.0"/>
        <n v="340.0"/>
        <n v="34.0"/>
        <n v="117.0"/>
        <n v="201.0"/>
        <n v="377.0"/>
        <n v="251.0"/>
        <n v="409.0"/>
        <n v="422.0"/>
        <n v="222.0"/>
        <n v="497.0"/>
        <n v="351.0"/>
        <n v="464.0"/>
        <n v="241.0"/>
        <n v="258.0"/>
        <n v="216.0"/>
        <n v="272.0"/>
        <n v="225.0"/>
        <n v="467.0"/>
        <n v="139.0"/>
        <n v="404.0"/>
        <n v="328.0"/>
        <n v="424.0"/>
        <n v="86.0"/>
        <n v="17.0"/>
        <n v="43.0"/>
        <n v="5.0"/>
        <n v="298.0"/>
        <n v="421.0"/>
        <n v="483.0"/>
        <n v="414.0"/>
        <n v="389.0"/>
        <n v="367.0"/>
        <n v="128.0"/>
        <n v="368.0"/>
        <n v="74.0"/>
        <n v="149.0"/>
        <n v="229.0"/>
        <n v="28.0"/>
        <n v="260.0"/>
        <n v="140.0"/>
        <n v="67.0"/>
        <n v="448.0"/>
        <n v="331.0"/>
        <n v="325.0"/>
        <n v="346.0"/>
        <n v="115.0"/>
        <n v="360.0"/>
        <n v="230.0"/>
        <n v="353.0"/>
        <n v="188.0"/>
        <n v="405.0"/>
        <n v="99.0"/>
        <n v="196.0"/>
        <n v="271.0"/>
        <n v="210.0"/>
        <n v="178.0"/>
        <n v="423.0"/>
        <n v="70.0"/>
        <n v="335.0"/>
        <n v="427.0"/>
        <n v="303.0"/>
        <n v="398.0"/>
        <n v="290.0"/>
        <n v="386.0"/>
        <n v="350.0"/>
        <n v="329.0"/>
        <n v="233.0"/>
        <n v="293.0"/>
        <n v="286.0"/>
        <n v="11.0"/>
        <n v="142.0"/>
        <n v="466.0"/>
        <n v="71.0"/>
        <n v="480.0"/>
        <n v="129.0"/>
        <n v="283.0"/>
        <n v="313.0"/>
        <n v="18.0"/>
        <n v="145.0"/>
        <n v="491.0"/>
        <n v="29.0"/>
        <n v="50.0"/>
        <n v="336.0"/>
        <n v="440.0"/>
        <n v="51.0"/>
        <n v="371.0"/>
        <n v="14.0"/>
        <n v="312.0"/>
        <n v="477.0"/>
        <n v="91.0"/>
        <n v="52.0"/>
        <n v="383.0"/>
        <n v="252.0"/>
        <n v="365.0"/>
        <n v="420.0"/>
        <n v="97.0"/>
        <n v="47.0"/>
        <n v="187.0"/>
        <n v="429.0"/>
        <n v="93.0"/>
        <n v="198.0"/>
        <n v="362.0"/>
        <n v="461.0"/>
        <n v="84.0"/>
        <n v="172.0"/>
        <n v="171.0"/>
        <n v="194.0"/>
        <n v="235.0"/>
        <n v="458.0"/>
        <n v="193.0"/>
        <n v="450.0"/>
        <n v="163.0"/>
        <n v="12.0"/>
        <n v="61.0"/>
        <n v="15.0"/>
        <n v="90.0"/>
        <n v="396.0"/>
        <n v="481.0"/>
        <n v="246.0"/>
        <n v="174.0"/>
        <n v="479.0"/>
        <n v="224.0"/>
        <n v="42.0"/>
        <n v="267.0"/>
        <n v="161.0"/>
        <n v="315.0"/>
        <n v="121.0"/>
        <n v="433.0"/>
        <n v="453.0"/>
        <n v="248.0"/>
        <n v="492.0"/>
        <n v="122.0"/>
        <n v="62.0"/>
        <n v="119.0"/>
        <n v="388.0"/>
        <n v="66.0"/>
        <n v="125.0"/>
        <n v="274.0"/>
        <n v="471.0"/>
        <n v="395.0"/>
        <n v="474.0"/>
        <n v="63.0"/>
        <n v="89.0"/>
        <n v="27.0"/>
        <n v="127.0"/>
        <n v="426.0"/>
        <n v="355.0"/>
        <n v="113.0"/>
        <n v="291.0"/>
        <n v="182.0"/>
        <n v="105.0"/>
        <n v="199.0"/>
        <n v="211.0"/>
        <n v="22.0"/>
        <n v="150.0"/>
        <n v="191.0"/>
        <n v="245.0"/>
        <n v="154.0"/>
        <n v="266.0"/>
        <n v="143.0"/>
        <n v="475.0"/>
        <n v="292.0"/>
        <n v="307.0"/>
        <n v="39.0"/>
        <n v="316.0"/>
        <n v="228.0"/>
        <n v="269.0"/>
        <n v="151.0"/>
        <n v="101.0"/>
        <n v="411.0"/>
        <n v="381.0"/>
        <n v="400.0"/>
        <n v="55.0"/>
        <n v="372.0"/>
        <n v="80.0"/>
        <n v="413.0"/>
        <n v="46.0"/>
        <n v="1.0"/>
        <n v="478.0"/>
        <n v="456.0"/>
        <n v="38.0"/>
        <n v="134.0"/>
        <n v="77.0"/>
        <n v="455.0"/>
        <n v="218.0"/>
        <n v="263.0"/>
        <n v="254.0"/>
        <n v="370.0"/>
        <n v="301.0"/>
        <n v="259.0"/>
        <n v="468.0"/>
        <n v="200.0"/>
        <n v="354.0"/>
        <n v="460.0"/>
        <n v="184.0"/>
        <n v="308.0"/>
        <n v="407.0"/>
        <n v="148.0"/>
        <n v="152.0"/>
        <n v="326.0"/>
        <n v="352.0"/>
        <n v="44.0"/>
        <n v="183.0"/>
        <n v="88.0"/>
        <n v="347.0"/>
        <n v="342.0"/>
        <n v="59.0"/>
        <n v="16.0"/>
        <n v="220.0"/>
        <n v="439.0"/>
        <n v="437.0"/>
        <n v="73.0"/>
        <n v="208.0"/>
        <n v="6.0"/>
        <n v="318.0"/>
        <n v="327.0"/>
        <n v="416.0"/>
        <n v="374.0"/>
        <n v="289.0"/>
        <n v="173.0"/>
        <n v="114.0"/>
        <n v="170.0"/>
        <n v="9.0"/>
        <n v="302.0"/>
        <n v="48.0"/>
        <n v="3.0"/>
        <n v="168.0"/>
        <n v="13.0"/>
        <n v="141.0"/>
        <n v="120.0"/>
        <n v="418.0"/>
        <n v="294.0"/>
        <n v="175.0"/>
        <n v="469.0"/>
      </sharedItems>
    </cacheField>
    <cacheField name="цена за шт в рублях" numFmtId="0">
      <sharedItems containsSemiMixedTypes="0" containsString="0" containsNumber="1" containsInteger="1">
        <n v="103.0"/>
        <n v="296.0"/>
        <n v="139.0"/>
        <n v="141.0"/>
        <n v="123.0"/>
        <n v="452.0"/>
        <n v="149.0"/>
        <n v="489.0"/>
        <n v="416.0"/>
        <n v="449.0"/>
        <n v="109.0"/>
        <n v="213.0"/>
        <n v="190.0"/>
        <n v="237.0"/>
        <n v="178.0"/>
        <n v="320.0"/>
        <n v="419.0"/>
        <n v="458.0"/>
        <n v="152.0"/>
        <n v="352.0"/>
        <n v="228.0"/>
        <n v="161.0"/>
        <n v="362.0"/>
        <n v="312.0"/>
        <n v="311.0"/>
        <n v="220.0"/>
        <n v="476.0"/>
        <n v="198.0"/>
        <n v="254.0"/>
        <n v="351.0"/>
        <n v="387.0"/>
        <n v="55.0"/>
        <n v="336.0"/>
        <n v="480.0"/>
        <n v="214.0"/>
        <n v="60.0"/>
        <n v="414.0"/>
        <n v="62.0"/>
        <n v="357.0"/>
        <n v="493.0"/>
        <n v="305.0"/>
        <n v="162.0"/>
        <n v="78.0"/>
        <n v="343.0"/>
        <n v="498.0"/>
        <n v="133.0"/>
        <n v="242.0"/>
        <n v="101.0"/>
        <n v="65.0"/>
        <n v="143.0"/>
        <n v="402.0"/>
        <n v="97.0"/>
        <n v="482.0"/>
        <n v="59.0"/>
        <n v="87.0"/>
        <n v="238.0"/>
        <n v="392.0"/>
        <n v="473.0"/>
        <n v="231.0"/>
        <n v="438.0"/>
        <n v="365.0"/>
        <n v="324.0"/>
        <n v="208.0"/>
        <n v="115.0"/>
        <n v="261.0"/>
        <n v="257.0"/>
        <n v="459.0"/>
        <n v="112.0"/>
        <n v="491.0"/>
        <n v="278.0"/>
        <n v="484.0"/>
        <n v="53.0"/>
        <n v="131.0"/>
        <n v="120.0"/>
        <n v="396.0"/>
        <n v="267.0"/>
        <n v="371.0"/>
        <n v="295.0"/>
        <n v="75.0"/>
        <n v="247.0"/>
        <n v="281.0"/>
        <n v="136.0"/>
        <n v="142.0"/>
        <n v="206.0"/>
        <n v="66.0"/>
        <n v="175.0"/>
        <n v="323.0"/>
        <n v="96.0"/>
        <n v="422.0"/>
        <n v="57.0"/>
        <n v="272.0"/>
        <n v="478.0"/>
        <n v="333.0"/>
        <n v="327.0"/>
        <n v="89.0"/>
        <n v="211.0"/>
        <n v="240.0"/>
        <n v="244.0"/>
        <n v="219.0"/>
        <n v="119.0"/>
        <n v="174.0"/>
        <n v="229.0"/>
        <n v="411.0"/>
        <n v="245.0"/>
        <n v="113.0"/>
        <n v="73.0"/>
        <n v="368.0"/>
        <n v="221.0"/>
        <n v="442.0"/>
        <n v="465.0"/>
        <n v="380.0"/>
        <n v="313.0"/>
        <n v="348.0"/>
        <n v="349.0"/>
        <n v="379.0"/>
        <n v="448.0"/>
        <n v="173.0"/>
        <n v="304.0"/>
        <n v="344.0"/>
        <n v="470.0"/>
        <n v="116.0"/>
        <n v="314.0"/>
        <n v="284.0"/>
        <n v="332.0"/>
        <n v="239.0"/>
        <n v="86.0"/>
        <n v="154.0"/>
        <n v="230.0"/>
        <n v="88.0"/>
        <n v="477.0"/>
        <n v="74.0"/>
        <n v="430.0"/>
        <n v="286.0"/>
        <n v="273.0"/>
        <n v="279.0"/>
        <n v="210.0"/>
        <n v="192.0"/>
        <n v="373.0"/>
        <n v="315.0"/>
        <n v="321.0"/>
        <n v="189.0"/>
        <n v="405.0"/>
        <n v="426.0"/>
        <n v="271.0"/>
        <n v="356.0"/>
        <n v="233.0"/>
        <n v="494.0"/>
        <n v="177.0"/>
        <n v="114.0"/>
        <n v="427.0"/>
        <n v="376.0"/>
        <n v="51.0"/>
        <n v="316.0"/>
        <n v="156.0"/>
        <n v="215.0"/>
        <n v="497.0"/>
        <n v="194.0"/>
        <n v="171.0"/>
        <n v="386.0"/>
        <n v="148.0"/>
        <n v="291.0"/>
        <n v="339.0"/>
        <n v="487.0"/>
        <n v="335.0"/>
        <n v="172.0"/>
        <n v="104.0"/>
        <n v="433.0"/>
        <n v="79.0"/>
        <n v="181.0"/>
        <n v="196.0"/>
        <n v="125.0"/>
        <n v="472.0"/>
        <n v="163.0"/>
        <n v="70.0"/>
        <n v="417.0"/>
        <n v="345.0"/>
        <n v="81.0"/>
        <n v="184.0"/>
        <n v="288.0"/>
        <n v="292.0"/>
        <n v="243.0"/>
        <n v="382.0"/>
        <n v="308.0"/>
        <n v="82.0"/>
        <n v="117.0"/>
        <n v="474.0"/>
        <n v="334.0"/>
        <n v="282.0"/>
        <n v="499.0"/>
        <n v="170.0"/>
        <n v="52.0"/>
        <n v="450.0"/>
        <n v="366.0"/>
        <n v="102.0"/>
        <n v="355.0"/>
        <n v="403.0"/>
        <n v="294.0"/>
        <n v="299.0"/>
        <n v="500.0"/>
        <n v="412.0"/>
        <n v="155.0"/>
        <n v="290.0"/>
        <n v="326.0"/>
        <n v="420.0"/>
        <n v="71.0"/>
        <n v="400.0"/>
        <n v="217.0"/>
        <n v="428.0"/>
        <n v="83.0"/>
        <n v="488.0"/>
        <n v="421.0"/>
        <n v="232.0"/>
        <n v="93.0"/>
        <n v="157.0"/>
        <n v="363.0"/>
        <n v="289.0"/>
        <n v="226.0"/>
        <n v="253.0"/>
        <n v="457.0"/>
        <n v="145.0"/>
        <n v="467.0"/>
        <n v="124.0"/>
        <n v="406.0"/>
        <n v="76.0"/>
        <n v="466.0"/>
        <n v="265.0"/>
        <n v="397.0"/>
        <n v="359.0"/>
        <n v="168.0"/>
        <n v="106.0"/>
        <n v="204.0"/>
        <n v="317.0"/>
        <n v="99.0"/>
        <n v="479.0"/>
        <n v="463.0"/>
        <n v="431.0"/>
        <n v="455.0"/>
        <n v="176.0"/>
        <n v="212.0"/>
        <n v="389.0"/>
        <n v="222.0"/>
        <n v="100.0"/>
        <n v="92.0"/>
        <n v="179.0"/>
        <n v="209.0"/>
        <n v="486.0"/>
        <n v="218.0"/>
        <n v="68.0"/>
        <n v="404.0"/>
        <n v="193.0"/>
        <n v="424.0"/>
        <n v="147.0"/>
        <n v="319.0"/>
        <n v="361.0"/>
        <n v="187.0"/>
        <n v="122.0"/>
        <n v="199.0"/>
        <n v="160.0"/>
        <n v="325.0"/>
        <n v="425.0"/>
        <n v="227.0"/>
        <n v="235.0"/>
        <n v="107.0"/>
        <n v="50.0"/>
        <n v="269.0"/>
        <n v="385.0"/>
        <n v="64.0"/>
        <n v="223.0"/>
        <n v="91.0"/>
        <n v="61.0"/>
        <n v="95.0"/>
        <n v="469.0"/>
        <n v="275.0"/>
        <n v="129.0"/>
        <n v="164.0"/>
        <n v="201.0"/>
        <n v="251.0"/>
        <n v="443.0"/>
        <n v="234.0"/>
        <n v="260.0"/>
        <n v="203.0"/>
        <n v="413.0"/>
        <n v="435.0"/>
        <n v="303.0"/>
        <n v="429.0"/>
        <n v="127.0"/>
        <n v="390.0"/>
        <n v="298.0"/>
        <n v="471.0"/>
        <n v="185.0"/>
        <n v="67.0"/>
        <n v="358.0"/>
        <n v="464.0"/>
        <n v="307.0"/>
        <n v="121.0"/>
        <n v="451.0"/>
        <n v="407.0"/>
        <n v="338.0"/>
        <n v="268.0"/>
        <n v="216.0"/>
        <n v="94.0"/>
        <n v="309.0"/>
        <n v="118.0"/>
        <n v="322.0"/>
        <n v="328.0"/>
        <n v="276.0"/>
        <n v="134.0"/>
        <n v="436.0"/>
        <n v="318.0"/>
        <n v="183.0"/>
        <n v="58.0"/>
        <n v="461.0"/>
        <n v="293.0"/>
        <n v="63.0"/>
        <n v="432.0"/>
        <n v="301.0"/>
        <n v="225.0"/>
        <n v="110.0"/>
        <n v="77.0"/>
        <n v="158.0"/>
        <n v="263.0"/>
        <n v="369.0"/>
        <n v="258.0"/>
        <n v="370.0"/>
        <n v="454.0"/>
        <n v="492.0"/>
        <n v="384.0"/>
        <n v="383.0"/>
        <n v="340.0"/>
        <n v="378.0"/>
        <n v="69.0"/>
        <n v="137.0"/>
        <n v="496.0"/>
        <n v="302.0"/>
        <n v="138.0"/>
        <n v="350.0"/>
        <n v="347.0"/>
        <n v="144.0"/>
        <n v="132.0"/>
        <n v="151.0"/>
        <n v="105.0"/>
        <n v="207.0"/>
        <n v="440.0"/>
        <n v="453.0"/>
        <n v="375.0"/>
        <n v="374.0"/>
        <n v="456.0"/>
        <n v="388.0"/>
        <n v="300.0"/>
        <n v="415.0"/>
        <n v="84.0"/>
        <n v="166.0"/>
        <n v="252.0"/>
        <n v="485.0"/>
        <n v="150.0"/>
        <n v="135.0"/>
        <n v="277.0"/>
        <n v="169.0"/>
        <n v="342.0"/>
        <n v="248.0"/>
        <n v="202.0"/>
        <n v="72.0"/>
        <n v="191.0"/>
        <n v="394.0"/>
        <n v="126.0"/>
        <n v="54.0"/>
        <n v="490.0"/>
        <n v="439.0"/>
        <n v="274.0"/>
        <n v="140.0"/>
        <n v="353.0"/>
        <n v="80.0"/>
        <n v="90.0"/>
        <n v="167.0"/>
        <n v="310.0"/>
        <n v="98.0"/>
        <n v="241.0"/>
        <n v="182.0"/>
        <n v="441.0"/>
        <n v="423.0"/>
        <n v="111.0"/>
        <n v="306.0"/>
        <n v="391.0"/>
        <n v="398.0"/>
        <n v="445.0"/>
        <n v="197.0"/>
        <n v="146.0"/>
        <n v="337.0"/>
        <n v="437.0"/>
        <n v="205.0"/>
        <n v="270.0"/>
        <n v="280.0"/>
        <n v="259.0"/>
        <n v="246.0"/>
        <n v="180.0"/>
        <n v="200.0"/>
        <n v="401.0"/>
        <n v="468.0"/>
        <n v="283.0"/>
      </sharedItems>
    </cacheField>
    <cacheField name="кол-во штук в чеке" numFmtId="0">
      <sharedItems containsSemiMixedTypes="0" containsString="0" containsNumber="1" containsInteger="1">
        <n v="4.0"/>
        <n v="3.0"/>
        <n v="5.0"/>
        <n v="2.0"/>
        <n v="1.0"/>
      </sharedItems>
    </cacheField>
    <cacheField name="Сумма чека" numFmtId="0">
      <sharedItems containsSemiMixedTypes="0" containsString="0" containsNumber="1" containsInteger="1">
        <n v="412.0"/>
        <n v="888.0"/>
        <n v="695.0"/>
        <n v="705.0"/>
        <n v="246.0"/>
        <n v="904.0"/>
        <n v="745.0"/>
        <n v="1956.0"/>
        <n v="2080.0"/>
        <n v="898.0"/>
        <n v="592.0"/>
        <n v="545.0"/>
        <n v="639.0"/>
        <n v="760.0"/>
        <n v="237.0"/>
        <n v="534.0"/>
        <n v="1600.0"/>
        <n v="838.0"/>
        <n v="950.0"/>
        <n v="916.0"/>
        <n v="304.0"/>
        <n v="704.0"/>
        <n v="456.0"/>
        <n v="644.0"/>
        <n v="362.0"/>
        <n v="312.0"/>
        <n v="1555.0"/>
        <n v="220.0"/>
        <n v="1904.0"/>
        <n v="190.0"/>
        <n v="990.0"/>
        <n v="762.0"/>
        <n v="351.0"/>
        <n v="387.0"/>
        <n v="110.0"/>
        <n v="336.0"/>
        <n v="1920.0"/>
        <n v="642.0"/>
        <n v="120.0"/>
        <n v="1242.0"/>
        <n v="186.0"/>
        <n v="357.0"/>
        <n v="1479.0"/>
        <n v="610.0"/>
        <n v="648.0"/>
        <n v="78.0"/>
        <n v="1715.0"/>
        <n v="1992.0"/>
        <n v="133.0"/>
        <n v="1244.0"/>
        <n v="484.0"/>
        <n v="303.0"/>
        <n v="65.0"/>
        <n v="429.0"/>
        <n v="2010.0"/>
        <n v="97.0"/>
        <n v="482.0"/>
        <n v="59.0"/>
        <n v="348.0"/>
        <n v="1190.0"/>
        <n v="622.0"/>
        <n v="1176.0"/>
        <n v="2365.0"/>
        <n v="462.0"/>
        <n v="1314.0"/>
        <n v="730.0"/>
        <n v="1040.0"/>
        <n v="345.0"/>
        <n v="261.0"/>
        <n v="514.0"/>
        <n v="918.0"/>
        <n v="448.0"/>
        <n v="1964.0"/>
        <n v="162.0"/>
        <n v="556.0"/>
        <n v="1936.0"/>
        <n v="53.0"/>
        <n v="655.0"/>
        <n v="240.0"/>
        <n v="1584.0"/>
        <n v="1335.0"/>
        <n v="371.0"/>
        <n v="295.0"/>
        <n v="375.0"/>
        <n v="494.0"/>
        <n v="562.0"/>
        <n v="272.0"/>
        <n v="710.0"/>
        <n v="414.0"/>
        <n v="66.0"/>
        <n v="452.0"/>
        <n v="175.0"/>
        <n v="109.0"/>
        <n v="646.0"/>
        <n v="96.0"/>
        <n v="844.0"/>
        <n v="171.0"/>
        <n v="1656.0"/>
        <n v="544.0"/>
        <n v="1676.0"/>
        <n v="1912.0"/>
        <n v="999.0"/>
        <n v="654.0"/>
        <n v="267.0"/>
        <n v="234.0"/>
        <n v="834.0"/>
        <n v="485.0"/>
        <n v="480.0"/>
        <n v="244.0"/>
        <n v="219.0"/>
        <n v="687.0"/>
        <n v="2055.0"/>
        <n v="980.0"/>
        <n v="565.0"/>
        <n v="292.0"/>
        <n v="736.0"/>
        <n v="1105.0"/>
        <n v="2210.0"/>
        <n v="465.0"/>
        <n v="380.0"/>
        <n v="313.0"/>
        <n v="696.0"/>
        <n v="349.0"/>
        <n v="1895.0"/>
        <n v="1792.0"/>
        <n v="346.0"/>
        <n v="912.0"/>
        <n v="1720.0"/>
        <n v="1880.0"/>
        <n v="498.0"/>
        <n v="1053.0"/>
        <n v="116.0"/>
        <n v="1256.0"/>
        <n v="1420.0"/>
        <n v="332.0"/>
        <n v="478.0"/>
        <n v="344.0"/>
        <n v="616.0"/>
        <n v="436.0"/>
        <n v="365.0"/>
        <n v="920.0"/>
        <n v="352.0"/>
        <n v="1908.0"/>
        <n v="148.0"/>
        <n v="2150.0"/>
        <n v="572.0"/>
        <n v="819.0"/>
        <n v="837.0"/>
        <n v="420.0"/>
        <n v="229.0"/>
        <n v="384.0"/>
        <n v="373.0"/>
        <n v="945.0"/>
        <n v="1605.0"/>
        <n v="378.0"/>
        <n v="1215.0"/>
        <n v="852.0"/>
        <n v="271.0"/>
        <n v="426.0"/>
        <n v="712.0"/>
        <n v="466.0"/>
        <n v="2470.0"/>
        <n v="915.0"/>
        <n v="692.0"/>
        <n v="354.0"/>
        <n v="342.0"/>
        <n v="1281.0"/>
        <n v="376.0"/>
        <n v="102.0"/>
        <n v="632.0"/>
        <n v="156.0"/>
        <n v="215.0"/>
        <n v="257.0"/>
        <n v="1491.0"/>
        <n v="230.0"/>
        <n v="368.0"/>
        <n v="582.0"/>
        <n v="684.0"/>
        <n v="1930.0"/>
        <n v="74.0"/>
        <n v="245.0"/>
        <n v="1356.0"/>
        <n v="487.0"/>
        <n v="1675.0"/>
        <n v="428.0"/>
        <n v="1808.0"/>
        <n v="860.0"/>
        <n v="416.0"/>
        <n v="1732.0"/>
        <n v="395.0"/>
        <n v="181.0"/>
        <n v="588.0"/>
        <n v="174.0"/>
        <n v="1068.0"/>
        <n v="625.0"/>
        <n v="2360.0"/>
        <n v="489.0"/>
        <n v="70.0"/>
        <n v="1668.0"/>
        <n v="392.0"/>
        <n v="1448.0"/>
        <n v="1725.0"/>
        <n v="243.0"/>
        <n v="388.0"/>
        <n v="172.0"/>
        <n v="576.0"/>
        <n v="522.0"/>
        <n v="876.0"/>
        <n v="729.0"/>
        <n v="1910.0"/>
        <n v="308.0"/>
        <n v="1428.0"/>
        <n v="82.0"/>
        <n v="585.0"/>
        <n v="2370.0"/>
        <n v="668.0"/>
        <n v="1100.0"/>
        <n v="1410.0"/>
        <n v="2495.0"/>
        <n v="170.0"/>
        <n v="52.0"/>
        <n v="780.0"/>
        <n v="1350.0"/>
        <n v="1464.0"/>
        <n v="210.0"/>
        <n v="1516.0"/>
        <n v="408.0"/>
        <n v="1900.0"/>
        <n v="1775.0"/>
        <n v="1612.0"/>
        <n v="101.0"/>
        <n v="294.0"/>
        <n v="299.0"/>
        <n v="698.0"/>
        <n v="1000.0"/>
        <n v="774.0"/>
        <n v="824.0"/>
        <n v="775.0"/>
        <n v="214.0"/>
        <n v="870.0"/>
        <n v="542.0"/>
        <n v="652.0"/>
        <n v="840.0"/>
        <n v="284.0"/>
        <n v="1200.0"/>
        <n v="218.0"/>
        <n v="217.0"/>
        <n v="104.0"/>
        <n v="1712.0"/>
        <n v="249.0"/>
        <n v="339.0"/>
        <n v="884.0"/>
        <n v="2105.0"/>
        <n v="279.0"/>
        <n v="785.0"/>
        <n v="1452.0"/>
        <n v="1445.0"/>
        <n v="1305.0"/>
        <n v="759.0"/>
        <n v="1371.0"/>
        <n v="325.0"/>
        <n v="960.0"/>
        <n v="580.0"/>
        <n v="2335.0"/>
        <n v="496.0"/>
        <n v="1218.0"/>
        <n v="1325.0"/>
        <n v="794.0"/>
        <n v="718.0"/>
        <n v="672.0"/>
        <n v="624.0"/>
        <n v="1467.0"/>
        <n v="318.0"/>
        <n v="612.0"/>
        <n v="1268.0"/>
        <n v="442.0"/>
        <n v="264.0"/>
        <n v="198.0"/>
        <n v="890.0"/>
        <n v="897.0"/>
        <n v="479.0"/>
        <n v="1389.0"/>
        <n v="1293.0"/>
        <n v="213.0"/>
        <n v="2275.0"/>
        <n v="528.0"/>
        <n v="636.0"/>
        <n v="1945.0"/>
        <n v="255.0"/>
        <n v="666.0"/>
        <n v="100.0"/>
        <n v="382.0"/>
        <n v="1116.0"/>
        <n v="184.0"/>
        <n v="895.0"/>
        <n v="836.0"/>
        <n v="2430.0"/>
        <n v="123.0"/>
        <n v="179.0"/>
        <n v="51.0"/>
        <n v="1960.0"/>
        <n v="1365.0"/>
        <n v="154.0"/>
        <n v="404.0"/>
        <n v="193.0"/>
        <n v="1280.0"/>
        <n v="2350.0"/>
        <n v="1272.0"/>
        <n v="957.0"/>
        <n v="958.0"/>
        <n v="905.0"/>
        <n v="1805.0"/>
        <n v="254.0"/>
        <n v="748.0"/>
        <n v="620.0"/>
        <n v="956.0"/>
        <n v="880.0"/>
        <n v="716.0"/>
        <n v="796.0"/>
        <n v="519.0"/>
        <n v="314.0"/>
        <n v="640.0"/>
        <n v="650.0"/>
        <n v="457.0"/>
        <n v="2125.0"/>
        <n v="500.0"/>
        <n v="681.0"/>
        <n v="2130.0"/>
        <n v="386.0"/>
        <n v="470.0"/>
        <n v="321.0"/>
        <n v="250.0"/>
        <n v="1345.0"/>
        <n v="1540.0"/>
        <n v="320.0"/>
        <n v="446.0"/>
        <n v="1377.0"/>
        <n v="113.0"/>
        <n v="455.0"/>
        <n v="305.0"/>
        <n v="938.0"/>
        <n v="474.0"/>
        <n v="825.0"/>
        <n v="129.0"/>
        <n v="1996.0"/>
        <n v="328.0"/>
        <n v="795.0"/>
        <n v="1544.0"/>
        <n v="1440.0"/>
        <n v="1005.0"/>
        <n v="1084.0"/>
        <n v="627.0"/>
        <n v="251.0"/>
        <n v="1772.0"/>
        <n v="1300.0"/>
        <n v="812.0"/>
        <n v="502.0"/>
        <n v="630.0"/>
        <n v="324.0"/>
        <n v="826.0"/>
        <n v="816.0"/>
        <n v="435.0"/>
        <n v="606.0"/>
        <n v="693.0"/>
        <n v="1716.0"/>
        <n v="50.0"/>
        <n v="127.0"/>
        <n v="1170.0"/>
        <n v="596.0"/>
        <n v="1413.0"/>
        <n v="801.0"/>
        <n v="114.0"/>
        <n v="147.0"/>
        <n v="370.0"/>
        <n v="1752.0"/>
        <n v="201.0"/>
        <n v="948.0"/>
        <n v="1432.0"/>
        <n v="1329.0"/>
        <n v="928.0"/>
        <n v="1535.0"/>
        <n v="605.0"/>
        <n v="530.0"/>
        <n v="902.0"/>
        <n v="1060.0"/>
        <n v="1344.0"/>
        <n v="814.0"/>
        <n v="1236.0"/>
        <n v="508.0"/>
        <n v="1014.0"/>
        <n v="1340.0"/>
        <n v="379.0"/>
        <n v="1876.0"/>
        <n v="282.0"/>
        <n v="1976.0"/>
        <n v="1545.0"/>
        <n v="118.0"/>
        <n v="966.0"/>
        <n v="1312.0"/>
        <n v="552.0"/>
        <n v="340.0"/>
        <n v="89.0"/>
        <n v="134.0"/>
        <n v="1590.0"/>
        <n v="183.0"/>
        <n v="896.0"/>
        <n v="232.0"/>
        <n v="486.0"/>
        <n v="964.0"/>
        <n v="256.0"/>
        <n v="1383.0"/>
        <n v="732.0"/>
        <n v="832.0"/>
        <n v="879.0"/>
        <n v="63.0"/>
        <n v="2160.0"/>
        <n v="1972.0"/>
        <n v="872.0"/>
        <n v="2060.0"/>
        <n v="1204.0"/>
        <n v="564.0"/>
        <n v="926.0"/>
        <n v="1296.0"/>
        <n v="476.0"/>
        <n v="225.0"/>
        <n v="322.0"/>
        <n v="440.0"/>
        <n v="316.0"/>
        <n v="664.0"/>
        <n v="130.0"/>
        <n v="2445.0"/>
        <n v="77.0"/>
        <n v="310.0"/>
        <n v="858.0"/>
        <n v="460.0"/>
        <n v="790.0"/>
        <n v="994.0"/>
        <n v="1052.0"/>
        <n v="670.0"/>
        <n v="927.0"/>
        <n v="2295.0"/>
        <n v="88.0"/>
        <n v="158.0"/>
        <n v="738.0"/>
        <n v="107.0"/>
        <n v="1032.0"/>
        <n v="935.0"/>
        <n v="468.0"/>
        <n v="1104.0"/>
        <n v="1850.0"/>
        <n v="142.0"/>
        <n v="1416.0"/>
        <n v="260.0"/>
        <n v="2270.0"/>
        <n v="1950.0"/>
        <n v="1988.0"/>
        <n v="984.0"/>
        <n v="449.0"/>
        <n v="768.0"/>
        <n v="1424.0"/>
        <n v="438.0"/>
        <n v="1160.0"/>
        <n v="766.0"/>
        <n v="2095.0"/>
        <n v="69.0"/>
        <n v="274.0"/>
        <n v="850.0"/>
        <n v="992.0"/>
        <n v="411.0"/>
        <n v="1208.0"/>
        <n v="187.0"/>
        <n v="942.0"/>
        <n v="516.0"/>
        <n v="1928.0"/>
        <n v="350.0"/>
        <n v="222.0"/>
        <n v="1352.0"/>
        <n v="286.0"/>
        <n v="651.0"/>
        <n v="1041.0"/>
        <n v="568.0"/>
        <n v="459.0"/>
        <n v="58.0"/>
        <n v="930.0"/>
        <n v="152.0"/>
        <n v="1434.0"/>
        <n v="75.0"/>
        <n v="735.0"/>
        <n v="1616.0"/>
        <n v="361.0"/>
        <n v="2020.0"/>
        <n v="396.0"/>
        <n v="1332.0"/>
        <n v="604.0"/>
        <n v="618.0"/>
        <n v="1450.0"/>
        <n v="1620.0"/>
        <n v="1405.0"/>
        <n v="1035.0"/>
        <n v="756.0"/>
        <n v="1635.0"/>
        <n v="407.0"/>
        <n v="711.0"/>
        <n v="1359.0"/>
        <n v="750.0"/>
        <n v="1870.0"/>
        <n v="1284.0"/>
        <n v="1368.0"/>
        <n v="988.0"/>
        <n v="1552.0"/>
        <n v="1488.0"/>
        <n v="885.0"/>
        <n v="301.0"/>
        <n v="293.0"/>
        <n v="764.0"/>
        <n v="1184.0"/>
        <n v="690.0"/>
        <n v="1113.0"/>
        <n v="441.0"/>
        <n v="2200.0"/>
        <n v="908.0"/>
        <n v="1660.0"/>
        <n v="784.0"/>
        <n v="356.0"/>
        <n v="830.0"/>
        <n v="1984.0"/>
        <n v="1285.0"/>
        <n v="952.0"/>
        <n v="464.0"/>
        <n v="1940.0"/>
        <n v="300.0"/>
        <n v="1896.0"/>
        <n v="270.0"/>
        <n v="1385.0"/>
        <n v="2135.0"/>
        <n v="676.0"/>
        <n v="1140.0"/>
        <n v="1026.0"/>
        <n v="1260.0"/>
        <n v="946.0"/>
        <n v="1029.0"/>
        <n v="309.0"/>
        <n v="1290.0"/>
        <n v="1010.0"/>
        <n v="155.0"/>
        <n v="360.0"/>
        <n v="955.0"/>
        <n v="724.0"/>
        <n v="1970.0"/>
        <n v="2250.0"/>
        <n v="323.0"/>
        <n v="2485.0"/>
        <n v="144.0"/>
        <n v="291.0"/>
        <n v="504.0"/>
        <n v="108.0"/>
        <n v="600.0"/>
        <n v="932.0"/>
        <n v="1812.0"/>
        <n v="285.0"/>
        <n v="326.0"/>
        <n v="490.0"/>
        <n v="475.0"/>
        <n v="1510.0"/>
        <n v="2195.0"/>
        <n v="680.0"/>
        <n v="1096.0"/>
        <n v="567.0"/>
        <n v="2320.0"/>
        <n v="700.0"/>
        <n v="706.0"/>
        <n v="400.0"/>
        <n v="1240.0"/>
        <n v="1050.0"/>
        <n v="67.0"/>
        <n v="1470.0"/>
        <n v="808.0"/>
        <n v="196.0"/>
        <n v="417.0"/>
        <n v="910.0"/>
        <n v="364.0"/>
        <n v="1015.0"/>
        <n v="515.0"/>
        <n v="688.0"/>
        <n v="1308.0"/>
        <n v="1017.0"/>
        <n v="1044.0"/>
        <n v="1192.0"/>
        <n v="882.0"/>
        <n v="1664.0"/>
        <n v="1548.0"/>
        <n v="302.0"/>
        <n v="471.0"/>
        <n v="275.0"/>
        <n v="1175.0"/>
        <n v="1916.0"/>
        <n v="1108.0"/>
        <n v="635.0"/>
        <n v="2115.0"/>
        <n v="940.0"/>
        <n v="996.0"/>
        <n v="431.0"/>
        <n v="1528.0"/>
        <n v="281.0"/>
        <n v="444.0"/>
        <n v="1530.0"/>
        <n v="391.0"/>
        <n v="252.0"/>
        <n v="1592.0"/>
        <n v="200.0"/>
        <n v="402.0"/>
        <n v="226.0"/>
        <n v="73.0"/>
        <n v="194.0"/>
        <n v="2225.0"/>
        <n v="265.0"/>
        <n v="1076.0"/>
        <n v="810.0"/>
        <n v="394.0"/>
        <n v="1220.0"/>
        <n v="513.0"/>
        <n v="1398.0"/>
        <n v="289.0"/>
        <n v="573.0"/>
        <n v="986.0"/>
        <n v="1695.0"/>
        <n v="1264.0"/>
        <n v="1136.0"/>
        <n v="868.0"/>
        <n v="363.0"/>
        <n v="560.0"/>
        <n v="590.0"/>
        <n v="419.0"/>
        <n v="146.0"/>
        <n v="758.0"/>
        <n v="804.0"/>
        <n v="1011.0"/>
        <n v="160.0"/>
        <n v="985.0"/>
        <n v="874.0"/>
        <n v="410.0"/>
        <n v="1095.0"/>
        <n v="1269.0"/>
        <n v="540.0"/>
        <n v="1112.0"/>
        <n v="2380.0"/>
        <n v="280.0"/>
        <n v="315.0"/>
        <n v="353.0"/>
        <n v="397.0"/>
        <n v="177.0"/>
        <n v="1648.0"/>
        <n v="558.0"/>
        <n v="472.0"/>
        <n v="720.0"/>
        <n v="1482.0"/>
        <n v="355.0"/>
        <n v="488.0"/>
        <n v="848.0"/>
        <n v="1145.0"/>
        <n v="1295.0"/>
        <n v="921.0"/>
        <n v="334.0"/>
        <n v="1059.0"/>
        <n v="2355.0"/>
        <n v="939.0"/>
        <n v="1360.0"/>
        <n v="296.0"/>
        <n v="782.0"/>
        <n v="800.0"/>
        <n v="2100.0"/>
        <n v="278.0"/>
        <n v="1455.0"/>
        <n v="1436.0"/>
        <n v="594.0"/>
        <n v="103.0"/>
        <n v="802.0"/>
        <n v="139.0"/>
        <n v="1520.0"/>
        <n v="445.0"/>
        <n v="1415.0"/>
        <n v="1836.0"/>
        <n v="976.0"/>
        <n v="598.0"/>
        <n v="1263.0"/>
        <n v="453.0"/>
      </sharedItems>
    </cacheField>
    <cacheField name="дата создания чека" numFmtId="14">
      <sharedItems containsSemiMixedTypes="0" containsDate="1" containsString="0">
        <d v="2023-09-18T00:00:00Z"/>
        <d v="2023-06-06T00:00:00Z"/>
        <d v="2024-03-12T00:00:00Z"/>
        <d v="2023-12-02T00:00:00Z"/>
        <d v="2023-08-13T00:00:00Z"/>
        <d v="2023-12-21T00:00:00Z"/>
        <d v="2024-02-27T00:00:00Z"/>
        <d v="2024-02-05T00:00:00Z"/>
        <d v="2024-03-25T00:00:00Z"/>
        <d v="2023-04-16T00:00:00Z"/>
        <d v="2023-07-29T00:00:00Z"/>
        <d v="2024-04-12T00:00:00Z"/>
        <d v="2023-12-06T00:00:00Z"/>
        <d v="2023-07-26T00:00:00Z"/>
        <d v="2023-02-15T00:00:00Z"/>
        <d v="2023-02-23T00:00:00Z"/>
        <d v="2023-10-17T00:00:00Z"/>
        <d v="2023-07-09T00:00:00Z"/>
        <d v="2023-05-12T00:00:00Z"/>
        <d v="2023-08-20T00:00:00Z"/>
        <d v="2023-11-14T00:00:00Z"/>
        <d v="2023-07-16T00:00:00Z"/>
        <d v="2023-04-11T00:00:00Z"/>
        <d v="2023-02-09T00:00:00Z"/>
        <d v="2024-02-04T00:00:00Z"/>
        <d v="2023-09-05T00:00:00Z"/>
        <d v="2023-06-22T00:00:00Z"/>
        <d v="2024-03-17T00:00:00Z"/>
        <d v="2023-04-24T00:00:00Z"/>
        <d v="2024-05-02T00:00:00Z"/>
        <d v="2023-07-18T00:00:00Z"/>
        <d v="2024-03-01T00:00:00Z"/>
        <d v="2023-03-12T00:00:00Z"/>
        <d v="2023-12-07T00:00:00Z"/>
        <d v="2024-03-30T00:00:00Z"/>
        <d v="2023-02-14T00:00:00Z"/>
        <d v="2023-01-21T00:00:00Z"/>
        <d v="2023-07-22T00:00:00Z"/>
        <d v="2024-04-24T00:00:00Z"/>
        <d v="2023-07-10T00:00:00Z"/>
        <d v="2023-09-25T00:00:00Z"/>
        <d v="2023-09-27T00:00:00Z"/>
        <d v="2023-06-27T00:00:00Z"/>
        <d v="2023-11-04T00:00:00Z"/>
        <d v="2024-04-05T00:00:00Z"/>
        <d v="2023-02-19T00:00:00Z"/>
        <d v="2023-05-17T00:00:00Z"/>
        <d v="2023-10-09T00:00:00Z"/>
        <d v="2024-04-16T00:00:00Z"/>
        <d v="2023-11-09T00:00:00Z"/>
        <d v="2023-06-03T00:00:00Z"/>
        <d v="2024-01-17T00:00:00Z"/>
        <d v="2023-11-16T00:00:00Z"/>
        <d v="2024-03-05T00:00:00Z"/>
        <d v="2024-04-18T00:00:00Z"/>
        <d v="2023-10-15T00:00:00Z"/>
        <d v="2024-05-11T00:00:00Z"/>
        <d v="2023-02-24T00:00:00Z"/>
        <d v="2023-11-15T00:00:00Z"/>
        <d v="2023-01-08T00:00:00Z"/>
        <d v="2023-12-20T00:00:00Z"/>
        <d v="2023-07-07T00:00:00Z"/>
        <d v="2023-02-16T00:00:00Z"/>
        <d v="2023-03-04T00:00:00Z"/>
        <d v="2023-12-27T00:00:00Z"/>
        <d v="2023-02-18T00:00:00Z"/>
        <d v="2023-04-30T00:00:00Z"/>
        <d v="2023-03-15T00:00:00Z"/>
        <d v="2024-01-15T00:00:00Z"/>
        <d v="2023-03-08T00:00:00Z"/>
        <d v="2024-03-09T00:00:00Z"/>
        <d v="2023-01-04T00:00:00Z"/>
        <d v="2024-01-25T00:00:00Z"/>
        <d v="2023-07-02T00:00:00Z"/>
        <d v="2024-01-11T00:00:00Z"/>
        <d v="2023-08-26T00:00:00Z"/>
        <d v="2023-01-20T00:00:00Z"/>
        <d v="2023-09-04T00:00:00Z"/>
        <d v="2023-03-19T00:00:00Z"/>
        <d v="2023-12-12T00:00:00Z"/>
        <d v="2023-01-13T00:00:00Z"/>
        <d v="2023-09-20T00:00:00Z"/>
        <d v="2023-06-02T00:00:00Z"/>
        <d v="2023-01-01T00:00:00Z"/>
        <d v="2023-10-27T00:00:00Z"/>
        <d v="2024-04-06T00:00:00Z"/>
        <d v="2024-05-12T00:00:00Z"/>
        <d v="2023-09-14T00:00:00Z"/>
        <d v="2023-10-19T00:00:00Z"/>
        <d v="2023-12-30T00:00:00Z"/>
        <d v="2023-11-05T00:00:00Z"/>
        <d v="2023-09-28T00:00:00Z"/>
        <d v="2023-01-16T00:00:00Z"/>
        <d v="2023-05-31T00:00:00Z"/>
        <d v="2024-02-09T00:00:00Z"/>
        <d v="2023-10-11T00:00:00Z"/>
        <d v="2023-06-05T00:00:00Z"/>
        <d v="2023-09-02T00:00:00Z"/>
        <d v="2023-11-29T00:00:00Z"/>
        <d v="2023-06-18T00:00:00Z"/>
        <d v="2023-04-17T00:00:00Z"/>
        <d v="2023-12-25T00:00:00Z"/>
        <d v="2023-03-28T00:00:00Z"/>
        <d v="2023-04-23T00:00:00Z"/>
        <d v="2023-12-17T00:00:00Z"/>
        <d v="2023-09-07T00:00:00Z"/>
        <d v="2023-01-22T00:00:00Z"/>
        <d v="2023-02-02T00:00:00Z"/>
        <d v="2023-11-11T00:00:00Z"/>
        <d v="2024-02-16T00:00:00Z"/>
        <d v="2024-02-21T00:00:00Z"/>
        <d v="2023-02-03T00:00:00Z"/>
        <d v="2024-05-21T00:00:00Z"/>
        <d v="2024-01-22T00:00:00Z"/>
        <d v="2024-03-10T00:00:00Z"/>
        <d v="2023-04-09T00:00:00Z"/>
        <d v="2024-03-28T00:00:00Z"/>
        <d v="2023-11-30T00:00:00Z"/>
        <d v="2023-03-24T00:00:00Z"/>
        <d v="2023-04-13T00:00:00Z"/>
        <d v="2024-04-02T00:00:00Z"/>
        <d v="2024-01-23T00:00:00Z"/>
        <d v="2024-05-22T00:00:00Z"/>
        <d v="2023-04-22T00:00:00Z"/>
        <d v="2023-05-24T00:00:00Z"/>
        <d v="2023-07-03T00:00:00Z"/>
        <d v="2024-03-21T00:00:00Z"/>
        <d v="2024-02-14T00:00:00Z"/>
        <d v="2023-08-29T00:00:00Z"/>
        <d v="2023-05-23T00:00:00Z"/>
        <d v="2023-06-26T00:00:00Z"/>
        <d v="2023-12-04T00:00:00Z"/>
        <d v="2024-01-19T00:00:00Z"/>
        <d v="2023-03-05T00:00:00Z"/>
        <d v="2023-09-16T00:00:00Z"/>
        <d v="2023-08-15T00:00:00Z"/>
        <d v="2023-06-29T00:00:00Z"/>
        <d v="2023-05-05T00:00:00Z"/>
        <d v="2023-06-04T00:00:00Z"/>
        <d v="2023-03-27T00:00:00Z"/>
        <d v="2023-03-06T00:00:00Z"/>
        <d v="2023-12-23T00:00:00Z"/>
        <d v="2023-12-31T00:00:00Z"/>
        <d v="2023-10-03T00:00:00Z"/>
        <d v="2023-01-23T00:00:00Z"/>
        <d v="2024-04-30T00:00:00Z"/>
        <d v="2023-04-25T00:00:00Z"/>
        <d v="2024-02-19T00:00:00Z"/>
        <d v="2023-12-29T00:00:00Z"/>
        <d v="2023-09-06T00:00:00Z"/>
        <d v="2024-03-18T00:00:00Z"/>
        <d v="2024-03-02T00:00:00Z"/>
        <d v="2024-05-01T00:00:00Z"/>
        <d v="2023-08-27T00:00:00Z"/>
        <d v="2024-02-03T00:00:00Z"/>
        <d v="2023-10-13T00:00:00Z"/>
        <d v="2023-11-23T00:00:00Z"/>
        <d v="2024-05-09T00:00:00Z"/>
        <d v="2024-04-29T00:00:00Z"/>
        <d v="2024-01-18T00:00:00Z"/>
        <d v="2023-06-07T00:00:00Z"/>
        <d v="2023-02-12T00:00:00Z"/>
        <d v="2023-12-16T00:00:00Z"/>
        <d v="2024-03-29T00:00:00Z"/>
        <d v="2023-09-24T00:00:00Z"/>
        <d v="2024-02-13T00:00:00Z"/>
        <d v="2023-11-25T00:00:00Z"/>
        <d v="2023-02-10T00:00:00Z"/>
        <d v="2023-03-25T00:00:00Z"/>
        <d v="2023-09-09T00:00:00Z"/>
        <d v="2023-11-21T00:00:00Z"/>
        <d v="2023-04-03T00:00:00Z"/>
        <d v="2023-02-26T00:00:00Z"/>
        <d v="2023-04-15T00:00:00Z"/>
        <d v="2023-06-15T00:00:00Z"/>
        <d v="2023-06-28T00:00:00Z"/>
        <d v="2023-12-05T00:00:00Z"/>
        <d v="2023-07-01T00:00:00Z"/>
        <d v="2024-03-20T00:00:00Z"/>
        <d v="2023-04-06T00:00:00Z"/>
        <d v="2023-04-02T00:00:00Z"/>
        <d v="2023-12-22T00:00:00Z"/>
        <d v="2023-10-25T00:00:00Z"/>
        <d v="2023-09-26T00:00:00Z"/>
        <d v="2023-08-01T00:00:00Z"/>
        <d v="2023-05-30T00:00:00Z"/>
        <d v="2023-03-20T00:00:00Z"/>
        <d v="2024-02-29T00:00:00Z"/>
        <d v="2024-05-18T00:00:00Z"/>
        <d v="2024-05-15T00:00:00Z"/>
        <d v="2024-04-27T00:00:00Z"/>
        <d v="2023-08-09T00:00:00Z"/>
        <d v="2023-03-11T00:00:00Z"/>
        <d v="2024-04-14T00:00:00Z"/>
        <d v="2023-05-13T00:00:00Z"/>
        <d v="2023-03-02T00:00:00Z"/>
        <d v="2024-03-14T00:00:00Z"/>
        <d v="2024-01-31T00:00:00Z"/>
        <d v="2023-05-11T00:00:00Z"/>
        <d v="2023-03-26T00:00:00Z"/>
        <d v="2023-04-12T00:00:00Z"/>
        <d v="2023-03-21T00:00:00Z"/>
        <d v="2024-01-09T00:00:00Z"/>
        <d v="2023-01-25T00:00:00Z"/>
        <d v="2024-04-23T00:00:00Z"/>
        <d v="2023-02-04T00:00:00Z"/>
        <d v="2023-01-07T00:00:00Z"/>
        <d v="2023-12-01T00:00:00Z"/>
        <d v="2024-02-07T00:00:00Z"/>
        <d v="2024-02-15T00:00:00Z"/>
        <d v="2023-04-29T00:00:00Z"/>
        <d v="2023-08-19T00:00:00Z"/>
        <d v="2023-01-19T00:00:00Z"/>
        <d v="2023-08-04T00:00:00Z"/>
        <d v="2023-04-21T00:00:00Z"/>
        <d v="2023-11-20T00:00:00Z"/>
        <d v="2024-05-04T00:00:00Z"/>
        <d v="2023-09-30T00:00:00Z"/>
        <d v="2023-08-28T00:00:00Z"/>
        <d v="2023-07-19T00:00:00Z"/>
        <d v="2024-04-09T00:00:00Z"/>
        <d v="2024-04-10T00:00:00Z"/>
        <d v="2024-03-11T00:00:00Z"/>
        <d v="2023-03-16T00:00:00Z"/>
        <d v="2023-01-17T00:00:00Z"/>
        <d v="2023-02-28T00:00:00Z"/>
        <d v="2024-02-01T00:00:00Z"/>
        <d v="2024-01-08T00:00:00Z"/>
        <d v="2023-05-21T00:00:00Z"/>
        <d v="2023-06-30T00:00:00Z"/>
        <d v="2023-02-27T00:00:00Z"/>
        <d v="2023-09-23T00:00:00Z"/>
        <d v="2023-01-10T00:00:00Z"/>
        <d v="2023-08-30T00:00:00Z"/>
        <d v="2023-01-29T00:00:00Z"/>
        <d v="2024-01-06T00:00:00Z"/>
        <d v="2023-10-23T00:00:00Z"/>
        <d v="2023-10-12T00:00:00Z"/>
        <d v="2023-09-15T00:00:00Z"/>
        <d v="2023-05-18T00:00:00Z"/>
        <d v="2023-11-28T00:00:00Z"/>
        <d v="2023-12-19T00:00:00Z"/>
        <d v="2023-06-10T00:00:00Z"/>
        <d v="2024-03-19T00:00:00Z"/>
        <d v="2023-11-13T00:00:00Z"/>
        <d v="2024-03-15T00:00:00Z"/>
        <d v="2023-06-25T00:00:00Z"/>
        <d v="2023-08-23T00:00:00Z"/>
        <d v="2023-09-13T00:00:00Z"/>
        <d v="2023-10-28T00:00:00Z"/>
        <d v="2023-11-02T00:00:00Z"/>
        <d v="2023-06-14T00:00:00Z"/>
        <d v="2024-02-28T00:00:00Z"/>
        <d v="2024-02-24T00:00:00Z"/>
        <d v="2023-01-12T00:00:00Z"/>
        <d v="2023-04-20T00:00:00Z"/>
        <d v="2023-10-18T00:00:00Z"/>
        <d v="2024-01-01T00:00:00Z"/>
        <d v="2024-04-03T00:00:00Z"/>
        <d v="2023-05-08T00:00:00Z"/>
        <d v="2023-12-14T00:00:00Z"/>
        <d v="2023-01-06T00:00:00Z"/>
        <d v="2024-03-23T00:00:00Z"/>
        <d v="2023-05-29T00:00:00Z"/>
        <d v="2023-08-22T00:00:00Z"/>
        <d v="2023-07-25T00:00:00Z"/>
        <d v="2023-06-21T00:00:00Z"/>
        <d v="2023-10-08T00:00:00Z"/>
        <d v="2023-05-06T00:00:00Z"/>
        <d v="2023-02-25T00:00:00Z"/>
        <d v="2024-02-18T00:00:00Z"/>
        <d v="2023-11-24T00:00:00Z"/>
        <d v="2024-02-20T00:00:00Z"/>
        <d v="2024-03-22T00:00:00Z"/>
        <d v="2024-02-10T00:00:00Z"/>
        <d v="2024-03-24T00:00:00Z"/>
        <d v="2023-01-02T00:00:00Z"/>
        <d v="2023-11-01T00:00:00Z"/>
        <d v="2023-07-17T00:00:00Z"/>
        <d v="2023-08-07T00:00:00Z"/>
        <d v="2024-02-26T00:00:00Z"/>
        <d v="2023-11-03T00:00:00Z"/>
        <d v="2023-10-06T00:00:00Z"/>
        <d v="2024-03-06T00:00:00Z"/>
        <d v="2023-01-28T00:00:00Z"/>
        <d v="2023-03-01T00:00:00Z"/>
        <d v="2023-01-05T00:00:00Z"/>
        <d v="2023-09-29T00:00:00Z"/>
        <d v="2024-03-26T00:00:00Z"/>
        <d v="2023-05-28T00:00:00Z"/>
        <d v="2023-07-13T00:00:00Z"/>
        <d v="2023-05-20T00:00:00Z"/>
        <d v="2023-10-07T00:00:00Z"/>
        <d v="2024-05-13T00:00:00Z"/>
        <d v="2023-11-26T00:00:00Z"/>
        <d v="2023-03-22T00:00:00Z"/>
        <d v="2023-01-09T00:00:00Z"/>
        <d v="2023-03-23T00:00:00Z"/>
        <d v="2023-10-20T00:00:00Z"/>
        <d v="2024-01-21T00:00:00Z"/>
        <d v="2024-04-28T00:00:00Z"/>
        <d v="2024-05-08T00:00:00Z"/>
        <d v="2023-10-14T00:00:00Z"/>
        <d v="2023-08-18T00:00:00Z"/>
        <d v="2023-04-05T00:00:00Z"/>
        <d v="2023-12-11T00:00:00Z"/>
        <d v="2024-04-26T00:00:00Z"/>
        <d v="2023-09-19T00:00:00Z"/>
        <d v="2023-03-18T00:00:00Z"/>
        <d v="2023-06-17T00:00:00Z"/>
        <d v="2024-01-13T00:00:00Z"/>
        <d v="2024-04-07T00:00:00Z"/>
        <d v="2023-06-01T00:00:00Z"/>
        <d v="2024-04-25T00:00:00Z"/>
        <d v="2024-02-22T00:00:00Z"/>
        <d v="2023-07-24T00:00:00Z"/>
        <d v="2024-01-10T00:00:00Z"/>
        <d v="2024-03-08T00:00:00Z"/>
        <d v="2023-08-17T00:00:00Z"/>
        <d v="2023-11-17T00:00:00Z"/>
        <d v="2024-03-31T00:00:00Z"/>
        <d v="2024-01-26T00:00:00Z"/>
        <d v="2023-12-09T00:00:00Z"/>
        <d v="2024-03-13T00:00:00Z"/>
        <d v="2023-02-08T00:00:00Z"/>
        <d v="2023-03-31T00:00:00Z"/>
        <d v="2024-01-20T00:00:00Z"/>
        <d v="2023-09-08T00:00:00Z"/>
        <d v="2023-12-24T00:00:00Z"/>
        <d v="2023-07-14T00:00:00Z"/>
        <d v="2024-04-15T00:00:00Z"/>
        <d v="2023-03-17T00:00:00Z"/>
        <d v="2023-05-01T00:00:00Z"/>
        <d v="2024-02-08T00:00:00Z"/>
        <d v="2023-10-04T00:00:00Z"/>
        <d v="2024-03-04T00:00:00Z"/>
        <d v="2024-03-27T00:00:00Z"/>
        <d v="2024-04-04T00:00:00Z"/>
        <d v="2023-09-17T00:00:00Z"/>
        <d v="2023-05-27T00:00:00Z"/>
        <d v="2023-12-03T00:00:00Z"/>
        <d v="2023-08-08T00:00:00Z"/>
        <d v="2023-01-24T00:00:00Z"/>
        <d v="2023-04-07T00:00:00Z"/>
        <d v="2023-07-30T00:00:00Z"/>
        <d v="2023-09-12T00:00:00Z"/>
        <d v="2023-06-11T00:00:00Z"/>
        <d v="2023-02-01T00:00:00Z"/>
        <d v="2023-07-05T00:00:00Z"/>
        <d v="2023-05-09T00:00:00Z"/>
        <d v="2023-12-18T00:00:00Z"/>
        <d v="2024-04-20T00:00:00Z"/>
        <d v="2023-09-22T00:00:00Z"/>
        <d v="2023-05-15T00:00:00Z"/>
        <d v="2023-03-14T00:00:00Z"/>
        <d v="2024-04-11T00:00:00Z"/>
        <d v="2024-01-27T00:00:00Z"/>
        <d v="2023-05-07T00:00:00Z"/>
        <d v="2024-04-22T00:00:00Z"/>
        <d v="2023-08-10T00:00:00Z"/>
        <d v="2024-05-17T00:00:00Z"/>
        <d v="2023-10-24T00:00:00Z"/>
        <d v="2024-03-07T00:00:00Z"/>
        <d v="2023-01-03T00:00:00Z"/>
        <d v="2023-02-22T00:00:00Z"/>
        <d v="2023-08-12T00:00:00Z"/>
        <d v="2023-03-29T00:00:00Z"/>
        <d v="2023-07-06T00:00:00Z"/>
        <d v="2024-01-04T00:00:00Z"/>
        <d v="2023-12-26T00:00:00Z"/>
        <d v="2023-12-28T00:00:00Z"/>
        <d v="2024-02-02T00:00:00Z"/>
        <d v="2023-06-09T00:00:00Z"/>
        <d v="2024-05-03T00:00:00Z"/>
        <d v="2024-01-02T00:00:00Z"/>
        <d v="2023-08-02T00:00:00Z"/>
        <d v="2023-08-05T00:00:00Z"/>
        <d v="2023-10-30T00:00:00Z"/>
        <d v="2023-01-18T00:00:00Z"/>
        <d v="2024-05-19T00:00:00Z"/>
        <d v="2024-01-24T00:00:00Z"/>
        <d v="2023-07-15T00:00:00Z"/>
        <d v="2023-04-04T00:00:00Z"/>
        <d v="2023-03-07T00:00:00Z"/>
        <d v="2024-01-05T00:00:00Z"/>
        <d v="2023-02-07T00:00:00Z"/>
        <d v="2023-04-01T00:00:00Z"/>
        <d v="2024-05-10T00:00:00Z"/>
        <d v="2023-06-23T00:00:00Z"/>
        <d v="2023-08-06T00:00:00Z"/>
        <d v="2023-07-27T00:00:00Z"/>
        <d v="2023-05-19T00:00:00Z"/>
        <d v="2024-01-12T00:00:00Z"/>
        <d v="2023-04-18T00:00:00Z"/>
        <d v="2024-04-08T00:00:00Z"/>
        <d v="2023-11-07T00:00:00Z"/>
        <d v="2023-05-16T00:00:00Z"/>
        <d v="2024-01-07T00:00:00Z"/>
        <d v="2023-05-10T00:00:00Z"/>
        <d v="2024-02-11T00:00:00Z"/>
        <d v="2023-08-25T00:00:00Z"/>
        <d v="2023-11-06T00:00:00Z"/>
        <d v="2023-10-31T00:00:00Z"/>
        <d v="2023-12-15T00:00:00Z"/>
        <d v="2024-01-03T00:00:00Z"/>
        <d v="2024-05-07T00:00:00Z"/>
        <d v="2023-07-21T00:00:00Z"/>
        <d v="2024-01-28T00:00:00Z"/>
        <d v="2024-04-13T00:00:00Z"/>
        <d v="2023-08-21T00:00:00Z"/>
        <d v="2023-05-14T00:00:00Z"/>
        <d v="2023-06-16T00:00:00Z"/>
        <d v="2023-08-16T00:00:00Z"/>
        <d v="2024-01-29T00:00:00Z"/>
        <d v="2023-07-28T00:00:00Z"/>
        <d v="2023-05-04T00:00:00Z"/>
        <d v="2023-11-10T00:00:00Z"/>
        <d v="2023-07-04T00:00:00Z"/>
        <d v="2023-02-13T00:00:00Z"/>
        <d v="2024-04-19T00:00:00Z"/>
        <d v="2023-01-11T00:00:00Z"/>
        <d v="2023-04-14T00:00:00Z"/>
        <d v="2023-06-24T00:00:00Z"/>
        <d v="2023-02-05T00:00:00Z"/>
        <d v="2024-02-17T00:00:00Z"/>
        <d v="2023-04-10T00:00:00Z"/>
        <d v="2023-06-20T00:00:00Z"/>
        <d v="2023-11-08T00:00:00Z"/>
        <d v="2023-05-26T00:00:00Z"/>
        <d v="2023-11-22T00:00:00Z"/>
        <d v="2023-07-31T00:00:00Z"/>
        <d v="2023-01-14T00:00:00Z"/>
        <d v="2023-11-19T00:00:00Z"/>
        <d v="2023-03-10T00:00:00Z"/>
        <d v="2023-12-13T00:00:00Z"/>
        <d v="2023-11-18T00:00:00Z"/>
      </sharedItems>
    </cacheField>
    <cacheField name="магазин покупки" numFmtId="0">
      <sharedItems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>
        <n v="315.0"/>
        <n v="253.0"/>
        <n v="12.0"/>
        <n v="116.0"/>
        <n v="471.0"/>
        <n v="374.0"/>
        <n v="477.0"/>
        <n v="335.0"/>
        <n v="350.0"/>
        <n v="413.0"/>
        <n v="495.0"/>
        <n v="353.0"/>
        <n v="332.0"/>
        <n v="414.0"/>
        <n v="236.0"/>
        <n v="164.0"/>
        <n v="490.0"/>
        <n v="223.0"/>
        <n v="204.0"/>
        <n v="481.0"/>
        <n v="363.0"/>
        <n v="397.0"/>
        <n v="280.0"/>
        <n v="39.0"/>
        <n v="303.0"/>
        <n v="422.0"/>
        <n v="24.0"/>
        <n v="112.0"/>
        <n v="451.0"/>
        <n v="131.0"/>
        <n v="160.0"/>
        <n v="408.0"/>
        <n v="324.0"/>
        <n v="310.0"/>
        <n v="179.0"/>
        <n v="64.0"/>
        <n v="318.0"/>
        <n v="239.0"/>
        <n v="194.0"/>
        <n v="267.0"/>
        <n v="334.0"/>
        <n v="47.0"/>
        <n v="287.0"/>
        <n v="145.0"/>
        <n v="270.0"/>
        <n v="183.0"/>
        <n v="2.0"/>
        <n v="229.0"/>
        <n v="385.0"/>
        <n v="407.0"/>
        <n v="493.0"/>
        <n v="34.0"/>
        <n v="190.0"/>
        <n v="266.0"/>
        <n v="222.0"/>
        <n v="382.0"/>
        <n v="142.0"/>
        <n v="150.0"/>
        <n v="14.0"/>
        <n v="371.0"/>
        <n v="328.0"/>
        <n v="171.0"/>
        <n v="68.0"/>
        <n v="346.0"/>
        <n v="415.0"/>
        <n v="115.0"/>
        <n v="42.0"/>
        <n v="378.0"/>
        <n v="449.0"/>
        <n v="317.0"/>
        <n v="426.0"/>
        <n v="25.0"/>
        <n v="462.0"/>
        <n v="252.0"/>
        <n v="392.0"/>
        <n v="487.0"/>
        <n v="134.0"/>
        <n v="11.0"/>
        <n v="458.0"/>
        <n v="130.0"/>
        <n v="330.0"/>
        <n v="167.0"/>
        <n v="140.0"/>
        <n v="423.0"/>
        <n v="365.0"/>
        <n v="452.0"/>
        <n v="424.0"/>
        <n v="75.0"/>
        <n v="71.0"/>
        <n v="313.0"/>
        <n v="301.0"/>
        <n v="359.0"/>
        <n v="474.0"/>
        <n v="111.0"/>
        <n v="126.0"/>
        <n v="356.0"/>
        <n v="166.0"/>
        <n v="162.0"/>
        <n v="459.0"/>
        <n v="211.0"/>
        <n v="132.0"/>
        <n v="333.0"/>
        <n v="298.0"/>
        <n v="273.0"/>
        <n v="321.0"/>
        <n v="119.0"/>
        <n v="472.0"/>
        <n v="396.0"/>
        <n v="269.0"/>
        <n v="16.0"/>
        <n v="281.0"/>
        <n v="149.0"/>
        <n v="380.0"/>
        <n v="114.0"/>
        <n v="381.0"/>
        <n v="342.0"/>
        <n v="276.0"/>
        <n v="293.0"/>
        <n v="386.0"/>
        <n v="362.0"/>
        <n v="283.0"/>
        <n v="388.0"/>
        <n v="437.0"/>
        <n v="450.0"/>
        <n v="136.0"/>
        <n v="61.0"/>
        <n v="364.0"/>
        <n v="496.0"/>
        <n v="464.0"/>
        <n v="419.0"/>
        <n v="247.0"/>
        <n v="73.0"/>
        <n v="139.0"/>
        <n v="258.0"/>
        <n v="349.0"/>
        <n v="325.0"/>
        <n v="250.0"/>
        <n v="153.0"/>
        <n v="286.0"/>
        <n v="32.0"/>
        <n v="49.0"/>
        <n v="420.0"/>
        <n v="202.0"/>
        <n v="37.0"/>
        <n v="366.0"/>
        <n v="434.0"/>
        <n v="172.0"/>
        <n v="52.0"/>
        <n v="395.0"/>
        <n v="46.0"/>
        <n v="361.0"/>
        <n v="358.0"/>
        <n v="44.0"/>
        <n v="416.0"/>
        <n v="74.0"/>
        <n v="180.0"/>
        <n v="159.0"/>
        <n v="106.0"/>
        <n v="65.0"/>
        <n v="457.0"/>
        <n v="255.0"/>
        <n v="436.0"/>
        <n v="175.0"/>
        <n v="274.0"/>
        <n v="59.0"/>
        <n v="411.0"/>
        <n v="259.0"/>
        <n v="337.0"/>
        <n v="354.0"/>
        <n v="329.0"/>
        <n v="186.0"/>
        <n v="448.0"/>
        <n v="377.0"/>
        <n v="316.0"/>
        <n v="322.0"/>
        <n v="62.0"/>
        <n v="295.0"/>
        <n v="235.0"/>
        <n v="156.0"/>
        <n v="327.0"/>
        <n v="275.0"/>
        <n v="177.0"/>
        <n v="181.0"/>
        <n v="478.0"/>
        <n v="429.0"/>
        <n v="431.0"/>
        <n v="147.0"/>
        <n v="312.0"/>
        <n v="41.0"/>
        <n v="389.0"/>
        <n v="249.0"/>
        <n v="168.0"/>
        <n v="121.0"/>
        <n v="405.0"/>
        <n v="376.0"/>
        <n v="489.0"/>
        <n v="483.0"/>
        <n v="107.0"/>
        <n v="51.0"/>
        <n v="9.0"/>
        <n v="456.0"/>
        <n v="110.0"/>
        <n v="216.0"/>
        <n v="77.0"/>
        <n v="192.0"/>
        <n v="308.0"/>
        <n v="455.0"/>
        <n v="480.0"/>
        <n v="203.0"/>
        <n v="21.0"/>
        <n v="302.0"/>
        <n v="341.0"/>
        <n v="463.0"/>
        <n v="421.0"/>
        <n v="86.0"/>
        <n v="319.0"/>
        <n v="290.0"/>
        <n v="13.0"/>
        <n v="453.0"/>
        <n v="120.0"/>
        <n v="292.0"/>
        <n v="1.0"/>
        <n v="98.0"/>
        <n v="226.0"/>
        <n v="296.0"/>
        <n v="29.0"/>
        <n v="297.0"/>
        <n v="497.0"/>
        <n v="191.0"/>
        <n v="58.0"/>
        <n v="446.0"/>
        <n v="117.0"/>
        <n v="187.0"/>
        <n v="231.0"/>
        <n v="265.0"/>
        <n v="391.0"/>
        <n v="355.0"/>
        <n v="277.0"/>
        <n v="104.0"/>
        <n v="109.0"/>
        <n v="369.0"/>
        <n v="78.0"/>
        <n v="66.0"/>
        <n v="261.0"/>
        <n v="307.0"/>
        <n v="144.0"/>
        <n v="76.0"/>
        <n v="84.0"/>
        <n v="81.0"/>
        <n v="157.0"/>
        <n v="57.0"/>
        <n v="479.0"/>
        <n v="406.0"/>
        <n v="56.0"/>
        <n v="10.0"/>
        <n v="174.0"/>
        <n v="72.0"/>
        <n v="38.0"/>
        <n v="18.0"/>
        <n v="88.0"/>
        <n v="129.0"/>
        <n v="19.0"/>
        <n v="304.0"/>
        <n v="285.0"/>
        <n v="461.0"/>
        <n v="278.0"/>
        <n v="246.0"/>
        <n v="205.0"/>
        <n v="357.0"/>
        <n v="152.0"/>
        <n v="323.0"/>
        <n v="185.0"/>
        <n v="314.0"/>
        <n v="476.0"/>
        <n v="375.0"/>
        <n v="233.0"/>
        <n v="69.0"/>
        <n v="254.0"/>
        <n v="219.0"/>
        <n v="232.0"/>
        <n v="372.0"/>
        <n v="432.0"/>
        <n v="221.0"/>
        <n v="148.0"/>
        <n v="209.0"/>
        <n v="263.0"/>
        <n v="101.0"/>
        <n v="124.0"/>
        <n v="257.0"/>
        <n v="309.0"/>
        <n v="103.0"/>
        <n v="31.0"/>
        <n v="306.0"/>
        <n v="383.0"/>
        <n v="367.0"/>
        <n v="138.0"/>
        <n v="158.0"/>
        <n v="217.0"/>
        <n v="102.0"/>
        <n v="425.0"/>
        <n v="43.0"/>
        <n v="326.0"/>
        <n v="402.0"/>
        <n v="23.0"/>
        <n v="468.0"/>
        <n v="141.0"/>
        <n v="182.0"/>
        <n v="225.0"/>
        <n v="151.0"/>
        <n v="428.0"/>
        <n v="438.0"/>
        <n v="465.0"/>
        <n v="215.0"/>
        <n v="15.0"/>
        <n v="370.0"/>
        <n v="80.0"/>
        <n v="17.0"/>
        <n v="127.0"/>
        <n v="441.0"/>
        <n v="220.0"/>
        <n v="206.0"/>
        <n v="210.0"/>
        <n v="67.0"/>
        <n v="125.0"/>
        <n v="213.0"/>
        <n v="336.0"/>
        <n v="294.0"/>
        <n v="27.0"/>
        <n v="53.0"/>
        <n v="143.0"/>
        <n v="135.0"/>
        <n v="279.0"/>
        <n v="271.0"/>
        <n v="444.0"/>
        <n v="133.0"/>
        <n v="300.0"/>
        <n v="54.0"/>
        <n v="340.0"/>
        <n v="272.0"/>
        <n v="165.0"/>
        <n v="214.0"/>
        <n v="409.0"/>
        <n v="348.0"/>
        <n v="351.0"/>
        <n v="40.0"/>
        <n v="245.0"/>
        <n v="466.0"/>
        <n v="122.0"/>
        <n v="199.0"/>
        <n v="447.0"/>
        <n v="163.0"/>
        <n v="320.0"/>
        <n v="173.0"/>
        <n v="485.0"/>
        <n v="401.0"/>
        <n v="379.0"/>
        <n v="201.0"/>
        <n v="498.0"/>
        <n v="237.0"/>
        <n v="403.0"/>
        <n v="460.0"/>
        <n v="50.0"/>
        <n v="197.0"/>
        <n v="243.0"/>
        <n v="45.0"/>
        <n v="242.0"/>
        <n v="79.0"/>
        <n v="70.0"/>
        <n v="345.0"/>
        <n v="33.0"/>
        <n v="7.0"/>
        <n v="494.0"/>
        <n v="83.0"/>
        <n v="352.0"/>
        <n v="8.0"/>
        <n v="291.0"/>
        <n v="418.0"/>
        <n v="470.0"/>
        <n v="123.0"/>
        <n v="442.0"/>
        <n v="218.0"/>
        <n v="331.0"/>
        <n v="196.0"/>
        <n v="36.0"/>
        <n v="22.0"/>
        <n v="360.0"/>
        <n v="188.0"/>
        <n v="63.0"/>
        <n v="238.0"/>
        <n v="105.0"/>
        <n v="260.0"/>
        <n v="394.0"/>
        <n v="248.0"/>
        <n v="3.0"/>
        <n v="435.0"/>
        <n v="262.0"/>
        <n v="264.0"/>
        <n v="99.0"/>
        <n v="404.0"/>
        <n v="146.0"/>
        <n v="338.0"/>
        <n v="445.0"/>
        <n v="208.0"/>
        <n v="343.0"/>
        <n v="486.0"/>
        <n v="299.0"/>
        <n v="368.0"/>
        <n v="108.0"/>
        <n v="443.0"/>
        <n v="91.0"/>
        <n v="473.0"/>
        <n v="482.0"/>
        <n v="48.0"/>
        <n v="26.0"/>
        <n v="417.0"/>
        <n v="491.0"/>
        <n v="492.0"/>
        <n v="155.0"/>
        <n v="430.0"/>
        <n v="488.0"/>
        <n v="6.0"/>
        <n v="400.0"/>
        <n v="282.0"/>
        <n v="433.0"/>
        <n v="212.0"/>
        <n v="499.0"/>
        <n v="347.0"/>
        <n v="469.0"/>
        <n v="93.0"/>
        <n v="200.0"/>
        <n v="95.0"/>
        <n v="20.0"/>
        <n v="94.0"/>
        <n v="427.0"/>
      </sharedItems>
    </cacheField>
    <cacheField name="Категория товара" numFmtId="0">
      <sharedItems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4">
      <sharedItems containsSemiMixedTypes="0" containsString="0" containsNumber="1">
        <n v="252.76271186440678"/>
        <n v="264.8679245283019"/>
        <n v="283.468085106383"/>
        <n v="265.4767441860465"/>
        <n v="250.4878048780488"/>
        <n v="268.6034482758621"/>
        <n v="258.5128205128205"/>
        <n v="249.02380952380952"/>
        <n v="271.1818181818182"/>
        <n v="263.2542372881356"/>
        <n v="271.74545454545455"/>
        <n v="262.63492063492066"/>
        <n v="274.16279069767444"/>
        <n v="258.375"/>
        <n v="273.72549019607845"/>
        <n v="294.95238095238096"/>
        <n v="300.3181818181818"/>
        <n v="267.85483870967744"/>
        <n v="255.11627906976744"/>
        <n v="286.9230769230769"/>
      </sharedItems>
    </cacheField>
    <cacheField name="Выгода для клиента" numFmtId="9">
      <sharedItems containsSemiMixedTypes="0" containsString="0" containsNumber="1">
        <n v="-0.5925031851404814"/>
        <n v="0.11753811084200017"/>
        <n v="-0.5096449748555131"/>
        <n v="-0.4688800315360694"/>
        <n v="-0.5089581304771178"/>
        <n v="0.6827780987226393"/>
        <n v="-0.4236262646300337"/>
        <n v="0.9636676546514964"/>
        <n v="0.5340261481729802"/>
        <n v="0.7055755858872006"/>
        <n v="0.08925465007359823"/>
        <n v="-0.5687655066049755"/>
        <n v="-0.2161782416700121"/>
        <n v="-0.2826613477703377"/>
        <n v="-0.11765838628923564"/>
        <n v="-0.34361381159906135"/>
        <n v="0.1775725946741602"/>
        <n v="0.5782926722438788"/>
        <n v="-0.2765623111326001"/>
        <n v="0.72519819543603"/>
        <n v="-0.4455848672491306"/>
        <n v="0.3259165170163374"/>
        <n v="-0.13187477335912012"/>
        <n v="-0.3768746976294146"/>
        <n v="0.3783391756315724"/>
        <n v="0.1505196111297351"/>
        <n v="0.13617478510028636"/>
        <n v="-0.12961845369811575"/>
        <n v="0.6138198256377139"/>
        <n v="-0.36733767216588464"/>
        <n v="-0.2095423563777995"/>
        <n v="-0.017456853798849425"/>
        <n v="0.3333118722637136"/>
        <n v="0.5310802655401328"/>
        <n v="-0.7905838269068053"/>
        <n v="0.2544107906304569"/>
        <n v="0.808067977749551"/>
        <n v="-0.28742243075525953"/>
        <n v="-0.7766223762757558"/>
        <n v="0.5594586308089877"/>
        <n v="-0.7510278229276222"/>
        <n v="0.41239187286260304"/>
        <n v="0.9080793420416062"/>
        <n v="0.07595886812279518"/>
        <n v="-0.3831741810709538"/>
        <n v="-0.7096090891584825"/>
        <n v="0.21001275988891388"/>
        <n v="0.8758705269151592"/>
        <n v="-0.5095541401273885"/>
        <n v="0.18136749935616803"/>
        <n v="-0.051412944393801285"/>
        <n v="-0.6041020966271651"/>
        <n v="-0.7551574613464149"/>
        <n v="-0.47377224675498464"/>
        <n v="0.4966300789524358"/>
        <n v="-0.6306660219992748"/>
        <n v="0.8309296935359258"/>
        <n v="-0.7758820499613701"/>
        <n v="-0.655803661235164"/>
        <n v="-0.11145902330342627"/>
        <n v="-0.10349962769918097"/>
        <n v="0.44252642847584633"/>
        <n v="0.7817003197407033"/>
        <n v="-0.12986728570802852"/>
        <n v="0.6637908833376256"/>
        <n v="0.3780453055990882"/>
        <n v="0.19477036540395565"/>
        <n v="-0.21470294913805388"/>
        <n v="-0.5668170469975033"/>
        <n v="-0.04648997134670496"/>
        <n v="-0.09337236358177592"/>
        <n v="0.815932407966204"/>
        <n v="-0.5878495918640438"/>
        <n v="0.7321173909780079"/>
        <n v="-0.39519479737460106"/>
        <n v="-0.074315120326926"/>
        <n v="0.9435892532746917"/>
        <n v="-0.8026830990435844"/>
        <n v="-0.5434316353887398"/>
        <n v="-0.546944009118108"/>
        <n v="0.34258960284145945"/>
        <n v="-0.0031914253025833172"/>
        <n v="0.36808581964465303"/>
        <n v="0.028150134048257502"/>
        <n v="-0.7234327857861214"/>
        <n v="-0.061743497295905225"/>
        <n v="0.058473128640883054"/>
        <n v="-0.453867482550913"/>
        <n v="-0.4812320916905445"/>
        <n v="0.5726242595930982"/>
        <n v="-0.24193764217850933"/>
        <n v="-0.7571256523484544"/>
        <n v="0.5945357652180439"/>
        <n v="-0.3606733524355301"/>
        <n v="-0.5941973169009565"/>
        <n v="0.27787836116140285"/>
        <n v="-0.6613375365908579"/>
        <n v="0.6847127555988315"/>
        <n v="-0.7902448815736652"/>
        <n v="0.378537914333283"/>
        <n v="0.16905444126074487"/>
        <n v="0.035658165115435736"/>
        <n v="0.4781205434211513"/>
        <n v="0.8046730303462031"/>
        <n v="0.3294060370009737"/>
        <n v="0.20583305397251084"/>
        <n v="-0.6753753499024515"/>
        <n v="-0.715497497667317"/>
        <n v="0.07538186867684993"/>
        <n v="-0.21445535656974135"/>
        <n v="-0.6461956060734584"/>
        <n v="-0.20084758589374907"/>
        <n v="-0.07095370482291807"/>
        <n v="-0.16614287441073383"/>
        <n v="-0.5611800201139792"/>
        <n v="-0.3583640630238015"/>
        <n v="-0.22360348724572165"/>
        <n v="0.515588333892055"/>
        <n v="-0.09842098220259599"/>
        <n v="-0.5628843483435826"/>
        <n v="-0.728223891135503"/>
        <n v="0.35702313107609784"/>
        <n v="0.3067590987868283"/>
        <n v="-0.11772151898734184"/>
        <n v="0.6299027824337915"/>
        <n v="0.6403963071380319"/>
        <n v="0.4434715426216844"/>
        <n v="0.18172104288360158"/>
        <n v="-0.43709834469328146"/>
        <n v="0.29921117601011615"/>
        <n v="0.2729663245398253"/>
        <n v="0.513047711781889"/>
        <n v="0.6340656544236152"/>
        <n v="-0.30528731236255857"/>
        <n v="0.15750030218783984"/>
        <n v="0.9797303757529401"/>
        <n v="0.2842777142168964"/>
        <n v="0.729559748427673"/>
        <n v="0.8592159932558558"/>
        <n v="0.19002260251856629"/>
        <n v="-0.5722427086825344"/>
        <n v="0.21528785679729068"/>
        <n v="-0.05433630997426975"/>
        <n v="0.21095936890321476"/>
        <n v="-0.11867247737177344"/>
        <n v="-0.6858166189111747"/>
        <n v="-0.3815852375944163"/>
        <n v="-0.6304488214401034"/>
        <n v="-0.7525024216984179"/>
        <n v="-0.18862118141559714"/>
        <n v="-0.6895594085416198"/>
        <n v="-0.2308158014227335"/>
        <n v="0.742621776504298"/>
        <n v="-0.7137472723665939"/>
        <n v="0.4578624475298676"/>
        <n v="0.10632810950208293"/>
        <n v="0.08006437336551997"/>
        <n v="0.12037479682570029"/>
        <n v="-0.20041097546234743"/>
        <n v="-0.1555481059336239"/>
        <n v="-0.26894717756557485"/>
        <n v="0.3158447797042707"/>
        <n v="0.21915820029027566"/>
        <n v="0.2193535925830543"/>
        <n v="-0.2685050798258345"/>
        <n v="0.5875113947128532"/>
        <n v="0.4184955350385955"/>
        <n v="0.011742036490636432"/>
        <n v="-0.6467282215977519"/>
        <n v="-0.7530903940252383"/>
        <n v="0.5859811284421335"/>
        <n v="0.37710771672287247"/>
        <n v="-0.11283693944155693"/>
        <n v="0.9119496855345912"/>
        <n v="0.14887652752836056"/>
        <n v="-0.32187784867821334"/>
        <n v="-0.3755910830893944"/>
        <n v="-0.016863037098681644"/>
        <n v="-0.24610177686449908"/>
        <n v="-0.5659373866795601"/>
        <n v="0.6084271385397046"/>
        <n v="0.5010710808179162"/>
        <n v="-0.7982297324481995"/>
        <n v="0.15444126074498565"/>
        <n v="-0.4175949900644307"/>
        <n v="-0.2088184129532985"/>
        <n v="-0.7716497339138848"/>
        <n v="-0.6785100286532951"/>
        <n v="0.8273258298902977"/>
        <n v="-0.04052507978563258"/>
        <n v="0.8156876790830945"/>
        <n v="-0.5943105907077986"/>
        <n v="0.35420848387528436"/>
        <n v="-0.5529403875813049"/>
        <n v="-0.2692391923262232"/>
        <n v="-0.43060390494929623"/>
        <n v="0.25824977210574285"/>
        <n v="0.4079226397489184"/>
        <n v="-0.4378058202420808"/>
        <n v="0.16173320350535536"/>
        <n v="-0.7491120439134646"/>
        <n v="0.290765139610782"/>
        <n v="0.9556362941007746"/>
        <n v="0.25067742518215197"/>
        <n v="-0.14064442107276032"/>
        <n v="0.7882384496747803"/>
        <n v="-0.3596508119905001"/>
        <n v="-0.5974842767295597"/>
        <n v="0.6972652689152232"/>
        <n v="-0.6903372835004558"/>
        <n v="-0.3108304121842138"/>
        <n v="-0.27029976250080245"/>
        <n v="0.3005730659025787"/>
        <n v="-0.4980399655798834"/>
        <n v="-0.16704871060171922"/>
        <n v="0.6002583144979012"/>
        <n v="-0.39146143192629623"/>
        <n v="-0.7292203927792105"/>
        <n v="-0.17709381076912767"/>
        <n v="0.5234240687679081"/>
        <n v="-0.23367198838896952"/>
        <n v="0.39983310867193"/>
        <n v="0.3667189058270408"/>
        <n v="0.29954885900748973"/>
        <n v="-0.6865021770682148"/>
        <n v="-0.6423064029500503"/>
        <n v="-0.2654333008763389"/>
        <n v="-0.3578611428915518"/>
        <n v="0.12889699179580671"/>
        <n v="-0.32691926205118027"/>
        <n v="0.1301402999516208"/>
        <n v="-0.08466558626428977"/>
        <n v="0.42217087104435436"/>
        <n v="0.16284370993018937"/>
        <n v="0.3328114650448606"/>
        <n v="-0.7142091152815013"/>
        <n v="-0.559283430423547"/>
        <n v="0.8005408189544168"/>
        <n v="0.2610058412879328"/>
        <n v="-0.19755704470268898"/>
        <n v="0.06223993692786123"/>
        <n v="0.8362772648200187"/>
        <n v="-0.3744145590793524"/>
        <n v="-0.8020065272573431"/>
        <n v="0.7134050525806839"/>
        <n v="0.4346399270738377"/>
        <n v="-0.17684594348222427"/>
        <n v="0.4309018378686422"/>
        <n v="-0.6157855547282204"/>
        <n v="0.25234556781505657"/>
        <n v="0.40455764075067036"/>
        <n v="-0.6195523630151987"/>
        <n v="0.1737098344693282"/>
        <n v="0.0905929256086182"/>
        <n v="0.40147241610096573"/>
        <n v="0.6951888924765901"/>
        <n v="0.4448124284940085"/>
        <n v="0.5161247156429813"/>
        <n v="-0.43373925501432664"/>
        <n v="-0.18518070832829692"/>
        <n v="0.10419436721866293"/>
        <n v="0.04886308659893568"/>
        <n v="0.15004128199354483"/>
        <n v="0.5680134882880712"/>
        <n v="-0.7191041373298465"/>
        <n v="0.39410187667560326"/>
        <n v="-0.5783574687561992"/>
        <n v="-0.18985969771782985"/>
        <n v="-0.6040130545146863"/>
        <n v="0.5978804118745107"/>
        <n v="-0.6666985371450425"/>
        <n v="-0.5570647219690064"/>
        <n v="-0.2203707873602042"/>
        <n v="-0.5695968086622026"/>
        <n v="0.7957982068780944"/>
        <n v="0.5858262888178354"/>
        <n v="0.4012738853503184"/>
        <n v="-0.11872263713623488"/>
        <n v="-0.6602435530085959"/>
        <n v="-0.48338913211434453"/>
        <n v="-0.41386162461612575"/>
        <n v="0.4041856774449515"/>
        <n v="0.07593555427177612"/>
        <n v="0.6366762177650429"/>
        <n v="-0.20273211739097807"/>
        <n v="0.032589016294508166"/>
        <n v="0.015967109666316093"/>
        <n v="0.61217443518727"/>
        <n v="-0.7452142206016408"/>
        <n v="0.27750730282375846"/>
        <n v="-0.465303385853168"/>
        <n v="0.7220918538384176"/>
        <n v="-0.567828418230563"/>
        <n v="0.48087199932140123"/>
        <n v="-0.7197452229299364"/>
        <n v="-0.7246648793565684"/>
        <n v="0.7148400909942458"/>
        <n v="0.009005197630847173"/>
        <n v="0.3836461126005364"/>
        <n v="0.25120643431635403"/>
        <n v="-0.37279460468477155"/>
        <n v="-0.42593336009634686"/>
        <n v="-0.694257064721969"/>
        <n v="0.8462031628437099"/>
        <n v="-0.5897435897435898"/>
        <n v="-0.22980481550078358"/>
        <n v="0.2041591552922999"/>
        <n v="0.6789853206283802"/>
        <n v="-0.667758940019946"/>
        <n v="-0.6314269208549972"/>
        <n v="0.1357841874839043"/>
        <n v="0.8238244893025504"/>
        <n v="0.7480410314859667"/>
        <n v="0.6045959304191539"/>
        <n v="-0.3633748160042821"/>
        <n v="-0.19582561618464167"/>
        <n v="0.515059785076434"/>
        <n v="-0.3298682461017769"/>
        <n v="-0.4778818211172102"/>
        <n v="-0.14867578162348216"/>
        <n v="0.29529287119721515"/>
        <n v="0.8413013291013689"/>
        <n v="-0.7963972736124635"/>
        <n v="0.687481182633829"/>
        <n v="-0.18896848137535827"/>
        <n v="-0.6346704871060171"/>
        <n v="0.45449051130182516"/>
        <n v="-0.01576221571718084"/>
        <n v="1.0078401376804664"/>
        <n v="-0.6754484725662389"/>
        <n v="-0.36853561510170385"/>
        <n v="-0.19109820996613447"/>
        <n v="0.6938337801608581"/>
        <n v="-0.5327710533092969"/>
        <n v="-0.3200489312387329"/>
        <n v="-0.2035816618911176"/>
        <n v="-0.8026124818577649"/>
        <n v="0.3052822763735432"/>
        <n v="-0.09096412895413952"/>
        <n v="-0.4382899312918823"/>
        <n v="-0.7519721774535584"/>
        <n v="0.4699464391985717"/>
        <n v="0.5524744848834968"/>
        <n v="0.5217905479392055"/>
        <n v="-0.27300600061320135"/>
        <n v="0.28501768811549866"/>
        <n v="0.8594514852812982"/>
        <n v="0.6619872379216043"/>
        <n v="-0.4629656160458453"/>
        <n v="0.16354228518110103"/>
        <n v="0.8950580030845572"/>
        <n v="-0.29984130132910136"/>
        <n v="0.343988702740869"/>
        <n v="-0.05172517613054739"/>
        <n v="-0.293987747542385"/>
        <n v="-0.40982714855554214"/>
        <n v="-0.7055136059267701"/>
        <n v="0.8157352562451714"/>
        <n v="-0.33144475920679883"/>
        <n v="-0.33172758475341724"/>
        <n v="-0.5365696626319856"/>
        <n v="-0.3373694566369002"/>
        <n v="-0.3620516258799866"/>
        <n v="-0.4774521611133413"/>
        <n v="-0.4022120149885169"/>
        <n v="-0.41640512342013747"/>
        <n v="0.18542709305284588"/>
        <n v="0.7400580200652724"/>
        <n v="0.5501738909152598"/>
        <n v="-0.5590332507693463"/>
        <n v="-0.12143202709240442"/>
        <n v="0.6083487676307167"/>
        <n v="-0.7626735550532774"/>
        <n v="-0.1352201257861635"/>
        <n v="-0.6005298970313724"/>
        <n v="-0.6873549121808068"/>
        <n v="-0.8021860122041172"/>
        <n v="-0.010103037602034015"/>
        <n v="0.4373456975973986"/>
        <n v="-0.7563157258551916"/>
        <n v="-0.1258887876025524"/>
        <n v="-0.23377462060058118"/>
        <n v="0.7755405673477487"/>
        <n v="0.8164556962025316"/>
        <n v="-0.2295034079844207"/>
        <n v="-0.6564325402478985"/>
        <n v="-0.7755252241402382"/>
        <n v="-0.6463187624366133"/>
        <n v="0.7294669795507878"/>
        <n v="-0.06236169784751555"/>
        <n v="0.42122687439143136"/>
        <n v="0.014079785450888282"/>
        <n v="-0.5504021447721179"/>
        <n v="0.6615710609959136"/>
        <n v="-0.35117012002950443"/>
        <n v="-0.031876790830945634"/>
        <n v="0.4573301040034192"/>
        <n v="0.08484078664973072"/>
        <n v="-0.26685893629654767"/>
        <n v="-0.055495978552278724"/>
        <n v="0.559920405674305"/>
        <n v="-0.22898938713070083"/>
        <n v="-0.23643800710789242"/>
        <n v="-0.030711459800174312"/>
        <n v="-0.16072282244956493"/>
        <n v="-0.5532447525515116"/>
        <n v="-0.06553694075357863"/>
        <n v="0.7145621673923561"/>
        <n v="-0.22082639624640532"/>
        <n v="-0.043222266827244726"/>
        <n v="-0.2442390397329739"/>
        <n v="0.007935749115594248"/>
        <n v="-0.26809651474530827"/>
        <n v="0.11376264425131777"/>
        <n v="-0.7123700972175662"/>
        <n v="-0.40816618911174785"/>
        <n v="0.10983446932814012"/>
        <n v="0.5820594805308572"/>
        <n v="0.5725250815907166"/>
        <n v="0.02692691266562175"/>
        <n v="0.7468209197820059"/>
        <n v="0.1987527660430497"/>
        <n v="0.5647637628297564"/>
        <n v="-0.676102445599846"/>
        <n v="-0.8156218571907475"/>
        <n v="-0.5326508764886926"/>
        <n v="0.29862267292265776"/>
        <n v="0.0512647301658784"/>
        <n v="0.7332396627860296"/>
        <n v="0.15917302288237645"/>
        <n v="-0.015420717398592076"/>
        <n v="0.7516392345778133"/>
        <n v="-0.6162408636759874"/>
        <n v="-0.5978383247016439"/>
        <n v="-0.45905258932155757"/>
        <n v="-0.3031404669090272"/>
        <n v="0.4424794895168642"/>
        <n v="0.42708682534361375"/>
        <n v="-0.38617428507093"/>
        <n v="0.6118024889602569"/>
        <n v="0.22960077896786757"/>
        <n v="-0.7373746581586145"/>
        <n v="0.5783260178598457"/>
        <n v="-0.08430452550325407"/>
        <n v="0.19206901770849094"/>
        <n v="0.6986812789787438"/>
        <n v="0.6158283145304944"/>
        <n v="0.7110291652698626"/>
        <n v="0.02224912971091264"/>
        <n v="-0.5547303626388331"/>
        <n v="0.06415527297064738"/>
        <n v="0.6450080583594875"/>
        <n v="-0.22550143266475653"/>
        <n v="0.2390211196781764"/>
        <n v="0.575229801644896"/>
        <n v="0.5945815191098209"/>
        <n v="-0.03287803698779168"/>
        <n v="0.2348137535816619"/>
        <n v="0.011825046302892162"/>
        <n v="-0.2574542152262751"/>
        <n v="0.2619948539427879"/>
        <n v="-0.17756557476127166"/>
        <n v="0.7666330865927904"/>
        <n v="-0.6451061404758514"/>
        <n v="0.6449220523686998"/>
        <n v="0.04762673555053265"/>
        <n v="-0.5507071195455095"/>
        <n v="0.298760507194757"/>
        <n v="0.1849324233908738"/>
        <n v="0.20701190954101434"/>
        <n v="0.3447505584512285"/>
        <n v="0.04841617306206536"/>
        <n v="-0.3542364151429307"/>
        <n v="-0.6446932814021422"/>
        <n v="-0.4897860510093074"/>
        <n v="0.45179355229302254"/>
        <n v="0.25809696238181457"/>
        <n v="-0.32517599731813607"/>
        <n v="0.6725477208406092"/>
        <n v="-0.7791611265562675"/>
        <n v="-0.3494597953915288"/>
        <n v="0.6341620923474329"/>
        <n v="-0.7524300733981353"/>
        <n v="-0.27624576681180457"/>
        <n v="0.6841690544412606"/>
        <n v="0.2699658016495674"/>
        <n v="-0.10023466309084816"/>
        <n v="0.5197707736389683"/>
        <n v="0.0804559168622192"/>
        <n v="-0.7698424068767908"/>
        <n v="-0.11498491451558834"/>
        <n v="0.5757061667656289"/>
        <n v="-0.25371691043152433"/>
        <n v="0.5380920213165201"/>
        <n v="0.6544602734487046"/>
        <n v="0.10995641971169956"/>
        <n v="-0.4123779072313959"/>
        <n v="-0.4800536372779082"/>
        <n v="0.6914756446991404"/>
        <n v="0.7091128545564274"/>
        <n v="-0.16039930946483527"/>
        <n v="-0.47702044790652387"/>
        <n v="-0.11804922515952598"/>
        <n v="0.050939512066926484"/>
        <n v="-0.4118194842406877"/>
        <n v="0.05632669483001407"/>
        <n v="-0.5904743565055524"/>
        <n v="0.20036054596961117"/>
        <n v="-0.24080520659906157"/>
        <n v="-0.5984319724639067"/>
        <n v="0.28495403967102084"/>
        <n v="-0.740506329113924"/>
        <n v="0.6578947368421053"/>
        <n v="0.17273252455228172"/>
        <n v="0.3219160442956477"/>
        <n v="-0.7186962750716333"/>
        <n v="-0.7547106551331053"/>
        <n v="-0.5551477881372744"/>
        <n v="-0.4426180289724537"/>
        <n v="0.19784503525907748"/>
        <n v="-0.3214884344619511"/>
        <n v="0.8554826278075509"/>
        <n v="0.8142233683792899"/>
        <n v="-0.018124887095803066"/>
        <n v="0.2755348724767315"/>
        <n v="0.12706760539485962"/>
        <n v="0.5561834032935098"/>
        <n v="-0.4051606621226874"/>
        <n v="-0.659591350922436"/>
        <n v="-0.7024221453287197"/>
        <n v="0.3017338437288899"/>
        <n v="-0.5860940289625074"/>
        <n v="-0.0589532615149716"/>
        <n v="0.5679124886052871"/>
        <n v="-0.07639353666698534"/>
        <n v="-0.10902937265804435"/>
        <n v="0.3738784849762147"/>
        <n v="-0.005969574427113544"/>
        <n v="0.3969226385525002"/>
        <n v="-0.7580075742987356"/>
        <n v="0.7140618321698247"/>
        <n v="0.6650904450949484"/>
        <n v="-0.11511139812721993"/>
        <n v="0.43814951391216894"/>
        <n v="0.9225352112676057"/>
        <n v="0.45769193995601887"/>
        <n v="-0.02906169410831183"/>
        <n v="0.8368158005660262"/>
        <n v="0.6951844992164125"/>
        <n v="0.48323782234957013"/>
        <n v="0.5330087633885101"/>
        <n v="0.3554937749304967"/>
        <n v="0.5451474893042108"/>
        <n v="-0.15243553008596"/>
        <n v="0.4094071992506356"/>
        <n v="0.5916173062065413"/>
        <n v="-0.156707142174204"/>
        <n v="-0.15335613223362166"/>
        <n v="-0.5805411824582238"/>
        <n v="0.1321325866505223"/>
        <n v="0.46347925573553317"/>
        <n v="0.4072790294627382"/>
        <n v="-0.3083629318695512"/>
        <n v="-0.7460859092733843"/>
        <n v="0.7600674469351321"/>
        <n v="-0.4827610770765066"/>
        <n v="-0.4261290782162701"/>
        <n v="-0.35271364680285267"/>
        <n v="0.8465883561204184"/>
        <n v="0.49910933921452183"/>
        <n v="-0.15334384147714486"/>
        <n v="0.11133413622373878"/>
        <n v="-0.4540333936833635"/>
        <n v="0.090069804098176"/>
        <n v="0.8009790886014745"/>
        <n v="-0.31792348799728565"/>
        <n v="0.253554040895813"/>
        <n v="-0.5404493889886558"/>
        <n v="-0.3521089746397442"/>
        <n v="0.758079565696836"/>
        <n v="0.27865329512893977"/>
        <n v="-0.39864547710051634"/>
        <n v="0.03753581661891103"/>
        <n v="-0.21650387630852785"/>
        <n v="0.3493670886075948"/>
        <n v="0.34229319579448525"/>
        <n v="-0.7871311078858249"/>
        <n v="-0.4605974761782127"/>
        <n v="0.7289650037230082"/>
        <n v="-0.7978552278820376"/>
        <n v="0.7997097242380262"/>
        <n v="-0.43252845185765043"/>
        <n v="-0.4302957151478576"/>
        <n v="-0.7005842259006816"/>
        <n v="-0.4310595065312046"/>
        <n v="0.4496605794052968"/>
        <n v="-0.5027813061188735"/>
        <n v="0.28813727435032743"/>
        <n v="0.6616374974854153"/>
        <n v="-0.4155781325592647"/>
        <n v="-0.45457250545526673"/>
        <n v="0.34117883725608533"/>
        <n v="-0.31406084455880123"/>
        <n v="-0.6035760079783445"/>
        <n v="0.31004951157500327"/>
        <n v="-0.12460768513020615"/>
        <n v="0.16454727985467055"/>
        <n v="0.6168451801363193"/>
        <n v="0.12181110029211295"/>
        <n v="-0.18860528714676394"/>
        <n v="0.5090555014605647"/>
        <n v="0.6381025739777906"/>
        <n v="0.13967828418230566"/>
        <n v="0.5496796808896409"/>
        <n v="0.14212199182685037"/>
        <n v="-0.19648046496609628"/>
        <n v="-0.568136594133128"/>
        <n v="0.6865010591180434"/>
        <n v="0.4278375438172366"/>
        <n v="0.3663323782234955"/>
        <n v="-0.6747298976957644"/>
        <n v="0.612193946826683"/>
        <n v="0.6815286624203822"/>
        <n v="-0.04402515723270439"/>
        <n v="0.8001072889425334"/>
        <n v="0.4152175757061667"/>
        <n v="0.6816273813367775"/>
        <n v="0.15633546034639934"/>
        <n v="-0.17567223683094413"/>
        <n v="0.55171676877048"/>
        <n v="0.13380929438044764"/>
        <n v="0.6633212899772514"/>
        <n v="0.39555873925501417"/>
        <n v="-0.47389132738005146"/>
        <n v="0.14501091053362436"/>
        <n v="0.16968033580884723"/>
        <n v="-0.42842775729131743"/>
        <n v="0.13004248609346947"/>
        <n v="0.4358974358974359"/>
        <n v="0.02833866234505722"/>
        <n v="-0.4579282601407979"/>
        <n v="0.6074498567335243"/>
        <n v="-0.11020966271649957"/>
        <n v="0.5632254390959659"/>
        <n v="-0.6835881038938285"/>
        <n v="-0.2682603721322334"/>
        <n v="-0.5316692856279464"/>
        <n v="0.1854094142576055"/>
        <n v="-0.333397074290085"/>
        <n v="0.8683369103412026"/>
        <n v="-0.02970508619461465"/>
        <n v="0.658981233243968"/>
        <n v="-0.1338592159932559"/>
        <n v="-0.14562479819179852"/>
        <n v="0.8056357917709736"/>
        <n v="-0.43497875695326527"/>
        <n v="0.6070390700678074"/>
        <n v="-0.49599566447883425"/>
        <n v="-0.28520891098575385"/>
        <n v="-0.5830284357147442"/>
        <n v="0.2583606136465755"/>
        <n v="0.011962750716332238"/>
        <n v="0.6258310165598935"/>
        <n v="-0.42702615434291247"/>
        <n v="-0.1339170744269894"/>
        <n v="0.2621695533272561"/>
        <n v="0.27681098332028653"/>
        <n v="0.19656193664692245"/>
        <n v="-0.13565683646112592"/>
        <n v="0.23277131004951146"/>
        <n v="0.26483405967147156"/>
        <n v="0.16394376067627348"/>
        <n v="-0.3168900804289544"/>
        <n v="-0.03679171433732775"/>
        <n v="0.8252375217449484"/>
        <n v="-0.31514368743945753"/>
        <n v="-0.3924339106654512"/>
        <n v="-0.7265001287664177"/>
        <n v="-0.2869271993737581"/>
        <n v="0.41896080218778486"/>
        <n v="0.3899271935750206"/>
        <n v="0.7407260464193612"/>
        <n v="0.2166790766939688"/>
        <n v="0.21375524701323867"/>
        <n v="0.799179580674567"/>
        <n v="0.6549114575450281"/>
        <n v="-0.397310674083483"/>
        <n v="0.5418841161514787"/>
        <n v="0.567263610315186"/>
        <n v="-0.7281664054708648"/>
        <n v="-0.7847984043311014"/>
        <n v="-0.5363307908470494"/>
        <n v="-0.7844206426484908"/>
        <n v="-0.433680011397635"/>
        <n v="-0.12233366913407206"/>
        <n v="-0.38282035807684567"/>
        <n v="0.33485254691689015"/>
        <n v="0.4054854493947979"/>
        <n v="-0.34284058717486476"/>
        <n v="-0.601366058695489"/>
        <n v="0.3935694427656229"/>
        <n v="-0.6327166504381694"/>
        <n v="0.06717516392345768"/>
        <n v="0.7063641540011387"/>
        <n v="-0.6128121188779768"/>
        <n v="-0.7871981694466189"/>
        <n v="0.23080210856247318"/>
        <n v="-0.34292768109833205"/>
        <n v="0.7872593095258291"/>
        <n v="-0.30485449394797837"/>
        <n v="0.1498851686208147"/>
        <n v="0.6345487693710119"/>
        <n v="0.5300268096514746"/>
        <n v="-0.5471469653397911"/>
        <n v="0.04081895441668815"/>
        <n v="-0.31062855204003736"/>
        <n v="-0.6907926187972082"/>
        <n v="-0.18969970939618985"/>
        <n v="0.7274536234674882"/>
        <n v="-0.5120643431635388"/>
        <n v="0.39656675383893236"/>
        <n v="-0.6986553370417414"/>
        <n v="-0.6581251609580221"/>
        <n v="-0.3656322431109966"/>
        <n v="0.8500241896468312"/>
        <n v="0.1775688900334793"/>
        <n v="-0.7552292263610315"/>
        <n v="0.03715379419049758"/>
        <n v="0.5382569805391029"/>
        <n v="-0.6207063376874697"/>
        <n v="-0.4752101438951418"/>
        <n v="-0.06774449513985314"/>
        <n v="-0.308653103270667"/>
        <n v="0.02667549828385618"/>
        <n v="-0.26914618988431016"/>
        <n v="-0.25142474019443517"/>
        <n v="-0.5863849316378238"/>
        <n v="0.33068835548502284"/>
        <n v="0.6423284131225089"/>
        <n v="-0.7050641295839104"/>
        <n v="0.24749096748293864"/>
        <n v="0.20437384242769618"/>
        <n v="0.3974567358256047"/>
        <n v="-0.7720834406386814"/>
        <n v="-0.539054642976869"/>
        <n v="0.707774798927614"/>
        <n v="0.18967867575462516"/>
        <n v="0.6464141627024746"/>
        <n v="-0.5015087507543754"/>
        <n v="0.5530800264948514"/>
        <n v="0.44078567302137484"/>
        <n v="-0.4312119486662871"/>
        <n v="-0.7976047102903787"/>
        <n v="-0.14284502502332685"/>
        <n v="0.7646832274215287"/>
        <n v="0.8529061694108313"/>
        <n v="0.7589674824002681"/>
        <n v="0.08577939835916126"/>
        <n v="-0.5271840297836832"/>
        <n v="-0.404284864114263"/>
        <n v="-0.6931232091690545"/>
        <n v="0.6735063367531684"/>
        <n v="0.7703998948797688"/>
        <n v="-0.7844555873925502"/>
        <n v="0.15710455764075082"/>
        <n v="-0.6683930045785484"/>
        <n v="0.39100762745885187"/>
        <n v="0.05793573515092487"/>
        <n v="0.589339591015756"/>
        <n v="0.4086490110626886"/>
        <n v="0.11171461141286132"/>
        <n v="-0.41595259799453055"/>
        <n v="-0.021455336637253852"/>
        <n v="-0.27410322385348873"/>
        <n v="-0.22388331814038287"/>
        <n v="-0.5568646543330088"/>
        <n v="0.15264333581533873"/>
        <n v="0.4852562451712594"/>
        <n v="-0.11101103355100206"/>
        <n v="0.574599342855227"/>
        <n v="-0.6266634551695068"/>
        <n v="0.051017113335485975"/>
        <n v="0.06774251821521049"/>
        <n v="-0.33070985318601487"/>
        <n v="-0.025929619603932252"/>
        <n v="-0.33359008922267164"/>
        <n v="-0.5781297043415428"/>
        <n v="-0.7220476248035779"/>
        <n v="0.59541591552923"/>
        <n v="0.9623147589351573"/>
        <n v="-0.24394575395544082"/>
        <n v="-0.6578098025970127"/>
        <n v="0.6257163323782233"/>
        <n v="-0.1925250683682771"/>
        <n v="-0.0017958039507687262"/>
        <n v="0.07390457643622206"/>
        <n v="0.37310300290603804"/>
        <n v="-0.280300859598854"/>
        <n v="-0.6846948659993543"/>
        <n v="-0.26686840072109197"/>
        <n v="-0.4065580366123517"/>
        <n v="-0.21183367581288537"/>
        <n v="0.12470667113643974"/>
        <n v="-0.42024539877300615"/>
        <n v="0.8436263662576275"/>
        <n v="-0.7744920539126936"/>
        <n v="0.5080479011073913"/>
        <n v="0.007238605898123307"/>
        <n v="-0.23300506740606175"/>
        <n v="-0.08905883061359676"/>
        <n v="0.49256617913695133"/>
        <n v="0.8179684880992288"/>
        <n v="0.31134695496925224"/>
        <n v="0.1652698625544753"/>
        <n v="0.12358345068061416"/>
        <n v="-0.3015821762996448"/>
        <n v="-0.1414872929658687"/>
        <n v="-0.7287898033375673"/>
        <n v="-0.5482627807551033"/>
        <n v="-0.44612083417152815"/>
        <n v="0.07600305369412164"/>
        <n v="0.2270266419717908"/>
        <n v="-0.4527248218756018"/>
        <n v="0.5953704822917925"/>
        <n v="0.4594004749983951"/>
        <n v="0.04987483150394745"/>
        <n v="4.986465308447485E-4"/>
        <n v="-0.44409524960715585"/>
        <n v="-0.7726526891522334"/>
        <n v="0.3975863224941334"/>
        <n v="-0.24113121527283088"/>
        <n v="0.2694143927116639"/>
        <n v="-0.25793876746528843"/>
        <n v="0.646095221409487"/>
        <n v="-0.207002578853402"/>
        <n v="0.5849856213107312"/>
        <n v="-0.13164268414304037"/>
        <n v="-0.22742625534789462"/>
        <n v="0.2920152424335334"/>
        <n v="-0.4511952790991751"/>
        <n v="0.5970223678586692"/>
        <n v="0.7427005929595436"/>
        <n v="0.005199306759098743"/>
        <n v="0.7170487106017192"/>
        <n v="0.04957971220971635"/>
        <n v="-0.020174012811932318"/>
        <n v="-0.4638837441230945"/>
        <n v="-0.467231723929166"/>
        <n v="0.7770819533931475"/>
        <n v="0.2459438578418749"/>
        <n v="0.2849531804972554"/>
        <n v="-0.7446772414963101"/>
        <n v="-0.05069422021310954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"/>
        <n v="0.5381465647016317"/>
        <n v="0.026696105981533602"/>
        <n v="0.8258282086887523"/>
        <n v="-0.7911846256812315"/>
        <n v="-0.42512171372930874"/>
        <n v="-0.039476217985750184"/>
        <n v="-0.355927851595096"/>
        <n v="0.8391424353296102"/>
        <n v="-0.7302987380891064"/>
        <n v="0.10159670357970652"/>
        <n v="-0.4304165321278657"/>
        <n v="0.3034852546916891"/>
        <n v="-0.7769032843953383"/>
        <n v="-0.172747820471424"/>
        <n v="0.16481001987113864"/>
        <n v="-0.20143664316061494"/>
        <n v="-0.21004197610590902"/>
        <n v="0.5230267134050524"/>
        <n v="-0.36717620778765714"/>
        <n v="-0.38198857436292455"/>
        <n v="-0.7319418720615473"/>
        <n v="0.35232452142206006"/>
        <n v="0.033982473222979426"/>
        <n v="0.4883758475944462"/>
        <n v="-0.0947410678442393"/>
        <n v="-0.5517640999227401"/>
        <n v="-0.5768937144795996"/>
        <n v="0.12156160458452714"/>
        <n v="-0.6707383773928897"/>
        <n v="-0.29443938012762083"/>
        <n v="0.3412372119705518"/>
        <n v="-0.07423053711526861"/>
        <n v="0.5028146813780678"/>
        <n v="0.8608032937672463"/>
        <n v="0.6372537169104313"/>
        <n v="0.7933639550344493"/>
        <n v="0.24956183057448866"/>
        <n v="0.29457270639429467"/>
        <n v="-0.4425123735272217"/>
        <n v="0.5326344576116682"/>
        <n v="-0.3182077000569401"/>
        <n v="0.017643566036135372"/>
        <n v="-0.23747540487361884"/>
        <n v="-0.6346195961631116"/>
        <n v="0.8385269121813033"/>
        <n v="-0.2087440488164689"/>
        <n v="-0.5731299344306169"/>
        <n v="-0.2186074191628644"/>
        <n v="0.21289398280802274"/>
        <n v="0.4816482774149966"/>
        <n v="-0.49300195097124444"/>
        <n v="-0.5914835863940962"/>
        <n v="0.32108925465007365"/>
        <n v="0.28056743976581844"/>
        <n v="-0.6570304222794006"/>
        <n v="0.58646818212298"/>
        <n v="-0.47641364811002584"/>
        <n v="0.747215029806708"/>
        <n v="-0.6043720244082345"/>
        <n v="0.15477723409734745"/>
        <n v="-0.6557230708192818"/>
        <n v="0.04141576341496056"/>
        <n v="0.05470632035390466"/>
        <n v="0.7476731536322976"/>
        <n v="-0.13923290550176393"/>
        <n v="0.13846246827027664"/>
        <n v="-0.72746432227374"/>
        <n v="0.5380372492836676"/>
        <n v="0.14878159527773582"/>
        <n v="-0.8116595856510884"/>
        <n v="0.7605647517039922"/>
        <n v="-0.31683381088825224"/>
        <n v="-0.37993044363389605"/>
        <n v="-0.5705838552844816"/>
        <n v="0.7756608933454876"/>
      </sharedItems>
    </cacheField>
    <cacheField name="Поставщик товара" numFmtId="0">
      <sharedItems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">
      <sharedItems containsSemiMixedTypes="0" containsString="0" containsNumber="1">
        <n v="240.5"/>
        <n v="238.16666666666666"/>
        <n v="232.44444444444446"/>
        <n v="236.27586206896552"/>
        <n v="159.2"/>
        <n v="281.96875"/>
        <n v="260.6470588235294"/>
        <n v="276.2105263157895"/>
        <n v="291.45454545454544"/>
        <n v="257.7826086956522"/>
        <n v="311.2"/>
        <n v="240.26666666666668"/>
        <n v="212.8125"/>
        <n v="320.84615384615387"/>
        <n v="260.1578947368421"/>
        <n v="316.5833333333333"/>
        <n v="276.6756756756757"/>
        <n v="311.3333333333333"/>
        <n v="253.6875"/>
        <n v="329.27272727272725"/>
        <n v="269.70588235294116"/>
        <n v="238.72222222222223"/>
        <n v="280.23809523809524"/>
        <n v="318.8181818181818"/>
        <n v="281.73333333333335"/>
        <n v="303.8235294117647"/>
        <n v="216.4"/>
        <n v="288.23809523809524"/>
        <n v="242.8181818181818"/>
        <n v="235.55555555555554"/>
        <n v="317.85714285714283"/>
        <n v="323.0769230769231"/>
        <n v="254.1818181818182"/>
        <n v="248.5"/>
        <n v="250.30769230769232"/>
        <n v="250.25925925925927"/>
        <n v="249.5"/>
        <n v="272.3529411764706"/>
        <n v="264.0"/>
        <n v="222.2"/>
        <n v="273.5833333333333"/>
        <n v="274.77777777777777"/>
        <n v="312.6666666666667"/>
        <n v="287.1"/>
        <n v="320.57142857142856"/>
        <n v="293.4117647058824"/>
        <n v="321.6363636363636"/>
        <n v="271.0"/>
        <n v="281.75"/>
        <n v="272.25"/>
        <n v="280.6666666666667"/>
        <n v="331.1666666666667"/>
        <n v="243.3"/>
        <n v="322.54545454545456"/>
        <n v="292.6666666666667"/>
        <n v="293.6666666666667"/>
        <n v="247.66666666666666"/>
        <n v="316.6"/>
        <n v="241.83333333333334"/>
        <n v="256.9"/>
        <n v="289.8888888888889"/>
        <n v="274.2857142857143"/>
        <n v="168.0"/>
        <n v="266.27272727272725"/>
        <n v="236.91666666666666"/>
        <n v="258.3076923076923"/>
        <n v="273.625"/>
        <n v="251.91666666666666"/>
        <n v="215.85714285714286"/>
        <n v="273.7"/>
        <n v="181.57142857142858"/>
        <n v="268.0"/>
        <n v="82.0"/>
        <n v="252.0909090909091"/>
        <n v="320.25"/>
        <n v="193.5"/>
        <n v="208.0"/>
        <n v="369.2"/>
        <n v="140.0"/>
        <n v="187.0"/>
      </sharedItems>
    </cacheField>
    <cacheField name="Дата регистрации клиента" numFmtId="165">
      <sharedItems containsSemiMixedTypes="0" containsDate="1" containsString="0">
        <d v="2022-07-05T00:00:00Z"/>
        <d v="2022-07-08T00:00:00Z"/>
        <d v="2022-10-08T00:00:00Z"/>
        <d v="2022-03-23T00:00:00Z"/>
        <d v="2022-01-16T00:00:00Z"/>
        <d v="2022-01-21T00:00:00Z"/>
        <d v="2022-06-26T00:00:00Z"/>
        <d v="2022-02-27T00:00:00Z"/>
        <d v="2022-05-03T00:00:00Z"/>
        <d v="2022-05-18T00:00:00Z"/>
        <d v="2022-04-03T00:00:00Z"/>
        <d v="2022-04-05T00:00:00Z"/>
        <d v="2022-10-24T00:00:00Z"/>
        <d v="2022-08-21T00:00:00Z"/>
        <d v="2022-09-16T00:00:00Z"/>
        <d v="2022-04-27T00:00:00Z"/>
        <d v="2022-02-11T00:00:00Z"/>
        <d v="2022-11-28T00:00:00Z"/>
        <d v="2022-11-02T00:00:00Z"/>
        <d v="2022-07-14T00:00:00Z"/>
        <d v="2022-04-24T00:00:00Z"/>
        <d v="2022-06-16T00:00:00Z"/>
        <d v="2022-01-02T00:00:00Z"/>
        <d v="2022-04-02T00:00:00Z"/>
        <d v="2022-05-08T00:00:00Z"/>
        <d v="2022-08-11T00:00:00Z"/>
        <d v="2022-02-17T00:00:00Z"/>
        <d v="2022-04-01T00:00:00Z"/>
        <d v="2022-01-23T00:00:00Z"/>
        <d v="2022-05-12T00:00:00Z"/>
        <d v="2022-03-29T00:00:00Z"/>
        <d v="2022-10-23T00:00:00Z"/>
        <d v="2022-07-19T00:00:00Z"/>
        <d v="2022-09-03T00:00:00Z"/>
        <d v="2022-09-29T00:00:00Z"/>
        <d v="2022-05-26T00:00:00Z"/>
        <d v="2022-11-27T00:00:00Z"/>
        <d v="2022-07-25T00:00:00Z"/>
        <d v="2022-12-29T00:00:00Z"/>
        <d v="2022-12-15T00:00:00Z"/>
        <d v="2022-11-16T00:00:00Z"/>
        <d v="2022-02-16T00:00:00Z"/>
        <d v="2022-09-23T00:00:00Z"/>
        <d v="2022-12-05T00:00:00Z"/>
        <d v="2022-08-02T00:00:00Z"/>
        <d v="2022-07-24T00:00:00Z"/>
        <d v="2022-07-11T00:00:00Z"/>
        <d v="2022-03-01T00:00:00Z"/>
        <d v="2022-10-21T00:00:00Z"/>
        <d v="2022-08-22T00:00:00Z"/>
        <d v="2022-05-13T00:00:00Z"/>
        <d v="2022-10-16T00:00:00Z"/>
        <d v="2022-05-02T00:00:00Z"/>
        <d v="2022-03-02T00:00:00Z"/>
        <d v="2022-10-10T00:00:00Z"/>
        <d v="2022-01-07T00:00:00Z"/>
        <d v="2022-05-29T00:00:00Z"/>
        <d v="2022-11-17T00:00:00Z"/>
        <d v="2022-03-16T00:00:00Z"/>
        <d v="2022-04-10T00:00:00Z"/>
        <d v="2022-09-28T00:00:00Z"/>
        <d v="2022-08-10T00:00:00Z"/>
        <d v="2022-03-25T00:00:00Z"/>
        <d v="2022-07-28T00:00:00Z"/>
        <d v="2022-07-26T00:00:00Z"/>
        <d v="2022-07-09T00:00:00Z"/>
        <d v="2022-12-24T00:00:00Z"/>
        <d v="2022-09-11T00:00:00Z"/>
        <d v="2022-05-09T00:00:00Z"/>
        <d v="2022-10-29T00:00:00Z"/>
        <d v="2022-03-07T00:00:00Z"/>
        <d v="2022-10-07T00:00:00Z"/>
        <d v="2022-07-27T00:00:00Z"/>
        <d v="2022-01-24T00:00:00Z"/>
        <d v="2022-08-23T00:00:00Z"/>
        <d v="2022-07-20T00:00:00Z"/>
        <d v="2022-12-01T00:00:00Z"/>
        <d v="2022-06-02T00:00:00Z"/>
        <d v="2022-02-13T00:00:00Z"/>
        <d v="2022-08-31T00:00:00Z"/>
        <d v="2022-09-18T00:00:00Z"/>
        <d v="2022-01-09T00:00:00Z"/>
        <d v="2022-03-19T00:00:00Z"/>
        <d v="2022-07-01T00:00:00Z"/>
        <d v="2022-02-09T00:00:00Z"/>
        <d v="2022-09-17T00:00:00Z"/>
        <d v="2022-02-07T00:00:00Z"/>
        <d v="2022-12-06T00:00:00Z"/>
        <d v="2022-11-06T00:00:00Z"/>
        <d v="2022-06-08T00:00:00Z"/>
        <d v="2022-06-01T00:00:00Z"/>
        <d v="2022-05-30T00:00:00Z"/>
        <d v="2022-11-24T00:00:00Z"/>
        <d v="2022-03-12T00:00:00Z"/>
        <d v="2022-01-12T00:00:00Z"/>
        <d v="2022-06-22T00:00:00Z"/>
        <d v="2022-12-21T00:00:00Z"/>
        <d v="2022-01-20T00:00:00Z"/>
        <d v="2022-01-15T00:00:00Z"/>
        <d v="2022-10-26T00:00:00Z"/>
        <d v="2022-11-18T00:00:00Z"/>
        <d v="2022-11-04T00:00:00Z"/>
        <d v="2022-04-14T00:00:00Z"/>
        <d v="2022-03-28T00:00:00Z"/>
        <d v="2022-06-05T00:00:00Z"/>
        <d v="2022-04-22T00:00:00Z"/>
        <d v="2022-11-10T00:00:00Z"/>
        <d v="2022-10-22T00:00:00Z"/>
        <d v="2022-08-29T00:00:00Z"/>
        <d v="2022-12-27T00:00:00Z"/>
        <d v="2022-04-21T00:00:00Z"/>
        <d v="2022-05-17T00:00:00Z"/>
        <d v="2022-06-18T00:00:00Z"/>
        <d v="2022-06-25T00:00:00Z"/>
        <d v="2022-12-22T00:00:00Z"/>
        <d v="2022-11-25T00:00:00Z"/>
        <d v="2022-09-27T00:00:00Z"/>
        <d v="2022-07-29T00:00:00Z"/>
        <d v="2022-05-20T00:00:00Z"/>
        <d v="2022-05-22T00:00:00Z"/>
        <d v="2022-02-24T00:00:00Z"/>
        <d v="2022-05-05T00:00:00Z"/>
        <d v="2022-03-03T00:00:00Z"/>
        <d v="2022-02-03T00:00:00Z"/>
        <d v="2022-08-20T00:00:00Z"/>
        <d v="2022-01-04T00:00:00Z"/>
        <d v="2022-02-15T00:00:00Z"/>
        <d v="2022-09-07T00:00:00Z"/>
        <d v="2022-12-19T00:00:00Z"/>
        <d v="2022-08-14T00:00:00Z"/>
        <d v="2022-11-21T00:00:00Z"/>
        <d v="2022-04-20T00:00:00Z"/>
        <d v="2022-01-27T00:00:00Z"/>
        <d v="2022-03-15T00:00:00Z"/>
        <d v="2022-12-10T00:00:00Z"/>
        <d v="2022-03-31T00:00:00Z"/>
        <d v="2022-06-14T00:00:00Z"/>
        <d v="2022-03-05T00:00:00Z"/>
        <d v="2022-11-11T00:00:00Z"/>
        <d v="2022-08-08T00:00:00Z"/>
        <d v="2022-05-25T00:00:00Z"/>
        <d v="2022-07-21T00:00:00Z"/>
        <d v="2022-08-25T00:00:00Z"/>
        <d v="2022-01-26T00:00:00Z"/>
        <d v="2022-07-02T00:00:00Z"/>
        <d v="2022-02-26T00:00:00Z"/>
        <d v="2022-01-19T00:00:00Z"/>
        <d v="2022-04-04T00:00:00Z"/>
        <d v="2022-03-24T00:00:00Z"/>
        <d v="2022-01-11T00:00:00Z"/>
        <d v="2022-01-01T00:00:00Z"/>
        <d v="2022-05-04T00:00:00Z"/>
        <d v="2022-10-25T00:00:00Z"/>
        <d v="2022-06-12T00:00:00Z"/>
        <d v="2022-02-28T00:00:00Z"/>
        <d v="2022-05-11T00:00:00Z"/>
        <d v="2022-04-23T00:00:00Z"/>
        <d v="2022-08-04T00:00:00Z"/>
        <d v="2022-05-10T00:00:00Z"/>
        <d v="2022-03-17T00:00:00Z"/>
        <d v="2022-05-21T00:00:00Z"/>
        <d v="2022-07-16T00:00:00Z"/>
        <d v="2022-05-23T00:00:00Z"/>
        <d v="2022-04-15T00:00:00Z"/>
        <d v="2022-09-22T00:00:00Z"/>
        <d v="2022-11-01T00:00:00Z"/>
        <d v="2022-03-08T00:00:00Z"/>
        <d v="2022-10-14T00:00:00Z"/>
        <d v="2022-07-10T00:00:00Z"/>
        <d v="2022-03-11T00:00:00Z"/>
        <d v="2022-07-30T00:00:00Z"/>
        <d v="2022-06-20T00:00:00Z"/>
        <d v="2022-04-07T00:00:00Z"/>
        <d v="2022-07-22T00:00:00Z"/>
        <d v="2022-05-24T00:00:00Z"/>
        <d v="2022-01-14T00:00:00Z"/>
        <d v="2022-09-01T00:00:00Z"/>
        <d v="2022-09-21T00:00:00Z"/>
        <d v="2022-04-18T00:00:00Z"/>
        <d v="2022-11-30T00:00:00Z"/>
        <d v="2022-04-11T00:00:00Z"/>
        <d v="2022-08-06T00:00:00Z"/>
        <d v="2022-12-11T00:00:00Z"/>
        <d v="2022-09-15T00:00:00Z"/>
        <d v="2022-01-17T00:00:00Z"/>
        <d v="2022-03-10T00:00:00Z"/>
        <d v="2022-11-03T00:00:00Z"/>
        <d v="2022-12-07T00:00:00Z"/>
        <d v="2022-04-16T00:00:00Z"/>
        <d v="2022-12-25T00:00:00Z"/>
        <d v="2022-12-23T00:00:00Z"/>
        <d v="2022-12-18T00:00:00Z"/>
        <d v="2022-08-18T00:00:00Z"/>
        <d v="2022-12-04T00:00:00Z"/>
        <d v="2022-10-28T00:00:00Z"/>
        <d v="2022-12-28T00:00:00Z"/>
        <d v="2022-06-06T00:00:00Z"/>
        <d v="2022-05-19T00:00:00Z"/>
        <d v="2022-02-20T00:00:00Z"/>
        <d v="2022-06-15T00:00:00Z"/>
        <d v="2022-11-07T00:00:00Z"/>
        <d v="2022-06-11T00:00:00Z"/>
        <d v="2022-08-09T00:00:00Z"/>
        <d v="2022-12-17T00:00:00Z"/>
        <d v="2022-06-30T00:00:00Z"/>
        <d v="2022-08-26T00:00:00Z"/>
        <d v="2022-11-12T00:00:00Z"/>
        <d v="2022-02-10T00:00:00Z"/>
        <d v="2022-06-19T00:00:00Z"/>
        <d v="2022-06-21T00:00:00Z"/>
        <d v="2022-11-14T00:00:00Z"/>
        <d v="2022-01-25T00:00:00Z"/>
        <d v="2022-02-01T00:00:00Z"/>
        <d v="2022-08-13T00:00:00Z"/>
        <d v="2022-05-07T00:00:00Z"/>
        <d v="2022-09-20T00:00:00Z"/>
        <d v="2022-10-13T00:00:00Z"/>
        <d v="2022-04-17T00:00:00Z"/>
        <d v="2022-01-08T00:00:00Z"/>
        <d v="2022-05-14T00:00:00Z"/>
        <d v="2022-06-03T00:00:00Z"/>
        <d v="2022-12-03T00:00:00Z"/>
        <d v="2022-01-10T00:00:00Z"/>
        <d v="2022-10-09T00:00:00Z"/>
        <d v="2022-06-09T00:00:00Z"/>
        <d v="2022-02-02T00:00:00Z"/>
        <d v="2022-08-12T00:00:00Z"/>
        <d v="2022-04-30T00:00:00Z"/>
        <d v="2022-06-04T00:00:00Z"/>
        <d v="2022-01-30T00:00:00Z"/>
        <d v="2022-06-27T00:00:00Z"/>
        <d v="2022-02-08T00:00:00Z"/>
        <d v="2022-07-04T00:00:00Z"/>
        <d v="2022-09-09T00:00:00Z"/>
        <d v="2022-10-01T00:00:00Z"/>
        <d v="2022-11-05T00:00:00Z"/>
        <d v="2022-08-28T00:00:00Z"/>
        <d v="2022-12-14T00:00:00Z"/>
        <d v="2022-06-17T00:00:00Z"/>
        <d v="2022-05-27T00:00:00Z"/>
        <d v="2022-08-05T00:00:00Z"/>
        <d v="2022-12-12T00:00:00Z"/>
        <d v="2022-02-25T00:00:00Z"/>
        <d v="2022-04-25T00:00:00Z"/>
        <d v="2022-06-24T00:00:00Z"/>
        <d v="2022-11-09T00:00:00Z"/>
        <d v="2022-05-06T00:00:00Z"/>
        <d v="2022-04-28T00:00:00Z"/>
        <d v="2022-01-03T00:00:00Z"/>
        <d v="2022-07-23T00:00:00Z"/>
        <d v="2022-06-23T00:00:00Z"/>
        <d v="2022-04-08T00:00:00Z"/>
        <d v="2022-09-30T00:00:00Z"/>
      </sharedItems>
    </cacheField>
    <cacheField name="Кол-во дней с момента регистрации" numFmtId="0">
      <sharedItems containsSemiMixedTypes="0" containsString="0" containsNumber="1" containsInteger="1">
        <n v="440.0"/>
        <n v="333.0"/>
        <n v="521.0"/>
        <n v="619.0"/>
        <n v="574.0"/>
        <n v="699.0"/>
        <n v="611.0"/>
        <n v="708.0"/>
        <n v="692.0"/>
        <n v="482.0"/>
        <n v="738.0"/>
        <n v="408.0"/>
        <n v="339.0"/>
        <n v="152.0"/>
        <n v="302.0"/>
        <n v="613.0"/>
        <n v="223.0"/>
        <n v="191.0"/>
        <n v="402.0"/>
        <n v="569.0"/>
        <n v="395.0"/>
        <n v="464.0"/>
        <n v="313.0"/>
        <n v="637.0"/>
        <n v="390.0"/>
        <n v="490.0"/>
        <n v="716.0"/>
        <n v="456.0"/>
        <n v="721.0"/>
        <n v="476.0"/>
        <n v="495.0"/>
        <n v="236.0"/>
        <n v="460.0"/>
        <n v="548.0"/>
        <n v="264.0"/>
        <n v="55.0"/>
        <n v="362.0"/>
        <n v="207.0"/>
        <n v="503.0"/>
        <n v="496.0"/>
        <n v="581.0"/>
        <n v="560.0"/>
        <n v="269.0"/>
        <n v="163.0"/>
        <n v="433.0"/>
        <n v="237.0"/>
        <n v="632.0"/>
        <n v="486.0"/>
        <n v="459.0"/>
        <n v="453.0"/>
        <n v="592.0"/>
        <n v="667.0"/>
        <n v="439.0"/>
        <n v="706.0"/>
        <n v="364.0"/>
        <n v="740.0"/>
        <n v="154.0"/>
        <n v="623.0"/>
        <n v="159.0"/>
        <n v="423.0"/>
        <n v="712.0"/>
        <n v="404.0"/>
        <n v="91.0"/>
        <n v="353.0"/>
        <n v="626.0"/>
        <n v="143.0"/>
        <n v="263.0"/>
        <n v="290.0"/>
        <n v="661.0"/>
        <n v="101.0"/>
        <n v="590.0"/>
        <n v="162.0"/>
        <n v="734.0"/>
        <n v="358.0"/>
        <n v="659.0"/>
        <n v="245.0"/>
        <n v="131.0"/>
        <n v="468.0"/>
        <n v="420.0"/>
        <n v="396.0"/>
        <n v="303.0"/>
        <n v="578.0"/>
        <n v="76.0"/>
        <n v="374.0"/>
        <n v="516.0"/>
        <n v="300.0"/>
        <n v="385.0"/>
        <n v="547.0"/>
        <n v="655.0"/>
        <n v="598.0"/>
        <n v="422.0"/>
        <n v="537.0"/>
        <n v="473.0"/>
        <n v="301.0"/>
        <n v="175.0"/>
        <n v="363.0"/>
        <n v="747.0"/>
        <n v="605.0"/>
        <n v="278.0"/>
        <n v="352.0"/>
        <n v="601.0"/>
        <n v="463.0"/>
        <n v="648.0"/>
        <n v="412.0"/>
        <n v="684.0"/>
        <n v="193.0"/>
        <n v="182.0"/>
        <n v="393.0"/>
        <n v="678.0"/>
        <n v="258.0"/>
        <n v="58.0"/>
        <n v="370.0"/>
        <n v="618.0"/>
        <n v="630.0"/>
        <n v="533.0"/>
        <n v="78.0"/>
        <n v="671.0"/>
        <n v="494.0"/>
        <n v="750.0"/>
        <n v="136.0"/>
        <n v="665.0"/>
        <n v="606.0"/>
        <n v="628.0"/>
        <n v="436.0"/>
        <n v="295.0"/>
        <n v="111.0"/>
        <n v="733.0"/>
        <n v="858.0"/>
        <n v="419.0"/>
        <n v="210.0"/>
        <n v="306.0"/>
        <n v="243.0"/>
        <n v="545.0"/>
        <n v="499.0"/>
        <n v="594.0"/>
        <n v="773.0"/>
        <n v="371.0"/>
        <n v="288.0"/>
        <n v="616.0"/>
        <n v="766.0"/>
        <n v="478.0"/>
        <n v="273.0"/>
        <n v="317.0"/>
        <n v="415.0"/>
        <n v="553.0"/>
        <n v="585.0"/>
        <n v="250.0"/>
        <n v="249.0"/>
        <n v="518.0"/>
        <n v="69.0"/>
        <n v="504.0"/>
        <n v="392.0"/>
        <n v="221.0"/>
        <n v="272.0"/>
        <n v="682.0"/>
        <n v="304.0"/>
        <n v="424.0"/>
        <n v="399.0"/>
        <n v="539.0"/>
        <n v="538.0"/>
        <n v="582.0"/>
        <n v="472.0"/>
        <n v="432.0"/>
        <n v="355.0"/>
        <n v="500.0"/>
        <n v="639.0"/>
        <n v="461.0"/>
        <n v="546.0"/>
        <n v="377.0"/>
        <n v="673.0"/>
        <n v="489.0"/>
        <n v="176.0"/>
        <n v="493.0"/>
        <n v="627.0"/>
        <n v="510.0"/>
        <n v="770.0"/>
        <n v="186.0"/>
        <n v="197.0"/>
        <n v="342.0"/>
        <n v="535.0"/>
        <n v="471.0"/>
        <n v="376.0"/>
        <n v="282.0"/>
        <n v="120.0"/>
        <n v="220.0"/>
        <n v="274.0"/>
        <n v="178.0"/>
        <n v="335.0"/>
        <n v="321.0"/>
        <n v="681.0"/>
        <n v="685.0"/>
        <n v="414.0"/>
        <n v="132.0"/>
        <n v="636.0"/>
        <n v="485.0"/>
        <n v="310.0"/>
        <n v="446.0"/>
        <n v="865.0"/>
        <n v="776.0"/>
        <n v="583.0"/>
        <n v="564.0"/>
        <n v="841.0"/>
        <n v="351.0"/>
        <n v="653.0"/>
        <n v="828.0"/>
        <n v="455.0"/>
        <n v="291.0"/>
        <n v="125.0"/>
        <n v="130.0"/>
        <n v="691.0"/>
        <n v="576.0"/>
        <n v="180.0"/>
        <n v="323.0"/>
        <n v="170.0"/>
        <n v="557.0"/>
        <n v="217.0"/>
        <n v="599.0"/>
        <n v="542.0"/>
        <n v="488.0"/>
        <n v="593.0"/>
        <n v="726.0"/>
        <n v="389.0"/>
        <n v="688.0"/>
        <n v="257.0"/>
        <n v="327.0"/>
        <n v="534.0"/>
        <n v="444.0"/>
        <n v="541.0"/>
        <n v="279.0"/>
        <n v="475.0"/>
        <n v="430.0"/>
        <n v="768.0"/>
        <n v="848.0"/>
        <n v="443.0"/>
        <n v="122.0"/>
        <n v="438.0"/>
        <n v="138.0"/>
        <n v="309.0"/>
        <n v="328.0"/>
        <n v="242.0"/>
        <n v="189.0"/>
        <n v="746.0"/>
        <n v="338.0"/>
        <n v="668.0"/>
        <n v="119.0"/>
        <n v="474.0"/>
        <n v="380.0"/>
        <n v="219.0"/>
        <n v="350.0"/>
        <n v="675.0"/>
        <n v="722.0"/>
        <n v="638.0"/>
        <n v="406.0"/>
        <n v="108.0"/>
        <n v="334.0"/>
        <n v="484.0"/>
        <n v="462.0"/>
        <n v="660.0"/>
        <n v="381.0"/>
        <n v="307.0"/>
        <n v="336.0"/>
        <n v="517.0"/>
        <n v="501.0"/>
        <n v="360.0"/>
        <n v="617.0"/>
        <n v="416.0"/>
        <n v="651.0"/>
        <n v="664.0"/>
        <n v="261.0"/>
        <n v="562.0"/>
        <n v="213.0"/>
        <n v="477.0"/>
        <n v="271.0"/>
        <n v="551.0"/>
        <n v="359.0"/>
        <n v="525.0"/>
        <n v="75.0"/>
        <n v="259.0"/>
        <n v="466.0"/>
        <n v="709.0"/>
        <n v="372.0"/>
        <n v="394.0"/>
        <n v="294.0"/>
        <n v="693.0"/>
        <n v="246.0"/>
        <n v="723.0"/>
        <n v="164.0"/>
        <n v="275.0"/>
        <n v="663.0"/>
        <n v="410.0"/>
        <n v="201.0"/>
        <n v="149.0"/>
        <n v="577.0"/>
        <n v="579.0"/>
        <n v="345.0"/>
        <n v="530.0"/>
        <n v="70.0"/>
        <n v="280.0"/>
        <n v="212.0"/>
        <n v="71.0"/>
        <n v="118.0"/>
        <n v="325.0"/>
        <n v="719.0"/>
        <n v="398.0"/>
        <n v="177.0"/>
        <n v="772.0"/>
        <n v="552.0"/>
        <n v="649.0"/>
        <n v="672.0"/>
        <n v="752.0"/>
        <n v="66.0"/>
        <n v="454.0"/>
        <n v="479.0"/>
        <n v="502.0"/>
        <n v="515.0"/>
        <n v="657.0"/>
        <n v="656.0"/>
        <n v="357.0"/>
        <n v="745.0"/>
        <n v="531.0"/>
        <n v="483.0"/>
        <n v="427.0"/>
        <n v="491.0"/>
        <n v="96.0"/>
        <n v="187.0"/>
        <n v="411.0"/>
        <n v="603.0"/>
        <n v="505.0"/>
        <n v="266.0"/>
        <n v="253.0"/>
        <n v="379.0"/>
        <n v="735.0"/>
        <n v="513.0"/>
        <n v="265.0"/>
        <n v="229.0"/>
        <n v="314.0"/>
        <n v="230.0"/>
        <n v="559.0"/>
        <n v="554.0"/>
        <n v="128.0"/>
        <n v="340.0"/>
        <n v="409.0"/>
        <n v="316.0"/>
        <n v="696.0"/>
        <n v="785.0"/>
        <n v="276.0"/>
        <n v="346.0"/>
        <n v="109.0"/>
        <n v="806.0"/>
        <n v="127.0"/>
        <n v="571.0"/>
        <n v="526.0"/>
        <n v="549.0"/>
        <n v="710.0"/>
        <n v="522.0"/>
        <n v="508.0"/>
        <n v="161.0"/>
        <n v="492.0"/>
        <n v="720.0"/>
        <n v="635.0"/>
        <n v="448.0"/>
        <n v="543.0"/>
        <n v="634.0"/>
        <n v="780.0"/>
        <n v="586.0"/>
        <n v="568.0"/>
        <n v="287.0"/>
        <n v="299.0"/>
        <n v="413.0"/>
        <n v="405.0"/>
        <n v="607.0"/>
        <n v="674.0"/>
        <n v="480.0"/>
        <n v="767.0"/>
        <n v="260.0"/>
        <n v="498.0"/>
        <n v="690.0"/>
        <n v="567.0"/>
        <n v="429.0"/>
        <n v="435.0"/>
        <n v="224.0"/>
        <n v="252.0"/>
        <n v="428.0"/>
        <n v="64.0"/>
        <n v="235.0"/>
        <n v="347.0"/>
        <n v="386.0"/>
        <n v="451.0"/>
        <n v="855.0"/>
        <n v="104.0"/>
        <n v="441.0"/>
        <n v="238.0"/>
        <n v="725.0"/>
        <n v="254.0"/>
        <n v="375.0"/>
        <n v="447.0"/>
        <n v="695.0"/>
        <n v="281.0"/>
        <n v="834.0"/>
        <n v="329.0"/>
        <n v="555.0"/>
        <n v="512.0"/>
        <n v="856.0"/>
        <n v="61.0"/>
        <n v="169.0"/>
        <n v="643.0"/>
        <n v="167.0"/>
        <n v="544.0"/>
        <n v="646.0"/>
        <n v="497.0"/>
        <n v="366.0"/>
        <n v="669.0"/>
        <n v="95.0"/>
        <n v="100.0"/>
        <n v="198.0"/>
        <n v="228.0"/>
        <n v="743.0"/>
        <n v="92.0"/>
        <n v="591.0"/>
        <n v="558.0"/>
        <n v="88.0"/>
        <n v="387.0"/>
        <n v="509.0"/>
        <n v="759.0"/>
        <n v="556.0"/>
        <n v="796.0"/>
        <n v="707.0"/>
        <n v="588.0"/>
        <n v="604.0"/>
        <n v="612.0"/>
        <n v="247.0"/>
        <n v="369.0"/>
        <n v="565.0"/>
        <n v="361.0"/>
        <n v="211.0"/>
        <n v="609.0"/>
        <n v="524.0"/>
        <n v="202.0"/>
        <n v="470.0"/>
        <n v="866.0"/>
        <n v="452.0"/>
        <n v="67.0"/>
        <n v="268.0"/>
        <n v="126.0"/>
        <n v="532.0"/>
        <n v="330.0"/>
        <n v="349.0"/>
        <n v="344.0"/>
        <n v="156.0"/>
        <n v="615.0"/>
        <n v="203.0"/>
        <n v="218.0"/>
        <n v="481.0"/>
        <n v="373.0"/>
        <n v="391.0"/>
        <n v="293.0"/>
        <n v="529.0"/>
        <n v="216.0"/>
        <n v="610.0"/>
        <n v="196.0"/>
        <n v="520.0"/>
        <n v="232.0"/>
        <n v="322.0"/>
        <n v="426.0"/>
        <n v="72.0"/>
        <n v="417.0"/>
        <n v="739.0"/>
        <n v="292.0"/>
        <n v="286.0"/>
        <n v="469.0"/>
        <n v="458.0"/>
        <n v="155.0"/>
        <n v="311.0"/>
        <n v="587.0"/>
        <n v="645.0"/>
        <n v="174.0"/>
        <n v="84.0"/>
        <n v="467.0"/>
        <n v="795.0"/>
        <n v="270.0"/>
        <n v="312.0"/>
        <n v="640.0"/>
        <n v="676.0"/>
        <n v="115.0"/>
        <n v="595.0"/>
        <n v="222.0"/>
        <n v="658.0"/>
        <n v="608.0"/>
        <n v="812.0"/>
        <n v="184.0"/>
        <n v="256.0"/>
        <n v="179.0"/>
        <n v="775.0"/>
        <n v="326.0"/>
        <n v="575.0"/>
        <n v="644.0"/>
        <n v="239.0"/>
        <n v="434.0"/>
        <n v="596.0"/>
        <n v="573.0"/>
        <n v="437.0"/>
        <n v="536.0"/>
        <n v="285.0"/>
        <n v="621.0"/>
        <n v="80.0"/>
        <n v="511.0"/>
        <n v="614.0"/>
        <n v="102.0"/>
        <n v="8.0"/>
        <n v="157.0"/>
        <n v="724.0"/>
        <n v="597.0"/>
        <n v="367.0"/>
        <n v="566.0"/>
        <n v="226.0"/>
        <n v="124.0"/>
        <n v="589.0"/>
        <n v="631.0"/>
        <n v="786.0"/>
        <n v="296.0"/>
        <n v="523.0"/>
        <n v="356.0"/>
        <n v="68.0"/>
        <n v="43.0"/>
        <n v="388.0"/>
        <n v="383.0"/>
        <n v="331.0"/>
        <n v="487.0"/>
        <n v="332.0"/>
        <n v="214.0"/>
        <n v="778.0"/>
        <n v="267.0"/>
        <n v="48.0"/>
        <n v="680.0"/>
        <n v="702.0"/>
      </sharedItems>
    </cacheField>
    <cacheField name="Страна клиента" numFmtId="0">
      <sharedItems>
        <s v="Узбекистан"/>
        <s v="Беларусь"/>
        <s v="Россия"/>
        <s v="Украина"/>
        <s v="Таджикистан"/>
      </sharedItems>
    </cacheField>
    <cacheField name="Текущая дата" numFmtId="165">
      <sharedItems containsSemiMixedTypes="0" containsDate="1" containsString="0">
        <d v="2026-02-25T11:00:58Z"/>
        <d v="2026-02-25T11:00:58Z"/>
        <d v="2026-02-25T11:00:58Z"/>
        <d v="2026-02-25T11:00:58Z"/>
        <d v="2026-02-25T11:00:58Z"/>
        <d v="2026-02-25T11:00:58Z"/>
        <d v="2026-02-25T11:00:58Z"/>
        <d v="2026-02-25T11:00:58Z"/>
      </sharedItems>
    </cacheField>
    <cacheField name="Лайфтайм клиента" numFmtId="1">
      <sharedItems containsSemiMixedTypes="0" containsString="0" containsNumber="1">
        <n v="44.38196705748463"/>
        <n v="44.28196705748463"/>
        <n v="41.215300390817966"/>
        <n v="47.8486337241513"/>
        <n v="50.048633724151294"/>
        <n v="49.88196705748463"/>
        <n v="44.68196705748463"/>
        <n v="48.648633724151296"/>
        <n v="46.48196705748463"/>
        <n v="45.98196705748463"/>
        <n v="47.48196705748463"/>
        <n v="47.41530039081796"/>
        <n v="40.68196705748463"/>
        <n v="42.81530039081796"/>
        <n v="41.94863372415129"/>
        <n v="46.68196705748463"/>
        <n v="49.18196705748463"/>
        <n v="39.51530039081796"/>
        <n v="40.38196705748463"/>
        <n v="44.081967057484626"/>
        <n v="46.78196705748463"/>
        <n v="45.01530039081796"/>
        <n v="50.51530039081796"/>
        <n v="47.51530039081796"/>
        <n v="46.31530039081796"/>
        <n v="43.148633724151296"/>
        <n v="48.98196705748463"/>
        <n v="47.548633724151294"/>
        <n v="49.81530039081796"/>
        <n v="46.18196705748463"/>
        <n v="47.648633724151296"/>
        <n v="40.715300390817966"/>
        <n v="43.91530039081796"/>
        <n v="42.38196705748463"/>
        <n v="41.51530039081796"/>
        <n v="45.715300390817966"/>
        <n v="39.548633724151294"/>
        <n v="43.715300390817966"/>
        <n v="38.48196705748463"/>
        <n v="38.94863372415129"/>
        <n v="39.91530039081796"/>
        <n v="49.01530039081796"/>
        <n v="41.715300390817966"/>
        <n v="39.28196705748463"/>
        <n v="43.44863372415129"/>
        <n v="43.7486337241513"/>
        <n v="44.18196705748463"/>
        <n v="48.581967057484626"/>
        <n v="40.78196705748463"/>
        <n v="42.78196705748463"/>
        <n v="46.148633724151296"/>
        <n v="40.94863372415129"/>
        <n v="46.51530039081796"/>
        <n v="48.548633724151294"/>
        <n v="41.148633724151296"/>
        <n v="50.3486337241513"/>
        <n v="45.615300390817964"/>
        <n v="39.88196705748463"/>
        <n v="48.081967057484626"/>
        <n v="47.2486337241513"/>
        <n v="41.548633724151294"/>
        <n v="43.18196705748463"/>
        <n v="47.78196705748463"/>
        <n v="43.615300390817964"/>
        <n v="43.68196705748463"/>
        <n v="44.2486337241513"/>
        <n v="38.648633724151296"/>
        <n v="42.115300390817964"/>
        <n v="46.28196705748463"/>
        <n v="40.51530039081796"/>
        <n v="48.38196705748463"/>
        <n v="41.2486337241513"/>
        <n v="43.648633724151296"/>
        <n v="49.78196705748463"/>
        <n v="42.7486337241513"/>
        <n v="43.88196705748463"/>
        <n v="39.41530039081796"/>
        <n v="45.48196705748463"/>
        <n v="49.115300390817964"/>
        <n v="42.48196705748463"/>
        <n v="41.88196705748463"/>
        <n v="50.28196705748463"/>
        <n v="47.98196705787026"/>
        <n v="44.51530039120359"/>
        <n v="48.58196705787025"/>
        <n v="49.24863372453692"/>
        <n v="41.94863372453692"/>
        <n v="40.71530039120359"/>
        <n v="41.91530039120359"/>
        <n v="49.315300391203586"/>
        <n v="44.08196705787025"/>
        <n v="46.281967057870254"/>
        <n v="39.24863372453692"/>
        <n v="40.24863372453692"/>
        <n v="45.281967057870254"/>
        <n v="45.51530039120359"/>
        <n v="45.58196705787025"/>
        <n v="39.881967057870256"/>
        <n v="43.881967057870256"/>
        <n v="41.881967057870256"/>
        <n v="50.51530039120359"/>
        <n v="39.64863372453692"/>
        <n v="45.48196705787026"/>
        <n v="50.281967057870254"/>
        <n v="48.21530039120359"/>
        <n v="50.18196705787025"/>
        <n v="44.815300391203586"/>
        <n v="38.74863372453692"/>
        <n v="49.91530039120359"/>
        <n v="50.08196705787025"/>
        <n v="48.64863372453692"/>
        <n v="40.61530039120359"/>
        <n v="43.64863372453692"/>
        <n v="39.848633724536924"/>
        <n v="40.381967057870256"/>
        <n v="41.71530039120359"/>
        <n v="40.315300391203586"/>
        <n v="42.74863372453692"/>
        <n v="42.11530039120359"/>
        <n v="47.11530039120359"/>
        <n v="47.68196705787025"/>
        <n v="41.54863372453692"/>
        <n v="45.381967057870256"/>
        <n v="46.848633724536924"/>
        <n v="40.11530039120359"/>
        <n v="50.348633724536924"/>
        <n v="40.74863372453692"/>
        <n v="45.01530039120359"/>
        <n v="42.54863372453692"/>
        <n v="43.44863372453692"/>
        <n v="38.54863372453692"/>
        <n v="46.881967057870256"/>
        <n v="46.01530039120359"/>
        <n v="46.18196705787025"/>
        <n v="43.74863372453692"/>
        <n v="44.94863372453692"/>
        <n v="44.71530039120359"/>
        <n v="38.71530039120359"/>
        <n v="39.61530039120359"/>
        <n v="48.08196705787025"/>
        <n v="41.58196705787025"/>
        <n v="43.58196705787025"/>
        <n v="45.91530039120359"/>
        <n v="45.848633724536924"/>
        <n v="39.51530039120359"/>
        <n v="48.74863372453692"/>
        <n v="49.815300391203586"/>
        <n v="44.18196705787025"/>
        <n v="46.41530039120359"/>
        <n v="40.68196705787025"/>
        <n v="48.51530039120359"/>
        <n v="49.44863372453692"/>
        <n v="42.848633724536924"/>
        <n v="43.18196705787025"/>
        <n v="46.51530039120359"/>
        <n v="50.44863372453692"/>
        <n v="49.04863372453692"/>
        <n v="42.781967057870254"/>
        <n v="43.61530039120359"/>
        <n v="45.71530039120359"/>
        <n v="40.51530039120359"/>
        <n v="42.24863372453692"/>
        <n v="47.51530039120359"/>
        <n v="38.815300391203586"/>
        <n v="42.815300391203586"/>
        <n v="43.04863372453692"/>
        <n v="49.01530039120359"/>
        <n v="39.74863372453692"/>
        <n v="46.91530039120359"/>
        <n v="49.68196705787025"/>
        <n v="45.61530039120359"/>
        <n v="38.64863372453692"/>
        <n v="44.281967057870254"/>
        <n v="48.11530039120359"/>
        <n v="39.11530039120359"/>
        <n v="47.58196705787025"/>
        <n v="45.08196705787025"/>
        <n v="48.44863372453692"/>
        <n v="47.48196705787026"/>
        <n v="41.21530039120359"/>
        <n v="40.08196705787025"/>
        <n v="48.98196705787026"/>
        <n v="49.881967057870256"/>
        <n v="43.24863372453692"/>
        <n v="45.74863372453692"/>
        <n v="43.848633724536924"/>
        <n v="42.68196705787025"/>
        <n v="49.71530039120359"/>
        <n v="40.781967057870254"/>
        <n v="44.48196705787026"/>
        <n v="49.11530039120359"/>
        <n v="47.64863372492279"/>
        <n v="39.28196705825612"/>
        <n v="48.68196705825612"/>
        <n v="49.94863372492279"/>
        <n v="47.44863372492279"/>
        <n v="49.78196705825612"/>
        <n v="47.81530039158945"/>
        <n v="50.21530039158946"/>
        <n v="40.515300391589456"/>
        <n v="50.54863372492279"/>
        <n v="41.94863372492279"/>
        <n v="49.18196705825612"/>
        <n v="50.34863372492279"/>
        <n v="44.081967058256126"/>
        <n v="40.38196705825612"/>
        <n v="46.44863372492279"/>
        <n v="49.44863372492279"/>
        <n v="39.915300391589454"/>
        <n v="40.71530039158946"/>
        <n v="42.68196705825612"/>
        <n v="38.54863372492279"/>
        <n v="47.78196705825612"/>
        <n v="40.64863372492279"/>
        <n v="45.14863372492279"/>
        <n v="46.915300391589454"/>
        <n v="41.71530039158946"/>
        <n v="40.31530039158945"/>
        <n v="48.61530039158946"/>
        <n v="46.21530039158946"/>
        <n v="45.015300391589456"/>
        <n v="46.81530039158945"/>
        <n v="43.38196705825612"/>
        <n v="48.11530039158946"/>
        <n v="45.515300391589456"/>
        <n v="46.24863372492279"/>
        <n v="49.68196705825612"/>
        <n v="45.481967058256124"/>
        <n v="49.015300391589456"/>
        <n v="47.24863372492279"/>
        <n v="40.081967058256126"/>
        <n v="40.68196705825612"/>
        <n v="46.14863372492279"/>
        <n v="48.04863372492279"/>
        <n v="45.88196705825612"/>
        <n v="39.74863372492279"/>
        <n v="44.015300391589456"/>
        <n v="46.28196705825612"/>
        <n v="42.74863372492279"/>
        <n v="45.81530039158945"/>
        <n v="47.081967058256126"/>
        <n v="41.74863372492279"/>
        <n v="40.415300391589454"/>
        <n v="50.44863372492279"/>
        <n v="48.34863372492279"/>
        <n v="45.74863372492279"/>
        <n v="41.015300391589456"/>
        <n v="42.481967058256124"/>
        <n v="44.21530039158946"/>
        <n v="39.64863372492279"/>
        <n v="40.61530039158946"/>
        <n v="39.61530039158946"/>
        <n v="46.78196705825612"/>
        <n v="48.24863372492279"/>
        <n v="44.28196705825612"/>
        <n v="47.515300391589456"/>
        <n v="43.54863372492279"/>
        <n v="44.88196705825612"/>
        <n v="46.68196705825612"/>
        <n v="47.34863372492279"/>
        <n v="41.915300391589454"/>
        <n v="43.81530039158945"/>
        <n v="46.31530039158945"/>
        <n v="45.78196705825612"/>
        <n v="50.11530039158946"/>
        <n v="42.44863372492279"/>
        <n v="41.78196705825612"/>
        <n v="43.18196705825612"/>
        <n v="46.981967058256124"/>
        <n v="49.31530039158945"/>
        <n v="42.84863372492279"/>
        <n v="39.44863372492279"/>
        <n v="47.21530039158946"/>
        <n v="43.31530039158945"/>
        <n v="39.081967058256126"/>
        <n v="43.74863372492279"/>
        <n v="48.515300391589456"/>
        <n v="41.981967058256124"/>
        <n v="50.28196705825612"/>
        <n v="50.015300391589456"/>
        <n v="44.94863372492279"/>
        <n v="44.515300391589456"/>
        <n v="48.28196705825612"/>
        <n v="40.11530039158946"/>
        <n v="40.34863372492279"/>
        <n v="39.21530039158946"/>
        <n v="47.04863372492279"/>
        <n v="39.88196705825612"/>
        <n v="47.481967058256124"/>
        <n v="38.61530039158946"/>
        <n v="38.68196705825612"/>
        <n v="38.84863372492279"/>
        <n v="42.915300391589454"/>
        <n v="46.515300391589456"/>
        <n v="39.31530039158945"/>
        <n v="45.84863372492279"/>
        <n v="44.94863372530866"/>
        <n v="48.74863372530866"/>
        <n v="49.715300391975326"/>
        <n v="40.548633725308655"/>
        <n v="49.78196705864199"/>
        <n v="48.681967058641995"/>
        <n v="39.648633725308656"/>
        <n v="38.51530039197532"/>
        <n v="47.84863372530866"/>
        <n v="43.548633725308655"/>
        <n v="45.34863372530866"/>
        <n v="41.94863372530866"/>
        <n v="46.681967058641995"/>
        <n v="45.98196705864199"/>
        <n v="45.94863372530866"/>
        <n v="48.34863372530866"/>
        <n v="48.88196705864199"/>
        <n v="47.78196705864199"/>
        <n v="44.08196705864199"/>
        <n v="45.048633725308655"/>
        <n v="42.78196705864199"/>
        <n v="45.91530039197532"/>
        <n v="48.215300391975326"/>
        <n v="45.58196705864199"/>
        <n v="46.81530039197533"/>
        <n v="49.81530039197533"/>
        <n v="39.615300391975325"/>
        <n v="44.48196705864199"/>
        <n v="43.048633725308655"/>
        <n v="49.94863372530866"/>
        <n v="40.215300391975326"/>
        <n v="40.08196705864199"/>
        <n v="48.115300391975325"/>
        <n v="43.615300391975325"/>
        <n v="40.38196705864199"/>
        <n v="42.84863372530866"/>
        <n v="45.181967058641995"/>
        <n v="44.215300391975326"/>
        <n v="41.74863372530866"/>
        <n v="43.215300391975326"/>
        <n v="48.38196705864199"/>
        <n v="44.181967058641995"/>
        <n v="38.88196705864199"/>
        <n v="47.44863372530866"/>
        <n v="44.548633725308655"/>
        <n v="45.74863372530866"/>
        <n v="48.648633725308656"/>
        <n v="45.51530039197532"/>
        <n v="39.115300391975325"/>
        <n v="44.51530039197532"/>
        <n v="40.74863372530866"/>
        <n v="41.715300391975326"/>
        <n v="41.01530039197532"/>
        <n v="46.181967058641995"/>
        <n v="46.91530039197532"/>
        <n v="42.648633725308656"/>
        <n v="39.31530039197533"/>
        <n v="40.41530039197532"/>
        <n v="44.28196705864199"/>
        <n v="41.88196705864199"/>
        <n v="39.91530039197532"/>
        <n v="45.08196705864199"/>
        <n v="50.115300391975325"/>
        <n v="49.88196705864199"/>
        <n v="48.51530039197532"/>
        <n v="43.88196705864199"/>
        <n v="41.215300391975326"/>
        <n v="39.28196705864199"/>
        <n v="49.115300391975325"/>
        <n v="40.048633725308655"/>
        <n v="47.51530039197532"/>
        <n v="46.78196705864199"/>
        <n v="50.34863372530866"/>
        <n v="38.81530039197533"/>
        <n v="50.28196705864199"/>
        <n v="41.91530039197532"/>
        <n v="44.01530039197532"/>
        <n v="48.28196705864199"/>
        <n v="38.74863372530866"/>
        <n v="39.84863372530866"/>
        <n v="39.215300391975326"/>
        <n v="40.615300391975325"/>
        <n v="49.91530039197532"/>
        <n v="45.148633725308656"/>
        <n v="46.51530039197532"/>
        <n v="50.08196705864199"/>
        <n v="43.58196705864199"/>
        <n v="42.81530039197533"/>
        <n v="49.215300391975326"/>
        <n v="44.91530039197532"/>
        <n v="44.84863372530866"/>
        <n v="45.38196705864199"/>
        <n v="43.38196705864199"/>
        <n v="39.98196705864199"/>
        <n v="47.08196705864199"/>
        <n v="49.74863372530866"/>
        <n v="49.51530039197532"/>
        <n v="49.24863372530866"/>
        <n v="43.08196705864199"/>
        <n v="39.548633725308655"/>
        <n v="40.715300391975326"/>
        <n v="46.34863372530866"/>
        <n v="41.98196705864199"/>
        <n v="42.38196705864199"/>
        <n v="45.48196705864199"/>
        <n v="50.51530039197532"/>
        <n v="49.681967058641995"/>
        <n v="41.51530039197532"/>
        <n v="41.81530039197533"/>
        <n v="41.048633725308655"/>
        <n v="39.41530039197532"/>
        <n v="45.81530039197533"/>
        <n v="47.01530039197532"/>
        <n v="49.31530039197533"/>
        <n v="44.54863372569428"/>
        <n v="49.18196705902762"/>
        <n v="38.51530039236095"/>
        <n v="40.31530039236095"/>
        <n v="50.31530039236095"/>
        <n v="42.848633725694285"/>
        <n v="49.74863372569428"/>
        <n v="49.781967059027615"/>
        <n v="47.01530039236095"/>
        <n v="49.91530039236095"/>
        <n v="46.91530039236095"/>
        <n v="45.18196705902762"/>
        <n v="40.51530039236095"/>
        <n v="40.781967059027615"/>
        <n v="39.21530039236095"/>
        <n v="42.54863372569428"/>
        <n v="48.24863372569428"/>
        <n v="46.11530039236095"/>
        <n v="48.51530039236095"/>
        <n v="43.54863372569428"/>
        <n v="43.61530039236095"/>
        <n v="50.281967059027615"/>
        <n v="49.51530039236095"/>
        <n v="46.51530039236095"/>
        <n v="45.448633725694286"/>
        <n v="38.71530039236095"/>
        <n v="44.68196705902762"/>
        <n v="48.98196705902762"/>
        <n v="50.18196705902762"/>
        <n v="39.348633725694285"/>
        <n v="50.24863372569428"/>
        <n v="48.61530039236095"/>
        <n v="43.881967059027616"/>
        <n v="39.848633725694285"/>
        <n v="46.848633725694285"/>
        <n v="40.74863372569428"/>
        <n v="39.281967059027615"/>
        <n v="45.01530039236095"/>
        <n v="41.18196705902762"/>
        <n v="49.71530039236095"/>
        <n v="45.24863372569428"/>
        <n v="39.74863372569428"/>
        <n v="41.24863372569428"/>
        <n v="38.81530039236095"/>
        <n v="39.31530039236095"/>
        <n v="49.48196705902762"/>
        <n v="43.74863372569428"/>
        <n v="41.51530039236095"/>
        <n v="44.281967059027615"/>
        <n v="41.91530039236095"/>
        <n v="44.948633725694286"/>
        <n v="45.14863372569428"/>
        <n v="47.848633725694285"/>
        <n v="50.08196705902762"/>
        <n v="43.11530039236095"/>
        <n v="46.58196705902762"/>
        <n v="47.58196705902762"/>
        <n v="47.21530039236095"/>
        <n v="45.91530039236095"/>
        <n v="44.381967059027616"/>
        <n v="47.51530039236095"/>
        <n v="43.18196705902762"/>
        <n v="40.21530039236095"/>
        <n v="49.01530039236095"/>
        <n v="43.04863372569428"/>
        <n v="42.448633725694286"/>
        <n v="50.448633725694286"/>
        <n v="41.71530039236095"/>
        <n v="40.54863372569428"/>
        <n v="45.41530039236095"/>
        <n v="49.58196705902762"/>
        <n v="50.11530039236095"/>
        <n v="45.781967059027615"/>
        <n v="46.31530039236095"/>
        <n v="49.881967059027616"/>
        <n v="39.51530039236095"/>
        <n v="46.01530039236095"/>
        <n v="42.74863372569428"/>
        <n v="44.64863372569428"/>
        <n v="44.881967059027616"/>
        <n v="50.01530039236095"/>
        <n v="48.281967059027615"/>
        <n v="43.64863372569428"/>
        <n v="47.781967059027615"/>
        <n v="46.281967059027615"/>
        <n v="50.51530039236095"/>
        <n v="45.61530039236095"/>
        <n v="50.348633725694285"/>
        <n v="45.948633725694286"/>
        <n v="39.54863372569428"/>
        <n v="39.64863372569428"/>
        <n v="40.41530039236095"/>
        <n v="49.281967059027615"/>
        <n v="44.41530039236095"/>
        <n v="42.18196705902762"/>
        <n v="41.448633725694286"/>
        <n v="40.281967059027615"/>
        <n v="42.81530039236095"/>
        <n v="42.91530039236095"/>
        <n v="40.71530039236095"/>
        <n v="42.48196705902762"/>
        <n v="45.58196705902762"/>
        <n v="48.381967059027616"/>
        <n v="44.08196705902762"/>
        <n v="42.58196705902762"/>
        <n v="46.48196705902762"/>
        <n v="49.881967059413725"/>
        <n v="40.31530039274706"/>
        <n v="44.81530039274706"/>
        <n v="38.981967059413726"/>
        <n v="50.348633726080394"/>
        <n v="43.18196705941373"/>
        <n v="39.28196705941373"/>
        <n v="46.481967059413726"/>
        <n v="38.68196705941373"/>
        <n v="40.78196705941373"/>
        <n v="44.981967059413726"/>
        <n v="50.28196705941373"/>
        <n v="48.28196705941373"/>
        <n v="43.381967059413725"/>
        <n v="45.58196705941373"/>
        <n v="45.18196705941373"/>
        <n v="45.68196705941373"/>
        <n v="43.08196705941373"/>
        <n v="46.11530039274706"/>
        <n v="41.01530039274706"/>
        <n v="43.048633726080396"/>
        <n v="46.51530039274706"/>
        <n v="46.28196705941373"/>
        <n v="49.18196705941373"/>
        <n v="42.848633726080394"/>
        <n v="43.1486337260804"/>
        <n v="41.548633726080396"/>
        <n v="50.24863372608039"/>
        <n v="46.1486337260804"/>
        <n v="41.18196705941373"/>
        <n v="44.948633726080395"/>
        <n v="48.381967059413725"/>
        <n v="40.74863372608039"/>
        <n v="40.41530039274706"/>
        <n v="47.08196705941373"/>
        <n v="48.68196705941373"/>
        <n v="48.51530039274706"/>
        <n v="43.348633726080394"/>
        <n v="38.881967059413725"/>
        <n v="39.51530039274706"/>
        <n v="39.048633726080396"/>
        <n v="39.74863372608039"/>
        <n v="38.848633726080394"/>
        <n v="45.41530039274706"/>
        <n v="42.81530039274706"/>
        <n v="48.71530039274706"/>
        <n v="48.08196705941373"/>
        <n v="47.848633726080394"/>
        <n v="50.048633726080396"/>
        <n v="45.01530039274706"/>
        <n v="43.881967059413725"/>
        <n v="46.74863372608039"/>
        <n v="44.68196705941373"/>
        <n v="44.548633726080396"/>
        <n v="44.08196705941373"/>
        <n v="42.78196705941373"/>
        <n v="44.74863372608039"/>
        <n v="40.1486337260804"/>
        <n v="44.381967059413725"/>
        <n v="47.21530039274706"/>
        <n v="43.91530039274706"/>
        <n v="47.01530039274706"/>
        <n v="41.1486337260804"/>
        <n v="40.21530039274706"/>
        <n v="42.24863372608039"/>
        <n v="39.848633726080394"/>
        <n v="49.78196705941373"/>
        <n v="40.71530039274706"/>
        <n v="40.24863372608039"/>
        <n v="43.848633726080394"/>
        <n v="41.448633726080395"/>
        <n v="47.6486337260804"/>
        <n v="43.24863372608039"/>
        <n v="45.948633726080395"/>
        <n v="41.881967059413725"/>
        <n v="41.74863372608039"/>
        <n v="40.68196705941373"/>
        <n v="50.51530039274706"/>
        <n v="47.24863372608039"/>
        <n v="43.74863372608039"/>
        <n v="45.1486337260804"/>
        <n v="48.58196705941373"/>
        <n v="46.381967059413725"/>
        <n v="38.74863372608039"/>
        <n v="42.6486337260804"/>
        <n v="46.6486337260804"/>
        <n v="40.381967059413725"/>
        <n v="44.71530039274706"/>
        <n v="43.548633726080396"/>
        <n v="46.981967059413726"/>
        <n v="46.281967059799356"/>
        <n v="45.91530039313269"/>
        <n v="39.081967059799354"/>
        <n v="39.88196705979935"/>
        <n v="49.781967059799356"/>
        <n v="45.24863372646602"/>
        <n v="41.98196705979935"/>
        <n v="49.015300393132684"/>
        <n v="47.44863372646602"/>
        <n v="44.21530039313269"/>
        <n v="43.81530039313269"/>
        <n v="46.34863372646602"/>
        <n v="39.04863372646602"/>
        <n v="46.31530039313269"/>
        <n v="50.015300393132684"/>
        <n v="50.48196705979935"/>
        <n v="38.88196705979935"/>
        <n v="40.148633726466024"/>
        <n v="40.21530039313269"/>
        <n v="44.98196705979935"/>
        <n v="42.581967059799354"/>
        <n v="42.91530039313269"/>
        <n v="48.515300393132684"/>
        <n v="45.581967059799354"/>
        <n v="42.648633726466024"/>
        <n v="47.081967059799354"/>
        <n v="49.24863372646602"/>
        <n v="43.181967059799355"/>
        <n v="44.681967059799355"/>
        <n v="43.91530039313269"/>
        <n v="48.081967059799354"/>
        <n v="39.41530039313269"/>
        <n v="48.74863372646602"/>
        <n v="47.81530039313269"/>
        <n v="44.48196705979935"/>
        <n v="46.81530039313269"/>
        <n v="46.91530039313269"/>
        <n v="45.71530039313269"/>
        <n v="50.515300393132684"/>
        <n v="40.71530039313269"/>
        <n v="45.615300393132685"/>
        <n v="45.38196705979935"/>
        <n v="45.181967059799355"/>
        <n v="40.31530039313269"/>
        <n v="45.94863372646602"/>
        <n v="38.681967059799355"/>
        <n v="41.24863372646602"/>
        <n v="45.84863372646602"/>
        <n v="44.38196705979935"/>
        <n v="41.781967059799356"/>
        <n v="43.34863372646602"/>
        <n v="43.71530039313269"/>
        <n v="43.581967059799354"/>
        <n v="42.181967059799355"/>
        <n v="49.94863372646602"/>
        <n v="40.38196705979935"/>
        <n v="41.44863372646602"/>
        <n v="43.781967059799356"/>
        <n v="39.54863372646602"/>
        <n v="44.081967059799354"/>
        <n v="41.71530039313269"/>
        <n v="40.648633726466024"/>
        <n v="44.781967059799356"/>
        <n v="38.94863372646602"/>
        <n v="41.54863372646602"/>
        <n v="40.94863372646602"/>
        <n v="41.21530039313269"/>
        <n v="40.34863372646602"/>
        <n v="48.648633726466024"/>
        <n v="38.48196705979935"/>
        <n v="47.21530039313269"/>
        <n v="40.781967059799356"/>
        <n v="46.148633726466024"/>
        <n v="42.115300393132685"/>
        <n v="42.681967059799355"/>
        <n v="40.74863372646602"/>
        <n v="49.681967059799355"/>
        <n v="41.04863372646602"/>
        <n v="42.44863372646602"/>
        <n v="50.081967059799354"/>
        <n v="41.91530039313269"/>
        <n v="45.41530039313269"/>
        <n v="48.34863372646602"/>
        <n v="49.81530039313269"/>
        <n v="46.88196705979935"/>
        <n v="47.98196705979935"/>
        <n v="42.81530039313269"/>
        <n v="46.74863372646602"/>
        <n v="40.41530039313269"/>
        <n v="41.88196705979935"/>
        <n v="41.74863372646602"/>
        <n v="48.581967059799354"/>
        <n v="45.74863372646602"/>
        <n v="46.38196705979935"/>
        <n v="47.31530039313269"/>
        <n v="42.84863372646602"/>
        <n v="39.281967059799356"/>
        <n v="39.115300393132685"/>
        <n v="45.48196705979935"/>
        <n v="50.44863372646602"/>
        <n v="49.181967059799355"/>
        <n v="44.91530039313269"/>
        <n v="45.81530039313269"/>
        <n v="42.74863372646602"/>
        <n v="43.04863372646602"/>
        <n v="46.581967059799354"/>
        <n v="39.648633726466024"/>
        <n v="38.84863372685189"/>
        <n v="49.91530039351856"/>
        <n v="40.61530039351855"/>
        <n v="46.248633726851885"/>
        <n v="46.68196706018522"/>
        <n v="42.68196706018522"/>
        <n v="42.54863372685189"/>
        <n v="47.48196706018522"/>
        <n v="40.11530039351855"/>
        <n v="43.18196706018522"/>
        <n v="39.84863372685189"/>
        <n v="50.51530039351856"/>
        <n v="45.18196706018522"/>
        <n v="42.18196706018522"/>
        <n v="39.54863372685189"/>
        <n v="47.215300393518554"/>
        <n v="41.48196706018522"/>
        <n v="41.91530039351856"/>
        <n v="40.04863372685189"/>
        <n v="49.315300393518555"/>
        <n v="49.48196706018522"/>
        <n v="49.04863372685189"/>
        <n v="43.64863372685189"/>
        <n v="43.34863372685189"/>
        <n v="44.08196706018522"/>
        <n v="45.08196706018522"/>
        <n v="41.748633726851885"/>
        <n v="39.44863372685189"/>
        <n v="48.34863372685189"/>
        <n v="39.748633726851885"/>
        <n v="50.34863372685189"/>
        <n v="44.715300393518554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Продажи магазинов " cacheId="0" dataCaption="" rowGrandTotals="0" compact="0" compactData="0">
  <location ref="A1:C17" firstHeaderRow="0" firstDataRow="1" firstDataCol="1"/>
  <pivotFields>
    <pivotField name="id че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цена за шт в рубля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кол-во штук в чеке" compact="0" outline="0" multipleItemSelectionAllowed="1" showAll="0">
      <items>
        <item x="0"/>
        <item x="1"/>
        <item x="2"/>
        <item x="3"/>
        <item x="4"/>
        <item t="default"/>
      </items>
    </pivotField>
    <pivotField name="Сумма чек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t="default"/>
      </items>
    </pivotField>
    <pivotField name="дата создания чека" axis="axisRow" compact="0" numFmtId="14" outline="0" multipleItemSelectionAllowed="1" showAll="0" sortType="ascending">
      <items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name="магазин покупки" axis="axisCol" compact="0" outline="0" multipleItemSelectionAllowed="1" showAll="0" sortType="ascending">
      <items>
        <item h="1" x="19"/>
        <item h="1" x="15"/>
        <item x="18"/>
        <item h="1" x="12"/>
        <item h="1" x="0"/>
        <item h="1" x="3"/>
        <item h="1" x="9"/>
        <item h="1" x="2"/>
        <item h="1" x="1"/>
        <item h="1" x="5"/>
        <item h="1" x="10"/>
        <item h="1" x="16"/>
        <item h="1" x="11"/>
        <item h="1" x="6"/>
        <item h="1" x="7"/>
        <item h="1" x="14"/>
        <item h="1" x="8"/>
        <item h="1" x="13"/>
        <item h="1" x="17"/>
        <item h="1" x="4"/>
        <item t="default"/>
      </items>
    </pivotField>
    <pivotField name="id клиент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Категория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Средняя цена в категории за шт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Выгода для клиента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Поставщик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Средняя стоимость в категории по поставщику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Дата регистрации клиен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Кол-во дней с момента регистр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Страна клиента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colFields>
    <field x="6"/>
  </colFields>
  <dataFields>
    <dataField name="SUM of Сумма чека" fld="4" baseField="0"/>
  </dataFields>
</pivotTableDefinition>
</file>

<file path=xl/pivotTables/pivotTable2.xml><?xml version="1.0" encoding="utf-8"?>
<pivotTableDefinition xmlns="http://schemas.openxmlformats.org/spreadsheetml/2006/main" name="Лайфтайм клиента" cacheId="1" dataCaption="" rowGrandTotals="0" compact="0" compactData="0">
  <location ref="A1:B746" firstHeaderRow="0" firstDataRow="1" firstDataCol="0"/>
  <pivotFields>
    <pivotField name="id че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цена за шт в рубля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кол-во штук в чеке" compact="0" outline="0" multipleItemSelectionAllowed="1" showAll="0">
      <items>
        <item x="0"/>
        <item x="1"/>
        <item x="2"/>
        <item x="3"/>
        <item x="4"/>
        <item t="default"/>
      </items>
    </pivotField>
    <pivotField name="Сумма че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t="default"/>
      </items>
    </pivotField>
    <pivotField name="дата создания чека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магазин покуп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d клиент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Категория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Средняя цена в категории за шт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Выгода для клиента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Поставщик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Средняя стоимость в категории по поставщику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Дата регистрации клиен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Кол-во дней с момента регистр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Страна клиента" compact="0" outline="0" multipleItemSelectionAllowed="1" showAll="0">
      <items>
        <item x="0"/>
        <item x="1"/>
        <item x="2"/>
        <item x="3"/>
        <item x="4"/>
        <item t="default"/>
      </items>
    </pivotField>
    <pivotField name="Текущая 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Лайфтайм клиента" axis="axisRow" compact="0" numFmtId="1" outline="0" multipleItemSelectionAllowed="1" showAll="0" sortType="ascending">
      <items>
        <item x="38"/>
        <item x="675"/>
        <item x="303"/>
        <item x="412"/>
        <item x="130"/>
        <item x="211"/>
        <item x="289"/>
        <item x="66"/>
        <item x="171"/>
        <item x="290"/>
        <item x="524"/>
        <item x="651"/>
        <item x="137"/>
        <item x="435"/>
        <item x="107"/>
        <item x="374"/>
        <item x="599"/>
        <item x="163"/>
        <item x="369"/>
        <item x="453"/>
        <item x="291"/>
        <item x="558"/>
        <item x="713"/>
        <item x="338"/>
        <item x="554"/>
        <item x="622"/>
        <item x="39"/>
        <item x="669"/>
        <item x="519"/>
        <item x="556"/>
        <item x="618"/>
        <item x="274"/>
        <item x="608"/>
        <item x="174"/>
        <item x="344"/>
        <item x="703"/>
        <item x="285"/>
        <item x="376"/>
        <item x="424"/>
        <item x="92"/>
        <item x="43"/>
        <item x="192"/>
        <item x="363"/>
        <item x="446"/>
        <item x="522"/>
        <item x="702"/>
        <item x="294"/>
        <item x="352"/>
        <item x="454"/>
        <item x="439"/>
        <item x="76"/>
        <item x="406"/>
        <item x="637"/>
        <item x="271"/>
        <item x="740"/>
        <item x="17"/>
        <item x="144"/>
        <item x="485"/>
        <item x="555"/>
        <item x="36"/>
        <item x="395"/>
        <item x="499"/>
        <item x="664"/>
        <item x="727"/>
        <item x="138"/>
        <item x="251"/>
        <item x="322"/>
        <item x="101"/>
        <item x="249"/>
        <item x="302"/>
        <item x="500"/>
        <item x="712"/>
        <item x="167"/>
        <item x="235"/>
        <item x="451"/>
        <item x="557"/>
        <item x="742"/>
        <item x="113"/>
        <item x="375"/>
        <item x="443"/>
        <item x="581"/>
        <item x="723"/>
        <item x="57"/>
        <item x="97"/>
        <item x="287"/>
        <item x="609"/>
        <item x="40"/>
        <item x="208"/>
        <item x="356"/>
        <item x="389"/>
        <item x="365"/>
        <item x="731"/>
        <item x="180"/>
        <item x="230"/>
        <item x="327"/>
        <item x="124"/>
        <item x="283"/>
        <item x="721"/>
        <item x="573"/>
        <item x="623"/>
        <item x="326"/>
        <item x="472"/>
        <item x="579"/>
        <item x="624"/>
        <item x="93"/>
        <item x="584"/>
        <item x="506"/>
        <item x="116"/>
        <item x="217"/>
        <item x="413"/>
        <item x="517"/>
        <item x="649"/>
        <item x="284"/>
        <item x="673"/>
        <item x="18"/>
        <item x="114"/>
        <item x="205"/>
        <item x="330"/>
        <item x="602"/>
        <item x="661"/>
        <item x="242"/>
        <item x="353"/>
        <item x="501"/>
        <item x="549"/>
        <item x="694"/>
        <item x="69"/>
        <item x="160"/>
        <item x="199"/>
        <item x="422"/>
        <item x="299"/>
        <item x="478"/>
        <item x="111"/>
        <item x="250"/>
        <item x="377"/>
        <item x="715"/>
        <item x="213"/>
        <item x="667"/>
        <item x="12"/>
        <item x="149"/>
        <item x="231"/>
        <item x="592"/>
        <item x="31"/>
        <item x="87"/>
        <item x="209"/>
        <item x="396"/>
        <item x="509"/>
        <item x="583"/>
        <item x="645"/>
        <item x="126"/>
        <item x="346"/>
        <item x="445"/>
        <item x="548"/>
        <item x="681"/>
        <item x="48"/>
        <item x="188"/>
        <item x="423"/>
        <item x="525"/>
        <item x="677"/>
        <item x="51"/>
        <item x="671"/>
        <item x="246"/>
        <item x="348"/>
        <item x="535"/>
        <item x="405"/>
        <item x="683"/>
        <item x="54"/>
        <item x="578"/>
        <item x="448"/>
        <item x="545"/>
        <item x="2"/>
        <item x="179"/>
        <item x="362"/>
        <item x="672"/>
        <item x="71"/>
        <item x="452"/>
        <item x="652"/>
        <item x="505"/>
        <item x="586"/>
        <item x="662"/>
        <item x="729"/>
        <item x="34"/>
        <item x="403"/>
        <item x="457"/>
        <item x="60"/>
        <item x="121"/>
        <item x="542"/>
        <item x="670"/>
        <item x="140"/>
        <item x="42"/>
        <item x="115"/>
        <item x="216"/>
        <item x="347"/>
        <item x="477"/>
        <item x="666"/>
        <item x="241"/>
        <item x="334"/>
        <item x="591"/>
        <item x="696"/>
        <item x="739"/>
        <item x="266"/>
        <item x="655"/>
        <item x="404"/>
        <item x="80"/>
        <item x="99"/>
        <item x="355"/>
        <item x="590"/>
        <item x="695"/>
        <item x="88"/>
        <item x="260"/>
        <item x="371"/>
        <item x="459"/>
        <item x="686"/>
        <item x="730"/>
        <item x="14"/>
        <item x="86"/>
        <item x="201"/>
        <item x="307"/>
        <item x="277"/>
        <item x="398"/>
        <item x="612"/>
        <item x="67"/>
        <item x="118"/>
        <item x="679"/>
        <item x="504"/>
        <item x="659"/>
        <item x="726"/>
        <item x="161"/>
        <item x="580"/>
        <item x="33"/>
        <item x="399"/>
        <item x="265"/>
        <item x="475"/>
        <item x="684"/>
        <item x="79"/>
        <item x="247"/>
        <item x="510"/>
        <item x="128"/>
        <item x="425"/>
        <item x="719"/>
        <item x="514"/>
        <item x="626"/>
        <item x="351"/>
        <item x="600"/>
        <item x="630"/>
        <item x="186"/>
        <item x="210"/>
        <item x="680"/>
        <item x="718"/>
        <item x="74"/>
        <item x="117"/>
        <item x="238"/>
        <item x="487"/>
        <item x="709"/>
        <item x="49"/>
        <item x="157"/>
        <item x="316"/>
        <item x="571"/>
        <item x="13"/>
        <item x="164"/>
        <item x="383"/>
        <item x="507"/>
        <item x="560"/>
        <item x="692"/>
        <item x="152"/>
        <item x="270"/>
        <item x="331"/>
        <item x="415"/>
        <item x="540"/>
        <item x="701"/>
        <item x="292"/>
        <item x="508"/>
        <item x="627"/>
        <item x="165"/>
        <item x="324"/>
        <item x="474"/>
        <item x="536"/>
        <item x="710"/>
        <item x="394"/>
        <item x="533"/>
        <item x="464"/>
        <item x="25"/>
        <item x="541"/>
        <item x="61"/>
        <item x="153"/>
        <item x="267"/>
        <item x="471"/>
        <item x="521"/>
        <item x="633"/>
        <item x="722"/>
        <item x="335"/>
        <item x="183"/>
        <item x="588"/>
        <item x="273"/>
        <item x="553"/>
        <item x="656"/>
        <item x="736"/>
        <item x="222"/>
        <item x="388"/>
        <item x="529"/>
        <item x="44"/>
        <item x="129"/>
        <item x="256"/>
        <item x="305"/>
        <item x="429"/>
        <item x="604"/>
        <item x="141"/>
        <item x="382"/>
        <item x="658"/>
        <item x="63"/>
        <item x="158"/>
        <item x="329"/>
        <item x="430"/>
        <item x="72"/>
        <item x="112"/>
        <item x="492"/>
        <item x="735"/>
        <item x="64"/>
        <item x="37"/>
        <item x="657"/>
        <item x="45"/>
        <item x="134"/>
        <item x="275"/>
        <item x="456"/>
        <item x="595"/>
        <item x="663"/>
        <item x="261"/>
        <item x="616"/>
        <item x="185"/>
        <item x="585"/>
        <item x="75"/>
        <item x="98"/>
        <item x="361"/>
        <item x="442"/>
        <item x="566"/>
        <item x="32"/>
        <item x="576"/>
        <item x="635"/>
        <item x="236"/>
        <item x="372"/>
        <item x="19"/>
        <item x="90"/>
        <item x="204"/>
        <item x="314"/>
        <item x="513"/>
        <item x="570"/>
        <item x="665"/>
        <item x="737"/>
        <item x="46"/>
        <item x="147"/>
        <item x="337"/>
        <item x="248"/>
        <item x="333"/>
        <item x="615"/>
        <item x="65"/>
        <item x="1"/>
        <item x="172"/>
        <item x="254"/>
        <item x="354"/>
        <item x="458"/>
        <item x="0"/>
        <item x="469"/>
        <item x="574"/>
        <item x="654"/>
        <item x="503"/>
        <item x="189"/>
        <item x="323"/>
        <item x="640"/>
        <item x="83"/>
        <item x="281"/>
        <item x="345"/>
        <item x="340"/>
        <item x="410"/>
        <item x="569"/>
        <item x="488"/>
        <item x="6"/>
        <item x="436"/>
        <item x="568"/>
        <item x="634"/>
        <item x="136"/>
        <item x="603"/>
        <item x="744"/>
        <item x="572"/>
        <item x="668"/>
        <item x="106"/>
        <item x="518"/>
        <item x="386"/>
        <item x="257"/>
        <item x="489"/>
        <item x="385"/>
        <item x="707"/>
        <item x="135"/>
        <item x="280"/>
        <item x="296"/>
        <item x="460"/>
        <item x="546"/>
        <item x="526"/>
        <item x="625"/>
        <item x="21"/>
        <item x="127"/>
        <item x="220"/>
        <item x="447"/>
        <item x="565"/>
        <item x="315"/>
        <item x="176"/>
        <item x="357"/>
        <item x="738"/>
        <item x="214"/>
        <item x="379"/>
        <item x="461"/>
        <item x="596"/>
        <item x="332"/>
        <item x="421"/>
        <item x="531"/>
        <item x="648"/>
        <item x="725"/>
        <item x="450"/>
        <item x="611"/>
        <item x="94"/>
        <item x="306"/>
        <item x="122"/>
        <item x="387"/>
        <item x="647"/>
        <item x="479"/>
        <item x="559"/>
        <item x="687"/>
        <item x="434"/>
        <item x="77"/>
        <item x="102"/>
        <item x="227"/>
        <item x="400"/>
        <item x="704"/>
        <item x="95"/>
        <item x="224"/>
        <item x="343"/>
        <item x="96"/>
        <item x="319"/>
        <item x="511"/>
        <item x="530"/>
        <item x="629"/>
        <item x="56"/>
        <item x="170"/>
        <item x="496"/>
        <item x="646"/>
        <item x="532"/>
        <item x="35"/>
        <item x="159"/>
        <item x="643"/>
        <item x="184"/>
        <item x="245"/>
        <item x="341"/>
        <item x="698"/>
        <item x="263"/>
        <item x="482"/>
        <item x="239"/>
        <item x="407"/>
        <item x="708"/>
        <item x="143"/>
        <item x="295"/>
        <item x="653"/>
        <item x="234"/>
        <item x="142"/>
        <item x="317"/>
        <item x="468"/>
        <item x="607"/>
        <item x="310"/>
        <item x="498"/>
        <item x="589"/>
        <item x="650"/>
        <item x="9"/>
        <item x="309"/>
        <item x="132"/>
        <item x="486"/>
        <item x="427"/>
        <item x="534"/>
        <item x="50"/>
        <item x="232"/>
        <item x="544"/>
        <item x="678"/>
        <item x="29"/>
        <item x="133"/>
        <item x="349"/>
        <item x="219"/>
        <item x="225"/>
        <item x="716"/>
        <item x="68"/>
        <item x="91"/>
        <item x="237"/>
        <item x="494"/>
        <item x="538"/>
        <item x="606"/>
        <item x="24"/>
        <item x="262"/>
        <item x="483"/>
        <item x="619"/>
        <item x="397"/>
        <item x="617"/>
        <item x="598"/>
        <item x="699"/>
        <item x="148"/>
        <item x="206"/>
        <item x="8"/>
        <item x="515"/>
        <item x="523"/>
        <item x="52"/>
        <item x="154"/>
        <item x="293"/>
        <item x="380"/>
        <item x="433"/>
        <item x="537"/>
        <item x="465"/>
        <item x="711"/>
        <item x="601"/>
        <item x="15"/>
        <item x="258"/>
        <item x="308"/>
        <item x="717"/>
        <item x="567"/>
        <item x="693"/>
        <item x="20"/>
        <item x="252"/>
        <item x="367"/>
        <item x="221"/>
        <item x="320"/>
        <item x="641"/>
        <item x="123"/>
        <item x="444"/>
        <item x="131"/>
        <item x="690"/>
        <item x="168"/>
        <item x="215"/>
        <item x="350"/>
        <item x="420"/>
        <item x="642"/>
        <item x="268"/>
        <item x="605"/>
        <item x="408"/>
        <item x="418"/>
        <item x="577"/>
        <item x="286"/>
        <item x="240"/>
        <item x="390"/>
        <item x="550"/>
        <item x="631"/>
        <item x="119"/>
        <item x="272"/>
        <item x="467"/>
        <item x="575"/>
        <item x="676"/>
        <item x="728"/>
        <item x="59"/>
        <item x="229"/>
        <item x="594"/>
        <item x="700"/>
        <item x="259"/>
        <item x="11"/>
        <item x="195"/>
        <item x="339"/>
        <item x="614"/>
        <item x="10"/>
        <item x="178"/>
        <item x="288"/>
        <item x="720"/>
        <item x="23"/>
        <item x="162"/>
        <item x="255"/>
        <item x="366"/>
        <item x="470"/>
        <item x="27"/>
        <item x="175"/>
        <item x="466"/>
        <item x="30"/>
        <item x="191"/>
        <item x="587"/>
        <item x="120"/>
        <item x="62"/>
        <item x="212"/>
        <item x="313"/>
        <item x="493"/>
        <item x="197"/>
        <item x="639"/>
        <item x="3"/>
        <item x="304"/>
        <item x="462"/>
        <item x="563"/>
        <item x="82"/>
        <item x="691"/>
        <item x="233"/>
        <item x="58"/>
        <item x="139"/>
        <item x="562"/>
        <item x="636"/>
        <item x="173"/>
        <item x="223"/>
        <item x="328"/>
        <item x="104"/>
        <item x="318"/>
        <item x="253"/>
        <item x="426"/>
        <item x="282"/>
        <item x="373"/>
        <item x="491"/>
        <item x="528"/>
        <item x="244"/>
        <item x="311"/>
        <item x="688"/>
        <item x="741"/>
        <item x="70"/>
        <item x="336"/>
        <item x="512"/>
        <item x="547"/>
        <item x="177"/>
        <item x="150"/>
        <item x="276"/>
        <item x="360"/>
        <item x="428"/>
        <item x="552"/>
        <item x="628"/>
        <item x="53"/>
        <item x="47"/>
        <item x="84"/>
        <item x="597"/>
        <item x="697"/>
        <item x="218"/>
        <item x="441"/>
        <item x="7"/>
        <item x="110"/>
        <item x="342"/>
        <item x="674"/>
        <item x="193"/>
        <item x="301"/>
        <item x="551"/>
        <item x="561"/>
        <item x="145"/>
        <item x="297"/>
        <item x="638"/>
        <item x="312"/>
        <item x="26"/>
        <item x="181"/>
        <item x="437"/>
        <item x="41"/>
        <item x="166"/>
        <item x="228"/>
        <item x="473"/>
        <item x="613"/>
        <item x="156"/>
        <item x="734"/>
        <item x="78"/>
        <item x="190"/>
        <item x="364"/>
        <item x="16"/>
        <item x="202"/>
        <item x="411"/>
        <item x="539"/>
        <item x="706"/>
        <item x="384"/>
        <item x="85"/>
        <item x="393"/>
        <item x="632"/>
        <item x="502"/>
        <item x="89"/>
        <item x="269"/>
        <item x="409"/>
        <item x="732"/>
        <item x="151"/>
        <item x="207"/>
        <item x="455"/>
        <item x="733"/>
        <item x="392"/>
        <item x="432"/>
        <item x="480"/>
        <item x="169"/>
        <item x="226"/>
        <item x="402"/>
        <item x="682"/>
        <item x="187"/>
        <item x="298"/>
        <item x="449"/>
        <item x="391"/>
        <item x="416"/>
        <item x="73"/>
        <item x="196"/>
        <item x="300"/>
        <item x="417"/>
        <item x="582"/>
        <item x="610"/>
        <item x="28"/>
        <item x="146"/>
        <item x="321"/>
        <item x="689"/>
        <item x="5"/>
        <item x="182"/>
        <item x="359"/>
        <item x="484"/>
        <item x="516"/>
        <item x="108"/>
        <item x="378"/>
        <item x="419"/>
        <item x="714"/>
        <item x="194"/>
        <item x="325"/>
        <item x="660"/>
        <item x="279"/>
        <item x="490"/>
        <item x="620"/>
        <item x="4"/>
        <item x="564"/>
        <item x="109"/>
        <item x="381"/>
        <item x="463"/>
        <item x="685"/>
        <item x="264"/>
        <item x="358"/>
        <item x="481"/>
        <item x="105"/>
        <item x="438"/>
        <item x="198"/>
        <item x="440"/>
        <item x="543"/>
        <item x="81"/>
        <item x="103"/>
        <item x="278"/>
        <item x="370"/>
        <item x="431"/>
        <item x="527"/>
        <item x="414"/>
        <item x="55"/>
        <item x="125"/>
        <item x="203"/>
        <item x="368"/>
        <item x="497"/>
        <item x="520"/>
        <item x="743"/>
        <item x="155"/>
        <item x="243"/>
        <item x="476"/>
        <item x="705"/>
        <item x="621"/>
        <item x="22"/>
        <item x="100"/>
        <item x="401"/>
        <item x="495"/>
        <item x="593"/>
        <item x="644"/>
        <item x="724"/>
        <item x="200"/>
        <item t="default"/>
      </items>
    </pivotField>
  </pivotFields>
  <rowFields>
    <field x="17"/>
  </rowFields>
  <dataFields>
    <dataField name="COUNT of id клиента" fld="7" subtotal="countNums" baseField="0"/>
  </dataFields>
</pivotTableDefinition>
</file>

<file path=xl/pivotTables/pivotTable3.xml><?xml version="1.0" encoding="utf-8"?>
<pivotTableDefinition xmlns="http://schemas.openxmlformats.org/spreadsheetml/2006/main" name="Суммарные продажи по категориям" cacheId="2" dataCaption="" rowGrandTotals="0" compact="0" compactData="0">
  <location ref="A1:B21" firstHeaderRow="0" firstDataRow="1" firstDataCol="0"/>
  <pivotFields>
    <pivotField name="id че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цена за шт в рубля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кол-во штук в чеке" compact="0" outline="0" multipleItemSelectionAllowed="1" showAll="0">
      <items>
        <item x="0"/>
        <item x="1"/>
        <item x="2"/>
        <item x="3"/>
        <item x="4"/>
        <item t="default"/>
      </items>
    </pivotField>
    <pivotField name="Сумма чек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t="default"/>
      </items>
    </pivotField>
    <pivotField name="дата создания чека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магазин покуп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d клиент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Категория товара" axis="axisRow" compact="0" outline="0" multipleItemSelectionAllowed="1" showAll="0" sortType="ascending">
      <items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ame="Средняя цена в категории за шт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Выгода для клиента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Поставщик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Средняя стоимость в категории по поставщику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Дата регистрации клиен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Кол-во дней с момента регистр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Страна клиента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dataFields>
    <dataField name="SUM of Сумма чека" fld="4" baseField="0"/>
  </dataFields>
</pivotTableDefinition>
</file>

<file path=xl/pivotTables/pivotTable4.xml><?xml version="1.0" encoding="utf-8"?>
<pivotTableDefinition xmlns="http://schemas.openxmlformats.org/spreadsheetml/2006/main" name="Платежеспособность" cacheId="3" dataCaption="" rowGrandTotals="0" compact="0" compactData="0">
  <location ref="A1:B6" firstHeaderRow="0" firstDataRow="1" firstDataCol="0"/>
  <pivotFields>
    <pivotField name="id че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цена за шт в рубля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кол-во штук в чеке" compact="0" outline="0" multipleItemSelectionAllowed="1" showAll="0">
      <items>
        <item x="0"/>
        <item x="1"/>
        <item x="2"/>
        <item x="3"/>
        <item x="4"/>
        <item t="default"/>
      </items>
    </pivotField>
    <pivotField name="Сумма чек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t="default"/>
      </items>
    </pivotField>
    <pivotField name="дата создания чека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магазин покуп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d клиент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Категория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Средняя цена в категории за шт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Выгода для клиента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Поставщик това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Средняя стоимость в категории по поставщику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Дата регистрации клиен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Кол-во дней с момента регистр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Страна клиента" axis="axisRow" compact="0" outline="0" multipleItemSelectionAllowed="1" showAll="0" sortType="ascending">
      <items>
        <item x="1"/>
        <item x="2"/>
        <item x="4"/>
        <item x="0"/>
        <item x="3"/>
        <item t="default"/>
      </items>
    </pivotField>
    <pivotField name="Текущая 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Лайфтайм клиента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5"/>
  </rowFields>
  <dataFields>
    <dataField name="SUM of Сумма чека" fld="4" baseField="0"/>
  </dataFields>
</pivotTableDefinition>
</file>

<file path=xl/tables/table1.xml><?xml version="1.0" encoding="utf-8"?>
<table xmlns="http://schemas.openxmlformats.org/spreadsheetml/2006/main" ref="A1:C433" displayName="Table_1" name="Table_1" id="1">
  <tableColumns count="3">
    <tableColumn name="id товара" id="1"/>
    <tableColumn name="категория товара" id="2"/>
    <tableColumn name="поставщик" id="3"/>
  </tableColumns>
  <tableStyleInfo name="товар-style" showColumnStripes="0" showFirstColumn="1" showLastColumn="1" showRowStripes="1"/>
</table>
</file>

<file path=xl/tables/table2.xml><?xml version="1.0" encoding="utf-8"?>
<table xmlns="http://schemas.openxmlformats.org/spreadsheetml/2006/main" ref="A1:J435" displayName="Table_2" name="Table_2" id="2">
  <tableColumns count="10">
    <tableColumn name="id клиента" id="1"/>
    <tableColumn name="номер телефона клиента" id="2"/>
    <tableColumn name="ФИО" id="3"/>
    <tableColumn name="Программа лояльности клиента" id="4"/>
    <tableColumn name="Дата регистрации клиента" id="5"/>
    <tableColumn name="Коды телефона" id="6"/>
    <tableColumn name="Имя" id="7"/>
    <tableColumn name="Фамилия" id="8"/>
    <tableColumn name="Отчество" id="9"/>
    <tableColumn name="Страна" id="10"/>
  </tableColumns>
  <tableStyleInfo name="клиенты-style" showColumnStripes="0" showFirstColumn="1" showLastColumn="1" showRowStripes="1"/>
</table>
</file>

<file path=xl/tables/table3.xml><?xml version="1.0" encoding="utf-8"?>
<table xmlns="http://schemas.openxmlformats.org/spreadsheetml/2006/main" ref="A1:B7" displayName="Table_3" name="Table_3" id="3">
  <tableColumns count="2">
    <tableColumn name="Страна" id="1"/>
    <tableColumn name="Код" id="2"/>
  </tableColumns>
  <tableStyleInfo name="коды стран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3" dT="2025-09-07T18:19:22.00" personId="{a2c5985e-8fb4-4c14-8bc1-8d00c2f45589}" id="{03a1cd6e-0b14-42c1-9341-d7663c3b8592}" done="0">
    <x18tc:text xml:space="preserve">Анализ лидеров (выше 3.0)
Все категории с средним количеством ≥ 3.0:
Молоко (3.2) — абсолютный лидер.
Мясо, Овощи, Рис, Рыба, Сахар, Соль, Кофе, Конфеты, Чипсы, Хлеб, Фрукты, Печенье, Сок, Колбаса, Чай
Общее количество: 15 из 17 категорий имеют ≥ 3.0.
Вывод: Большинство продуктов покупают по 3 и более единиц в одном чеке — это говорит о высоком уровне запасов, регулярном потреблении и повторных покупках.
Аутсайдеры (ниже 3.0): сыр и крупа. 
Покупатели в целом запасаются продуктами — среднее количество единиц в чеке выше 3 для большинства категорий.
Это говорит о плановой покупке, семейном потреблении и высокой частоте использования базовых продуктов.
Лидером по частоте покупки одной позиции является молоко, а самым "редким" по количеству в чеке — сыр.
.</x18tc:text>
  </x18tc:threadedComment>
  <x18tc:threadedComment ref="F12" dT="2025-09-07T18:05:26.00" personId="{a2c5985e-8fb4-4c14-8bc1-8d00c2f45589}" id="{437dde8a-c800-410c-a69d-6606a41ee755}" done="0">
    <x18tc:text xml:space="preserve">Топ-5 по суммарным продажам:
1. Макароны 66 945р - 11.1%
2. Конфеты 48 797р - 8.1%
3. Мясо 47 223р - 7.8%
4. Сок 45 862р - 7.6%
5. Соль 44 468р - 7.4%
Топ-5 в сумме: 253 305 руб. — 42% от общего объема.
Топ-3: 162 965 руб. — 27%. 
Вывод: Небольшое число категорий формирует большую часть дохода. 
Колбаса — самая слабая категория по выручке.
Крупа, Рис, Овощи, Фрукты — также находятся ниже среднего.
Макароны являются ключевым драйвером продаж, формируя более 11% от общего объема.
Конфеты, мясо и сок — также важные категории.
Колбаса — аутсайдер, что требует внимания.
Покупатели чаще всего тратят деньги на базовые продукты (макароны, мясо, молоко, сахар, соль), а также на сладости и напитки.</x18tc:text>
  </x18tc:threadedComment>
  <x18tc:threadedComment ref="F11" dT="2025-09-07T17:55:58.00" personId="{a2c5985e-8fb4-4c14-8bc1-8d00c2f45589}" id="{cbef64c3-3a7d-42e0-8b9e-b2b8c89d78d8}" done="0">
    <x18tc:text xml:space="preserve">Топ-10 поставщиков по суммарным продажам:
1. Паста Зара 147 150р 6,55%
2. Фруктовый сад 124 360 5,54%
3. Сырная долина 121 000
5,39%
4. Greenfieldт 105 955 4,72%
5. Бабаевский 102 310 4,56%
6. Борилла 101 725 4,53%
7. Домик в деревне 93 695
4,17%
8. Pringles 91 840 4,09%
9. Белый Злат 87 355 3,89%
10. Рот Фронт 84 370 3,76%
Топ-10 в сумме: 1 031 560 руб. — 45,96% от общего объема.
Топ-5: 591 500 руб. — 26,35%. 
Вывод: Высокая концентрация продаж в руках немногих лидеров. Первые 10 брендов обеспечивают почти половину всех продаж. 
Аутсайдеры:
Микоян (410 руб.) — критически низкий объем продаж по сравнению с другими. Возможно, ошибка в данных, временная приостановка поставок или исключение из ассортимента.
Tchibo (6 005) и Вимм-Билль-Данн (5 410) — бренды с известностью, но крайне низкими продажами. Требует анализа причин.
Рынок характеризуется сильной поляризацией:
Небольшая группа брендов (10–15) обеспечивает большую часть продаж.
Более 20 брендов имеют низкие или крайне низкие показатели, что указывает на неэффективное использование полки или слабый спрос.
Паста Зара — ключевой драйвер продаж, тогда как такие известные бренды, как Tchibo, Hochland, Микоян, практически не вносят вклада.</x18tc:text>
  </x18tc:threadedComment>
  <x18tc:threadedComment ref="F16" dT="2025-09-07T21:12:56.00" personId="{a2c5985e-8fb4-4c14-8bc1-8d00c2f45589}" id="{b1f0dd5d-aa50-45bb-acf3-e79158fd5b4c}" done="0">
    <x18tc:text xml:space="preserve">График имеет двухпиковую форму (бимодальный), но основной пик — в районе 470 дней.
Это означает, что многие клиенты регистрируются, но не покупают сразу, а ожидают несколько месяцев.
Форма графика: "горка" с длинным хвостом
Низкий левый край — очень мало клиентов делают покупку в первый месяц.
Постепенный рост — с увеличением времени растёт число людей, которые наконец совершают покупку.
Пик в 470 дней (~1,5 года) — это основная группа клиентов, которые запускаются в процессе принятия решения.
Длинный правый хвост — есть клиенты, которые ждут более 700–800 дней. 
График показывает, что большинство клиентов не совершают первую покупку сразу после регистрации, а ждут от 10 до 18 месяцев.
Это указывает на низкую конверсию и слабую мотивацию к покупке.
Ключевой вывод:
Регистрация ≠ продажа.
Необходимо активно вовлекать клиентов в течение первых месяцев, чтобы ускорить переход от регистрации к покупке.</x18tc:text>
  </x18tc:threadedComment>
  <x18tc:threadedComment ref="F17" dT="2025-09-08T08:30:08.00" personId="{a2c5985e-8fb4-4c14-8bc1-8d00c2f45589}" id="{6ca7d285-cee0-442f-b30c-a5a662d45699}" done="0">
    <x18tc:text xml:space="preserve">Клиенты наиболее активны и лояльны в период с 35-й по 40-ю неделю — это критический период для привлечения и поддержания интереса.
Пик на 35-й неделе может свидетельствовать о том, что именно в этот момент клиенты достигают максимальной вовлечённости (например, после завершения ключевого этапа использования продукта/услуги).
После 40-й недели наблюдается тенденция к снижению, что говорит о возможной высокой текучести или завершении жизненного цикла для части клиентов.
Наблюдаются колебания, особенно на 42–44-й неделях, что может указывать на нестабильность поведения или наличие групп клиентов с разными моделями использования.</x18tc:text>
  </x18tc:threadedComment>
  <x18tc:threadedComment ref="F10" dT="2025-09-07T16:56:16.00" personId="{a2c5985e-8fb4-4c14-8bc1-8d00c2f45589}" id="{3035a4e2-0627-4473-a0b9-11dd167dcfdb}" done="0">
    <x18tc:text xml:space="preserve">Поставщиков можно разделить на три условных сегмента по уровню средней стоимости:
Премиум / Высокий  &gt; 300р 15 брендов, включая Green Garden, Каравай, Макфа.
Средний  250–300р
28 поставщиков, доминирующий.
Низкий / Бюджетный &lt; 250р
17 брендов, включая Tchibo, Ахмад, Микоян.
Вывод: Большинство поставщиков (28 из 60) сосредоточено в среднем ценовом сегменте, что указывает на высокую конкуренцию в этом диапазоне.
Лидер по средней стоимости:
Green Garden — 369
Значительно опережает ближайшего конкурента (Каравай — 331). Это может свидетельствовать о премиальном позиционировании бренда, использовании органических/импортных ингредиентов или узкой нишевой специализации.
Аутсайдер:
Микоян — 82
Существенно ниже среднего. Возможно, бренд ориентирован на массовый бюджетный сегмент, либо представлен в категории дешёвых продуктов (например, колбасные изделия низкой ценовой категории).
Бренды активно дифференцируются по цене, что отражает разнообразие потребительских сегментов.
Наиболее сильные позиции занимают премиальные и молочные бренды, тогда как кондитерские и сахарные — в более низком ценовом коридоре.</x18tc:text>
  </x18tc:threadedComment>
  <x18tc:threadedComment ref="F19" dT="2025-09-08T09:20:41.00" personId="{a2c5985e-8fb4-4c14-8bc1-8d00c2f45589}" id="{7bbd230d-fd6d-48ab-92a7-eccb5723a032}" done="0">
    <x18tc:text xml:space="preserve">Россия является ключевым рынком с точки зрения платёжеспособности клиентов, 251 330 р, что почти в 2,5 раза выше, чем в Беларуси. Компаниям следует уделять особое внимание этому региону при разработке маркетинговых стратегий и продуктов.
Узбекистан и Украина представляют собой стабильные и перспективные рынки с высоким уровнем платежеспособности. Разница между ними составляет около 15 751, что указывает на относительно близкий уровень платёжеспособности. Рекомендуется инвестировать в развитие сервисов для этих стран.
Беларусь требует дополнительного анализа: возможно, необходимо оптимизировать продукты или внедрить программы повышения лояльности и доверия клиентов. В Беларуси самый низкий показатель — 98 793, что на 53% ниже, чем в Украине
Таджикистан демонстрирует потенциал роста, но требует внимания к особенностям местного рынка (например, миграционным потокам, отправке денежных переводов).</x18tc:text>
  </x18tc:threadedComment>
  <x18tc:threadedComment ref="F9" dT="2025-09-07T16:44:12.00" personId="{a2c5985e-8fb4-4c14-8bc1-8d00c2f45589}" id="{b9c831e0-b6b2-4961-87a3-82ab8afd2557}" done="0">
    <x18tc:text xml:space="preserve">О'кей и Гиперглобус доминируют, высокая конкуренция — разница между лидерами минимальна, всего ~5 275 ₽, но они оба значительно опережают остальных. 
Мосмарт, Спар, Верный формируют вторую группу лидеров.
Топ-20% (4 сети): O'кей, Гиперглобус, Мосмарт, Спар → ~80% от максимального GMV.
Перекресток, Лента, Магнит — третья группа, с GMV около 180–190 тыс. ₽.
Ашан, Пятерочка, Билла — четвёртая группа, с GMV ниже 160 тыс. ₽.</x18tc:text>
  </x18tc:threadedComment>
  <x18tc:threadedComment ref="F7" dT="2025-09-07T10:12:21.00" personId="{a2c5985e-8fb4-4c14-8bc1-8d00c2f45589}" id="{76d10544-00b0-4749-941e-14ce252130a2}" done="0">
    <x18tc:text xml:space="preserve">В 2023 году все магазины демонстрировали выраженную сезонность с пиками в зимний и летний периоды. В 2024 году наблюдается разнонаправленная динамика: некоторые сети («Магнит», «Ашан») показывают восстановление и рост, в то время как другие («Лента», «Перекрёсток», «Бристоль») испытывают снижение продаж, особенно в весенние месяцы. Общая картина указывает на необходимость повышения стабильности продаж, управления сезонными колебаниями и активного использования аналитики для прогнозирования и принятия решений. Успешные примеры (например, «Ашан» и «Магнит») могут служить образцом для других сетей.</x18tc:text>
  </x18tc:threadedComment>
  <x18tc:threadedComment ref="F8" dT="2025-09-07T14:01:30.00" personId="{a2c5985e-8fb4-4c14-8bc1-8d00c2f45589}" id="{b8d73ef4-a7b3-49ed-b985-e0051c9f58ae}" done="0">
    <x18tc:text xml:space="preserve">Лучшие магазины для экономии:
Пятерочка — -10% → клиент платит на 10% дешевле среднего
Спар — -6%
Верный — -5%
О'кей — -4%
Гиперглобус — -3%
Пятерочка — лидер по выгоде! 
Худшие магазины (дорогие):
Лента — +10% → клиент платит на 10% дороже среднего
Седьмой Континент — +8%
Городской Супермаркет — +6%
Билла — +6%
Метро — +5%
Лента — самый дорогой магазин
Пятерочка — один из самых выгодных магазинов.
Рекомендация
Клиентам:
Выбирать Пятерочку для покупки макарон, сахара, молока — там низкие цены.
Избегать Ленты, Седьмого Континента, Городского Супермаркета — там высокие цены.
Ритейлерам:
Пятерочка — используйте преимущество: «Цены ниже среднего!»
Лента — пересмотрите ценовую политику.</x18tc:text>
  </x18tc:threadedComment>
  <x18tc:threadedComment ref="F15" dT="2025-09-07T18:58:51.00" personId="{a2c5985e-8fb4-4c14-8bc1-8d00c2f45589}" id="{8a80540c-5d94-46a5-b6bd-0473237d2526}" done="0">
    <x18tc:text xml:space="preserve">Программа лояльности активно используется в большинстве стран.
Почти половина всех клиентов (213 из 434) участвует в программе — это хороший результат.
A: Украина (51.3%), Беларусь (50,9%)— высокая вовлеченность.
B: Россия (50%) — средняя.
C: Узбекистан (48,6%), Таджикистан (47,1%) — низкая.
Европейские страны имеют высокий уровень вовлеченности.
В Узбекистане и Таджикистане наблюдается низкий уровень вовлеченности, что требует специальных мер.
Россия — хотя и имеет 50% участников, есть потенциал роста.</x18tc:text>
  </x18tc:threadedComment>
  <x18tc:threadedComment ref="F14" dT="2025-09-07T18:21:02.00" personId="{a2c5985e-8fb4-4c14-8bc1-8d00c2f45589}" id="{70d31570-9808-4c82-ac08-146c29a5b8a6}" done="0">
    <x18tc:text xml:space="preserve">На графике представлено распределение клиентов по странам (в количественном выражении).
Общее количество клиентов:
146 + 85 + 78 + 74 + 51 = 434 клиента
География клиентов сосредоточена преимущественно в странах бывшего СССР, с явным лидерством России (33.6%).
Узбекистан (19,6%) и Украина (18%) занимают второе и третье места, что указывает на высокий потенциал в Центральной Азии и на Украине, несмотря на сложности.
Ключевая тенденция:
Рынки СНГ остаются важными для бизнеса, особенно благодаря миграционным потокам, цифровой коммерции и интеграции экономик.</x18tc:text>
  </x18tc:threadedComment>
  <x18tc:threadedComment ref="F18" dT="2025-09-08T08:50:38.00" personId="{a2c5985e-8fb4-4c14-8bc1-8d00c2f45589}" id="{cca002ea-fdc0-44c0-b408-3e6922617c69}" done="0">
    <x18tc:text xml:space="preserve">Наиболее популярные имена в этом наборе:
Алевтина, Феврония, Василиса — по 6 упоминаний.
40 имён встречаются по 3 раза — это уже значительная группа, но с более равномерным распределением. Включает как классические (Екатерина, Марина, Николай), так и менее распространённые (Сократ, Харлампий, Гостомысл) имена.
60 имён встречаются с частотой 2 — это самая многочисленная группа, но с минимальной частотой. Включает:
Елена, Ольга, Павел, Антонина, Фёкла, Дарья, Радислав, Ярослав и др.
46 имён встречаются один раз — это редкие или уникальные имена, возможно, исторические, религиозные. Среди них:
Прокл, Лавр, Герман, Синклитикия, Бажен, Савватий, Модест, Серафим, Копылова, Фаина, Октябрина, Эрнест, Кузьма и др.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.29"/>
    <col customWidth="1" min="3" max="3" width="70.86"/>
    <col customWidth="1" min="4" max="4" width="3.29"/>
    <col customWidth="1" min="5" max="5" width="54.57"/>
    <col customWidth="1" min="6" max="6" width="50.86"/>
    <col customWidth="1" min="7" max="7" width="13.43"/>
    <col customWidth="1" min="8" max="8" width="57.29"/>
    <col customWidth="1" min="9" max="9" width="54.71"/>
    <col customWidth="1" min="10" max="10" width="46.14"/>
    <col customWidth="1" min="11" max="12" width="10.71"/>
    <col customWidth="1" min="13" max="13" width="56.71"/>
    <col customWidth="1" min="14" max="14" width="35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4" t="s">
        <v>2</v>
      </c>
      <c r="D6" s="4" t="s">
        <v>3</v>
      </c>
      <c r="E6" s="4" t="s">
        <v>4</v>
      </c>
      <c r="F6" s="5" t="s">
        <v>5</v>
      </c>
      <c r="G6" s="6"/>
      <c r="H6" s="1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7" t="s">
        <v>6</v>
      </c>
      <c r="D7" s="7">
        <v>1.0</v>
      </c>
      <c r="E7" s="7" t="s">
        <v>7</v>
      </c>
      <c r="F7" s="8" t="s">
        <v>8</v>
      </c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0"/>
      <c r="D8" s="10">
        <v>2.0</v>
      </c>
      <c r="E8" s="10" t="s">
        <v>9</v>
      </c>
      <c r="F8" s="8" t="s">
        <v>8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1"/>
      <c r="D9" s="11">
        <v>3.0</v>
      </c>
      <c r="E9" s="11" t="s">
        <v>10</v>
      </c>
      <c r="F9" s="8" t="s">
        <v>8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7" t="s">
        <v>11</v>
      </c>
      <c r="D10" s="7">
        <v>4.0</v>
      </c>
      <c r="E10" s="12" t="s">
        <v>12</v>
      </c>
      <c r="F10" s="8" t="s">
        <v>8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1"/>
      <c r="D11" s="11">
        <v>5.0</v>
      </c>
      <c r="E11" s="13" t="s">
        <v>13</v>
      </c>
      <c r="F11" s="8" t="s">
        <v>8</v>
      </c>
      <c r="G11" s="9"/>
      <c r="H11" s="1"/>
      <c r="I11" s="1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7" t="s">
        <v>14</v>
      </c>
      <c r="D12" s="7">
        <v>6.0</v>
      </c>
      <c r="E12" s="12" t="s">
        <v>15</v>
      </c>
      <c r="F12" s="8" t="s">
        <v>8</v>
      </c>
      <c r="G12" s="9"/>
      <c r="H12" s="1"/>
      <c r="I12" s="1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1"/>
      <c r="D13" s="11">
        <v>7.0</v>
      </c>
      <c r="E13" s="13" t="s">
        <v>16</v>
      </c>
      <c r="F13" s="8" t="s">
        <v>8</v>
      </c>
      <c r="G13" s="9"/>
      <c r="H13" s="1"/>
      <c r="I13" s="1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0" t="s">
        <v>17</v>
      </c>
      <c r="D14" s="10">
        <v>8.0</v>
      </c>
      <c r="E14" s="10" t="s">
        <v>18</v>
      </c>
      <c r="F14" s="8" t="s">
        <v>8</v>
      </c>
      <c r="G14" s="9"/>
      <c r="H14" s="1"/>
      <c r="I14" s="1"/>
      <c r="J14" s="6"/>
      <c r="K14" s="1"/>
      <c r="L14" s="1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0"/>
      <c r="D15" s="10">
        <v>9.0</v>
      </c>
      <c r="E15" s="14" t="s">
        <v>19</v>
      </c>
      <c r="F15" s="8" t="s">
        <v>8</v>
      </c>
      <c r="G15" s="9"/>
      <c r="H15" s="1"/>
      <c r="I15" s="1"/>
      <c r="J15" s="6"/>
      <c r="K15" s="1"/>
      <c r="L15" s="1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0"/>
      <c r="D16" s="10">
        <v>10.0</v>
      </c>
      <c r="E16" s="10" t="s">
        <v>20</v>
      </c>
      <c r="F16" s="8" t="s">
        <v>8</v>
      </c>
      <c r="G16" s="9"/>
      <c r="H16" s="6"/>
      <c r="I16" s="1"/>
      <c r="J16" s="6"/>
      <c r="K16" s="1"/>
      <c r="L16" s="1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0"/>
      <c r="D17" s="10">
        <v>11.0</v>
      </c>
      <c r="E17" s="14" t="s">
        <v>21</v>
      </c>
      <c r="F17" s="8" t="s">
        <v>8</v>
      </c>
      <c r="G17" s="9"/>
      <c r="H17" s="6"/>
      <c r="I17" s="1"/>
      <c r="J17" s="6"/>
      <c r="K17" s="1"/>
      <c r="L17" s="1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0"/>
      <c r="D18" s="10">
        <v>12.0</v>
      </c>
      <c r="E18" s="14" t="s">
        <v>22</v>
      </c>
      <c r="F18" s="8" t="s">
        <v>8</v>
      </c>
      <c r="G18" s="9"/>
      <c r="H18" s="6"/>
      <c r="I18" s="1"/>
      <c r="J18" s="6"/>
      <c r="K18" s="1"/>
      <c r="L18" s="1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1"/>
      <c r="D19" s="11">
        <v>13.0</v>
      </c>
      <c r="E19" s="13" t="s">
        <v>23</v>
      </c>
      <c r="F19" s="15" t="s">
        <v>8</v>
      </c>
      <c r="G19" s="9"/>
      <c r="H19" s="6"/>
      <c r="I19" s="1"/>
      <c r="J19" s="6"/>
      <c r="K19" s="1"/>
      <c r="L19" s="1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9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6" t="s">
        <v>24</v>
      </c>
      <c r="D21" s="6"/>
      <c r="E21" s="1"/>
      <c r="F21" s="1"/>
      <c r="G21" s="1"/>
      <c r="H21" s="1"/>
      <c r="I21" s="1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7" t="s">
        <v>25</v>
      </c>
      <c r="D22" s="1"/>
      <c r="E22" s="1"/>
      <c r="F22" s="1"/>
      <c r="G22" s="1"/>
      <c r="H22" s="1"/>
      <c r="I22" s="1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7" t="s">
        <v>26</v>
      </c>
      <c r="D23" s="1"/>
      <c r="E23" s="1"/>
      <c r="F23" s="1"/>
      <c r="G23" s="1"/>
      <c r="H23" s="1"/>
      <c r="I23" s="1"/>
      <c r="J23" s="6"/>
      <c r="K23" s="1"/>
      <c r="L23" s="1"/>
      <c r="M23" s="6"/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7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7" t="s">
        <v>28</v>
      </c>
      <c r="D25" s="1"/>
      <c r="E25" s="1"/>
      <c r="F25" s="1"/>
      <c r="G25" s="1"/>
      <c r="H25" s="1"/>
      <c r="I25" s="1"/>
      <c r="J25" s="1"/>
      <c r="K25" s="1"/>
      <c r="L25" s="1"/>
      <c r="M25" s="6"/>
      <c r="N25" s="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7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7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7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9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M27:N27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4.86"/>
    <col customWidth="1" min="3" max="3" width="20.71"/>
    <col customWidth="1" min="4" max="4" width="28.0"/>
    <col customWidth="1" min="5" max="6" width="20.71"/>
    <col customWidth="1" min="7" max="26" width="11.57"/>
  </cols>
  <sheetData>
    <row r="1" ht="14.25" customHeight="1"/>
    <row r="2" ht="14.25" customHeight="1"/>
    <row r="3" ht="14.25" customHeight="1">
      <c r="A3" s="21" t="s">
        <v>33</v>
      </c>
      <c r="B3" s="22" t="s">
        <v>34</v>
      </c>
    </row>
    <row r="4" ht="14.25" customHeight="1">
      <c r="A4" s="23" t="s">
        <v>35</v>
      </c>
      <c r="B4" s="24">
        <v>0.10062698971238108</v>
      </c>
    </row>
    <row r="5" ht="14.25" customHeight="1">
      <c r="A5" s="23" t="s">
        <v>36</v>
      </c>
      <c r="B5" s="24">
        <v>0.08184025537531651</v>
      </c>
    </row>
    <row r="6" ht="14.25" customHeight="1">
      <c r="A6" s="23" t="s">
        <v>37</v>
      </c>
      <c r="B6" s="24">
        <v>0.0589684099420883</v>
      </c>
    </row>
    <row r="7" ht="14.25" customHeight="1">
      <c r="A7" s="23" t="s">
        <v>38</v>
      </c>
      <c r="B7" s="24">
        <v>0.05628766595655827</v>
      </c>
    </row>
    <row r="8" ht="14.25" customHeight="1">
      <c r="A8" s="23" t="s">
        <v>39</v>
      </c>
      <c r="B8" s="24">
        <v>0.04713577299587589</v>
      </c>
    </row>
    <row r="9" ht="14.25" customHeight="1">
      <c r="A9" s="23" t="s">
        <v>40</v>
      </c>
      <c r="B9" s="24">
        <v>0.03613108366981542</v>
      </c>
    </row>
    <row r="10" ht="14.25" customHeight="1">
      <c r="A10" s="23" t="s">
        <v>41</v>
      </c>
      <c r="B10" s="24">
        <v>0.023330793858908173</v>
      </c>
    </row>
    <row r="11" ht="14.25" customHeight="1">
      <c r="A11" s="23" t="s">
        <v>42</v>
      </c>
      <c r="B11" s="24">
        <v>0.010296276612656797</v>
      </c>
    </row>
    <row r="12" ht="14.25" customHeight="1">
      <c r="A12" s="23" t="s">
        <v>43</v>
      </c>
      <c r="B12" s="24">
        <v>0.007006998470186433</v>
      </c>
    </row>
    <row r="13" ht="14.25" customHeight="1">
      <c r="A13" s="23" t="s">
        <v>44</v>
      </c>
      <c r="B13" s="24">
        <v>0.005282168496056303</v>
      </c>
    </row>
    <row r="14" ht="14.25" customHeight="1">
      <c r="A14" s="23" t="s">
        <v>45</v>
      </c>
      <c r="B14" s="24">
        <v>-0.008094054282908528</v>
      </c>
    </row>
    <row r="15" ht="14.25" customHeight="1">
      <c r="A15" s="23" t="s">
        <v>46</v>
      </c>
      <c r="B15" s="24">
        <v>-0.009488577021626737</v>
      </c>
    </row>
    <row r="16" ht="14.25" customHeight="1">
      <c r="A16" s="23" t="s">
        <v>47</v>
      </c>
      <c r="B16" s="24">
        <v>-0.011341839275218986</v>
      </c>
    </row>
    <row r="17" ht="14.25" customHeight="1">
      <c r="A17" s="23" t="s">
        <v>48</v>
      </c>
      <c r="B17" s="24">
        <v>-0.02959425010257517</v>
      </c>
    </row>
    <row r="18" ht="14.25" customHeight="1">
      <c r="A18" s="23" t="s">
        <v>49</v>
      </c>
      <c r="B18" s="24">
        <v>-0.03288351385360072</v>
      </c>
    </row>
    <row r="19" ht="14.25" customHeight="1">
      <c r="A19" s="23" t="s">
        <v>50</v>
      </c>
      <c r="B19" s="24">
        <v>-0.03946224477963812</v>
      </c>
    </row>
    <row r="20" ht="14.25" customHeight="1">
      <c r="A20" s="23" t="s">
        <v>51</v>
      </c>
      <c r="B20" s="24">
        <v>-0.04244177361356899</v>
      </c>
    </row>
    <row r="21" ht="14.25" customHeight="1">
      <c r="A21" s="23" t="s">
        <v>52</v>
      </c>
      <c r="B21" s="24">
        <v>-0.05038008240947167</v>
      </c>
    </row>
    <row r="22" ht="14.25" customHeight="1">
      <c r="A22" s="23" t="s">
        <v>53</v>
      </c>
      <c r="B22" s="24">
        <v>-0.06328906936421559</v>
      </c>
    </row>
    <row r="23" ht="14.25" customHeight="1">
      <c r="A23" s="23" t="s">
        <v>54</v>
      </c>
      <c r="B23" s="24">
        <v>-0.10170732495505042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6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autoFilter ref="$A$1:$B$17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.86"/>
    <col customWidth="1" min="3" max="3" width="14.43"/>
    <col customWidth="1" min="4" max="5" width="6.14"/>
    <col customWidth="1" min="6" max="6" width="8.43"/>
    <col customWidth="1" min="7" max="26" width="11.57"/>
  </cols>
  <sheetData>
    <row r="1" ht="14.25" customHeight="1"/>
    <row r="2" ht="14.25" customHeight="1"/>
    <row r="3" ht="14.25" customHeight="1">
      <c r="A3" s="21" t="s">
        <v>74</v>
      </c>
      <c r="B3" s="22" t="s">
        <v>75</v>
      </c>
    </row>
    <row r="4" ht="14.25" customHeight="1">
      <c r="A4" s="23" t="s">
        <v>50</v>
      </c>
      <c r="B4" s="28">
        <v>264220.0</v>
      </c>
    </row>
    <row r="5" ht="14.25" customHeight="1">
      <c r="A5" s="23" t="s">
        <v>48</v>
      </c>
      <c r="B5" s="28">
        <v>258945.0</v>
      </c>
    </row>
    <row r="6" ht="14.25" customHeight="1">
      <c r="A6" s="23" t="s">
        <v>41</v>
      </c>
      <c r="B6" s="28">
        <v>247900.0</v>
      </c>
    </row>
    <row r="7" ht="14.25" customHeight="1">
      <c r="A7" s="23" t="s">
        <v>53</v>
      </c>
      <c r="B7" s="28">
        <v>243730.0</v>
      </c>
    </row>
    <row r="8" ht="14.25" customHeight="1">
      <c r="A8" s="23" t="s">
        <v>52</v>
      </c>
      <c r="B8" s="28">
        <v>235140.0</v>
      </c>
    </row>
    <row r="9" ht="14.25" customHeight="1">
      <c r="A9" s="23" t="s">
        <v>37</v>
      </c>
      <c r="B9" s="28">
        <v>215490.0</v>
      </c>
    </row>
    <row r="10" ht="14.25" customHeight="1">
      <c r="A10" s="23" t="s">
        <v>44</v>
      </c>
      <c r="B10" s="28">
        <v>214185.0</v>
      </c>
    </row>
    <row r="11" ht="14.25" customHeight="1">
      <c r="A11" s="23" t="s">
        <v>36</v>
      </c>
      <c r="B11" s="28">
        <v>205530.0</v>
      </c>
    </row>
    <row r="12" ht="14.25" customHeight="1">
      <c r="A12" s="23" t="s">
        <v>45</v>
      </c>
      <c r="B12" s="28">
        <v>205050.0</v>
      </c>
    </row>
    <row r="13" ht="14.25" customHeight="1">
      <c r="A13" s="23" t="s">
        <v>42</v>
      </c>
      <c r="B13" s="28">
        <v>200145.0</v>
      </c>
    </row>
    <row r="14" ht="14.25" customHeight="1">
      <c r="A14" s="23" t="s">
        <v>39</v>
      </c>
      <c r="B14" s="28">
        <v>195840.0</v>
      </c>
    </row>
    <row r="15" ht="14.25" customHeight="1">
      <c r="A15" s="23" t="s">
        <v>35</v>
      </c>
      <c r="B15" s="28">
        <v>191560.0</v>
      </c>
    </row>
    <row r="16" ht="14.25" customHeight="1">
      <c r="A16" s="23" t="s">
        <v>49</v>
      </c>
      <c r="B16" s="28">
        <v>188180.0</v>
      </c>
    </row>
    <row r="17" ht="14.25" customHeight="1">
      <c r="A17" s="23" t="s">
        <v>40</v>
      </c>
      <c r="B17" s="28">
        <v>182240.0</v>
      </c>
    </row>
    <row r="18" ht="14.25" customHeight="1">
      <c r="A18" s="23" t="s">
        <v>51</v>
      </c>
      <c r="B18" s="28">
        <v>182180.0</v>
      </c>
    </row>
    <row r="19" ht="14.25" customHeight="1">
      <c r="A19" s="23" t="s">
        <v>43</v>
      </c>
      <c r="B19" s="28">
        <v>175060.0</v>
      </c>
    </row>
    <row r="20" ht="14.25" customHeight="1">
      <c r="A20" s="23" t="s">
        <v>46</v>
      </c>
      <c r="B20" s="28">
        <v>162315.0</v>
      </c>
    </row>
    <row r="21" ht="14.25" customHeight="1">
      <c r="A21" s="23" t="s">
        <v>47</v>
      </c>
      <c r="B21" s="28">
        <v>159770.0</v>
      </c>
    </row>
    <row r="22" ht="14.25" customHeight="1">
      <c r="A22" s="23" t="s">
        <v>54</v>
      </c>
      <c r="B22" s="28">
        <v>138310.0</v>
      </c>
    </row>
    <row r="23" ht="14.25" customHeight="1">
      <c r="A23" s="23" t="s">
        <v>38</v>
      </c>
      <c r="B23" s="28">
        <v>136375.0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9.57"/>
    <col customWidth="1" min="3" max="6" width="20.29"/>
    <col customWidth="1" min="7" max="26" width="8.71"/>
  </cols>
  <sheetData>
    <row r="1" ht="14.25" customHeight="1"/>
    <row r="2" ht="14.25" customHeight="1"/>
    <row r="3" ht="14.25" customHeight="1">
      <c r="A3" s="21" t="s">
        <v>33</v>
      </c>
      <c r="B3" s="22" t="s">
        <v>76</v>
      </c>
    </row>
    <row r="4" ht="14.25" customHeight="1">
      <c r="A4" s="23" t="s">
        <v>77</v>
      </c>
      <c r="B4" s="29">
        <v>369.2</v>
      </c>
    </row>
    <row r="5" ht="14.25" customHeight="1">
      <c r="A5" s="23" t="s">
        <v>78</v>
      </c>
      <c r="B5" s="29">
        <v>331.16666666666663</v>
      </c>
    </row>
    <row r="6" ht="14.25" customHeight="1">
      <c r="A6" s="23" t="s">
        <v>79</v>
      </c>
      <c r="B6" s="29">
        <v>329.2727272727272</v>
      </c>
    </row>
    <row r="7" ht="14.25" customHeight="1">
      <c r="A7" s="23" t="s">
        <v>80</v>
      </c>
      <c r="B7" s="29">
        <v>323.076923076923</v>
      </c>
    </row>
    <row r="8" ht="14.25" customHeight="1">
      <c r="A8" s="23" t="s">
        <v>81</v>
      </c>
      <c r="B8" s="29">
        <v>322.54545454545456</v>
      </c>
    </row>
    <row r="9" ht="14.25" customHeight="1">
      <c r="A9" s="23" t="s">
        <v>82</v>
      </c>
      <c r="B9" s="29">
        <v>321.63636363636357</v>
      </c>
    </row>
    <row r="10" ht="14.25" customHeight="1">
      <c r="A10" s="23" t="s">
        <v>83</v>
      </c>
      <c r="B10" s="29">
        <v>320.84615384615387</v>
      </c>
    </row>
    <row r="11" ht="14.25" customHeight="1">
      <c r="A11" s="23" t="s">
        <v>84</v>
      </c>
      <c r="B11" s="29">
        <v>320.5714285714285</v>
      </c>
    </row>
    <row r="12" ht="14.25" customHeight="1">
      <c r="A12" s="23" t="s">
        <v>85</v>
      </c>
      <c r="B12" s="29">
        <v>320.25</v>
      </c>
    </row>
    <row r="13" ht="14.25" customHeight="1">
      <c r="A13" s="23" t="s">
        <v>86</v>
      </c>
      <c r="B13" s="29">
        <v>318.81818181818187</v>
      </c>
    </row>
    <row r="14" ht="14.25" customHeight="1">
      <c r="A14" s="23" t="s">
        <v>87</v>
      </c>
      <c r="B14" s="29">
        <v>317.85714285714283</v>
      </c>
    </row>
    <row r="15" ht="14.25" customHeight="1">
      <c r="A15" s="23" t="s">
        <v>88</v>
      </c>
      <c r="B15" s="29">
        <v>316.59999999999997</v>
      </c>
    </row>
    <row r="16" ht="14.25" customHeight="1">
      <c r="A16" s="23" t="s">
        <v>42</v>
      </c>
      <c r="B16" s="29">
        <v>316.58333333333337</v>
      </c>
    </row>
    <row r="17" ht="14.25" customHeight="1">
      <c r="A17" s="23" t="s">
        <v>89</v>
      </c>
      <c r="B17" s="29">
        <v>312.6666666666667</v>
      </c>
    </row>
    <row r="18" ht="14.25" customHeight="1">
      <c r="A18" s="23" t="s">
        <v>90</v>
      </c>
      <c r="B18" s="29">
        <v>311.3333333333333</v>
      </c>
    </row>
    <row r="19" ht="14.25" customHeight="1">
      <c r="A19" s="23" t="s">
        <v>91</v>
      </c>
      <c r="B19" s="29">
        <v>311.19999999999993</v>
      </c>
    </row>
    <row r="20" ht="14.25" customHeight="1">
      <c r="A20" s="23" t="s">
        <v>92</v>
      </c>
      <c r="B20" s="29">
        <v>303.82352941176475</v>
      </c>
    </row>
    <row r="21" ht="14.25" customHeight="1">
      <c r="A21" s="23" t="s">
        <v>93</v>
      </c>
      <c r="B21" s="29">
        <v>293.6666666666667</v>
      </c>
    </row>
    <row r="22" ht="14.25" customHeight="1">
      <c r="A22" s="23" t="s">
        <v>94</v>
      </c>
      <c r="B22" s="29">
        <v>293.4117647058823</v>
      </c>
    </row>
    <row r="23" ht="14.25" customHeight="1">
      <c r="A23" s="23" t="s">
        <v>95</v>
      </c>
      <c r="B23" s="29">
        <v>292.6666666666667</v>
      </c>
    </row>
    <row r="24" ht="14.25" customHeight="1">
      <c r="A24" s="23" t="s">
        <v>96</v>
      </c>
      <c r="B24" s="29">
        <v>291.4545454545453</v>
      </c>
    </row>
    <row r="25" ht="14.25" customHeight="1">
      <c r="A25" s="23" t="s">
        <v>97</v>
      </c>
      <c r="B25" s="29">
        <v>289.8888888888889</v>
      </c>
    </row>
    <row r="26" ht="14.25" customHeight="1">
      <c r="A26" s="23" t="s">
        <v>98</v>
      </c>
      <c r="B26" s="29">
        <v>288.2380952380953</v>
      </c>
    </row>
    <row r="27" ht="14.25" customHeight="1">
      <c r="A27" s="23" t="s">
        <v>99</v>
      </c>
      <c r="B27" s="29">
        <v>287.09999999999997</v>
      </c>
    </row>
    <row r="28" ht="14.25" customHeight="1">
      <c r="A28" s="23" t="s">
        <v>100</v>
      </c>
      <c r="B28" s="29">
        <v>281.96875</v>
      </c>
    </row>
    <row r="29" ht="14.25" customHeight="1">
      <c r="A29" s="23" t="s">
        <v>101</v>
      </c>
      <c r="B29" s="29">
        <v>281.75</v>
      </c>
    </row>
    <row r="30" ht="14.25" customHeight="1">
      <c r="A30" s="23" t="s">
        <v>102</v>
      </c>
      <c r="B30" s="29">
        <v>281.73333333333346</v>
      </c>
    </row>
    <row r="31" ht="14.25" customHeight="1">
      <c r="A31" s="23" t="s">
        <v>103</v>
      </c>
      <c r="B31" s="29">
        <v>280.6666666666667</v>
      </c>
    </row>
    <row r="32" ht="14.25" customHeight="1">
      <c r="A32" s="23" t="s">
        <v>104</v>
      </c>
      <c r="B32" s="29">
        <v>280.2380952380953</v>
      </c>
    </row>
    <row r="33" ht="14.25" customHeight="1">
      <c r="A33" s="23" t="s">
        <v>105</v>
      </c>
      <c r="B33" s="29">
        <v>276.6756756756756</v>
      </c>
    </row>
    <row r="34" ht="14.25" customHeight="1">
      <c r="A34" s="23" t="s">
        <v>106</v>
      </c>
      <c r="B34" s="29">
        <v>276.2105263157895</v>
      </c>
    </row>
    <row r="35" ht="14.25" customHeight="1">
      <c r="A35" s="23" t="s">
        <v>107</v>
      </c>
      <c r="B35" s="29">
        <v>274.7777777777777</v>
      </c>
    </row>
    <row r="36" ht="14.25" customHeight="1">
      <c r="A36" s="23" t="s">
        <v>108</v>
      </c>
      <c r="B36" s="29">
        <v>273.69999999999993</v>
      </c>
    </row>
    <row r="37" ht="14.25" customHeight="1">
      <c r="A37" s="23" t="s">
        <v>109</v>
      </c>
      <c r="B37" s="29">
        <v>273.625</v>
      </c>
    </row>
    <row r="38" ht="14.25" customHeight="1">
      <c r="A38" s="23" t="s">
        <v>110</v>
      </c>
      <c r="B38" s="29">
        <v>273.58333333333337</v>
      </c>
    </row>
    <row r="39" ht="14.25" customHeight="1">
      <c r="A39" s="23" t="s">
        <v>111</v>
      </c>
      <c r="B39" s="29">
        <v>272.35294117647067</v>
      </c>
    </row>
    <row r="40" ht="14.25" customHeight="1">
      <c r="A40" s="23" t="s">
        <v>112</v>
      </c>
      <c r="B40" s="29">
        <v>272.25</v>
      </c>
    </row>
    <row r="41" ht="14.25" customHeight="1">
      <c r="A41" s="23" t="s">
        <v>113</v>
      </c>
      <c r="B41" s="29">
        <v>271.0</v>
      </c>
    </row>
    <row r="42" ht="14.25" customHeight="1">
      <c r="A42" s="23" t="s">
        <v>114</v>
      </c>
      <c r="B42" s="29">
        <v>269.7058823529411</v>
      </c>
    </row>
    <row r="43" ht="14.25" customHeight="1">
      <c r="A43" s="23" t="s">
        <v>115</v>
      </c>
      <c r="B43" s="29">
        <v>268.0</v>
      </c>
    </row>
    <row r="44" ht="14.25" customHeight="1">
      <c r="A44" s="23" t="s">
        <v>116</v>
      </c>
      <c r="B44" s="29">
        <v>266.2727272727272</v>
      </c>
    </row>
    <row r="45" ht="14.25" customHeight="1">
      <c r="A45" s="23" t="s">
        <v>117</v>
      </c>
      <c r="B45" s="29">
        <v>264.0</v>
      </c>
    </row>
    <row r="46" ht="14.25" customHeight="1">
      <c r="A46" s="23" t="s">
        <v>118</v>
      </c>
      <c r="B46" s="29">
        <v>263.375</v>
      </c>
    </row>
    <row r="47" ht="14.25" customHeight="1">
      <c r="A47" s="23" t="s">
        <v>119</v>
      </c>
      <c r="B47" s="29">
        <v>260.64705882352933</v>
      </c>
    </row>
    <row r="48" ht="14.25" customHeight="1">
      <c r="A48" s="23" t="s">
        <v>120</v>
      </c>
      <c r="B48" s="29">
        <v>260.157894736842</v>
      </c>
    </row>
    <row r="49" ht="14.25" customHeight="1">
      <c r="A49" s="23" t="s">
        <v>121</v>
      </c>
      <c r="B49" s="29">
        <v>258.3076923076923</v>
      </c>
    </row>
    <row r="50" ht="14.25" customHeight="1">
      <c r="A50" s="23" t="s">
        <v>122</v>
      </c>
      <c r="B50" s="29">
        <v>257.7826086956521</v>
      </c>
    </row>
    <row r="51" ht="14.25" customHeight="1">
      <c r="A51" s="23" t="s">
        <v>123</v>
      </c>
      <c r="B51" s="29">
        <v>256.90000000000003</v>
      </c>
    </row>
    <row r="52" ht="14.25" customHeight="1">
      <c r="A52" s="23" t="s">
        <v>124</v>
      </c>
      <c r="B52" s="29">
        <v>254.1818181818182</v>
      </c>
    </row>
    <row r="53" ht="14.25" customHeight="1">
      <c r="A53" s="23" t="s">
        <v>125</v>
      </c>
      <c r="B53" s="29">
        <v>253.6875</v>
      </c>
    </row>
    <row r="54" ht="14.25" customHeight="1">
      <c r="A54" s="23" t="s">
        <v>126</v>
      </c>
      <c r="B54" s="29">
        <v>252.09090909090904</v>
      </c>
    </row>
    <row r="55" ht="14.25" customHeight="1">
      <c r="A55" s="23" t="s">
        <v>127</v>
      </c>
      <c r="B55" s="29">
        <v>251.91666666666663</v>
      </c>
    </row>
    <row r="56" ht="14.25" customHeight="1">
      <c r="A56" s="23" t="s">
        <v>128</v>
      </c>
      <c r="B56" s="29">
        <v>250.25925925925918</v>
      </c>
    </row>
    <row r="57" ht="14.25" customHeight="1">
      <c r="A57" s="23" t="s">
        <v>129</v>
      </c>
      <c r="B57" s="29">
        <v>249.5</v>
      </c>
    </row>
    <row r="58" ht="14.25" customHeight="1">
      <c r="A58" s="23" t="s">
        <v>130</v>
      </c>
      <c r="B58" s="29">
        <v>248.5</v>
      </c>
    </row>
    <row r="59" ht="14.25" customHeight="1">
      <c r="A59" s="23" t="s">
        <v>131</v>
      </c>
      <c r="B59" s="29">
        <v>247.66666666666666</v>
      </c>
    </row>
    <row r="60" ht="14.25" customHeight="1">
      <c r="A60" s="23" t="s">
        <v>132</v>
      </c>
      <c r="B60" s="29">
        <v>243.3</v>
      </c>
    </row>
    <row r="61" ht="14.25" customHeight="1">
      <c r="A61" s="23" t="s">
        <v>133</v>
      </c>
      <c r="B61" s="29">
        <v>242.8181818181818</v>
      </c>
    </row>
    <row r="62" ht="14.25" customHeight="1">
      <c r="A62" s="23" t="s">
        <v>134</v>
      </c>
      <c r="B62" s="29">
        <v>241.83333333333337</v>
      </c>
    </row>
    <row r="63" ht="14.25" customHeight="1">
      <c r="A63" s="23" t="s">
        <v>135</v>
      </c>
      <c r="B63" s="29">
        <v>240.5</v>
      </c>
    </row>
    <row r="64" ht="14.25" customHeight="1">
      <c r="A64" s="23" t="s">
        <v>136</v>
      </c>
      <c r="B64" s="29">
        <v>240.26666666666677</v>
      </c>
    </row>
    <row r="65" ht="14.25" customHeight="1">
      <c r="A65" s="23" t="s">
        <v>137</v>
      </c>
      <c r="B65" s="29">
        <v>238.72222222222223</v>
      </c>
    </row>
    <row r="66" ht="14.25" customHeight="1">
      <c r="A66" s="23" t="s">
        <v>138</v>
      </c>
      <c r="B66" s="29">
        <v>238.16666666666663</v>
      </c>
    </row>
    <row r="67" ht="14.25" customHeight="1">
      <c r="A67" s="23" t="s">
        <v>139</v>
      </c>
      <c r="B67" s="29">
        <v>236.91666666666663</v>
      </c>
    </row>
    <row r="68" ht="14.25" customHeight="1">
      <c r="A68" s="23" t="s">
        <v>140</v>
      </c>
      <c r="B68" s="29">
        <v>236.27586206896555</v>
      </c>
    </row>
    <row r="69" ht="14.25" customHeight="1">
      <c r="A69" s="23" t="s">
        <v>141</v>
      </c>
      <c r="B69" s="29">
        <v>235.5555555555556</v>
      </c>
    </row>
    <row r="70" ht="14.25" customHeight="1">
      <c r="A70" s="23" t="s">
        <v>142</v>
      </c>
      <c r="B70" s="29">
        <v>232.4444444444444</v>
      </c>
    </row>
    <row r="71" ht="14.25" customHeight="1">
      <c r="A71" s="23" t="s">
        <v>143</v>
      </c>
      <c r="B71" s="29">
        <v>226.25</v>
      </c>
    </row>
    <row r="72" ht="14.25" customHeight="1">
      <c r="A72" s="23" t="s">
        <v>144</v>
      </c>
      <c r="B72" s="29">
        <v>222.2</v>
      </c>
    </row>
    <row r="73" ht="14.25" customHeight="1">
      <c r="A73" s="23" t="s">
        <v>145</v>
      </c>
      <c r="B73" s="29">
        <v>216.40000000000003</v>
      </c>
    </row>
    <row r="74" ht="14.25" customHeight="1">
      <c r="A74" s="23" t="s">
        <v>146</v>
      </c>
      <c r="B74" s="29">
        <v>215.85714285714286</v>
      </c>
    </row>
    <row r="75" ht="14.25" customHeight="1">
      <c r="A75" s="23" t="s">
        <v>147</v>
      </c>
      <c r="B75" s="29">
        <v>212.8125</v>
      </c>
    </row>
    <row r="76" ht="14.25" customHeight="1">
      <c r="A76" s="23" t="s">
        <v>148</v>
      </c>
      <c r="B76" s="29">
        <v>208.0</v>
      </c>
    </row>
    <row r="77" ht="14.25" customHeight="1">
      <c r="A77" s="23" t="s">
        <v>149</v>
      </c>
      <c r="B77" s="29">
        <v>193.5</v>
      </c>
    </row>
    <row r="78" ht="14.25" customHeight="1">
      <c r="A78" s="23" t="s">
        <v>150</v>
      </c>
      <c r="B78" s="29">
        <v>168.0</v>
      </c>
    </row>
    <row r="79" ht="14.25" customHeight="1">
      <c r="A79" s="23" t="s">
        <v>151</v>
      </c>
      <c r="B79" s="29">
        <v>159.2</v>
      </c>
    </row>
    <row r="80" ht="14.25" customHeight="1">
      <c r="A80" s="23" t="s">
        <v>152</v>
      </c>
      <c r="B80" s="29">
        <v>140.0</v>
      </c>
    </row>
    <row r="81" ht="14.25" customHeight="1">
      <c r="A81" s="23" t="s">
        <v>153</v>
      </c>
      <c r="B81" s="29">
        <v>82.0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29"/>
    <col customWidth="1" min="3" max="7" width="8.71"/>
    <col customWidth="1" min="8" max="8" width="35.14"/>
    <col customWidth="1" min="9" max="26" width="8.71"/>
  </cols>
  <sheetData>
    <row r="1" ht="14.25" customHeight="1"/>
    <row r="2" ht="14.25" customHeight="1"/>
    <row r="3" ht="14.25" customHeight="1">
      <c r="A3" s="21" t="s">
        <v>154</v>
      </c>
      <c r="B3" s="22" t="s">
        <v>155</v>
      </c>
    </row>
    <row r="4" ht="14.25" customHeight="1">
      <c r="A4" s="23" t="s">
        <v>105</v>
      </c>
      <c r="B4" s="30">
        <v>147150.0</v>
      </c>
    </row>
    <row r="5" ht="14.25" customHeight="1">
      <c r="A5" s="23" t="s">
        <v>100</v>
      </c>
      <c r="B5" s="30">
        <v>124360.0</v>
      </c>
    </row>
    <row r="6" ht="14.25" customHeight="1">
      <c r="A6" s="23" t="s">
        <v>113</v>
      </c>
      <c r="B6" s="30">
        <v>121000.0</v>
      </c>
    </row>
    <row r="7" ht="14.25" customHeight="1">
      <c r="A7" s="23" t="s">
        <v>96</v>
      </c>
      <c r="B7" s="30">
        <v>105955.0</v>
      </c>
    </row>
    <row r="8" ht="14.25" customHeight="1">
      <c r="A8" s="23" t="s">
        <v>128</v>
      </c>
      <c r="B8" s="30">
        <v>102310.0</v>
      </c>
    </row>
    <row r="9" ht="14.25" customHeight="1">
      <c r="A9" s="23" t="s">
        <v>140</v>
      </c>
      <c r="B9" s="30">
        <v>101725.0</v>
      </c>
    </row>
    <row r="10" ht="14.25" customHeight="1">
      <c r="A10" s="23" t="s">
        <v>107</v>
      </c>
      <c r="B10" s="30">
        <v>93695.0</v>
      </c>
    </row>
    <row r="11" ht="14.25" customHeight="1">
      <c r="A11" s="23" t="s">
        <v>104</v>
      </c>
      <c r="B11" s="30">
        <v>91840.0</v>
      </c>
    </row>
    <row r="12" ht="14.25" customHeight="1">
      <c r="A12" s="23" t="s">
        <v>114</v>
      </c>
      <c r="B12" s="30">
        <v>87355.0</v>
      </c>
    </row>
    <row r="13" ht="14.25" customHeight="1">
      <c r="A13" s="23" t="s">
        <v>98</v>
      </c>
      <c r="B13" s="30">
        <v>84370.0</v>
      </c>
    </row>
    <row r="14" ht="14.25" customHeight="1">
      <c r="A14" s="23" t="s">
        <v>106</v>
      </c>
      <c r="B14" s="30">
        <v>78755.0</v>
      </c>
    </row>
    <row r="15" ht="14.25" customHeight="1">
      <c r="A15" s="23" t="s">
        <v>92</v>
      </c>
      <c r="B15" s="30">
        <v>77905.0</v>
      </c>
    </row>
    <row r="16" ht="14.25" customHeight="1">
      <c r="A16" s="23" t="s">
        <v>119</v>
      </c>
      <c r="B16" s="30">
        <v>77535.0</v>
      </c>
    </row>
    <row r="17" ht="14.25" customHeight="1">
      <c r="A17" s="23" t="s">
        <v>111</v>
      </c>
      <c r="B17" s="30">
        <v>72285.0</v>
      </c>
    </row>
    <row r="18" ht="14.25" customHeight="1">
      <c r="A18" s="23" t="s">
        <v>135</v>
      </c>
      <c r="B18" s="30">
        <v>70770.0</v>
      </c>
    </row>
    <row r="19" ht="14.25" customHeight="1">
      <c r="A19" s="23" t="s">
        <v>122</v>
      </c>
      <c r="B19" s="30">
        <v>69935.0</v>
      </c>
    </row>
    <row r="20" ht="14.25" customHeight="1">
      <c r="A20" s="23" t="s">
        <v>120</v>
      </c>
      <c r="B20" s="30">
        <v>68860.0</v>
      </c>
    </row>
    <row r="21" ht="14.25" customHeight="1">
      <c r="A21" s="23" t="s">
        <v>94</v>
      </c>
      <c r="B21" s="30">
        <v>65530.0</v>
      </c>
    </row>
    <row r="22" ht="14.25" customHeight="1">
      <c r="A22" s="23" t="s">
        <v>102</v>
      </c>
      <c r="B22" s="30">
        <v>65280.0</v>
      </c>
    </row>
    <row r="23" ht="14.25" customHeight="1">
      <c r="A23" s="23" t="s">
        <v>42</v>
      </c>
      <c r="B23" s="30">
        <v>64495.0</v>
      </c>
    </row>
    <row r="24" ht="14.25" customHeight="1">
      <c r="A24" s="23" t="s">
        <v>130</v>
      </c>
      <c r="B24" s="30">
        <v>64255.0</v>
      </c>
    </row>
    <row r="25" ht="14.25" customHeight="1">
      <c r="A25" s="23" t="s">
        <v>138</v>
      </c>
      <c r="B25" s="30">
        <v>64065.0</v>
      </c>
    </row>
    <row r="26" ht="14.25" customHeight="1">
      <c r="A26" s="23" t="s">
        <v>88</v>
      </c>
      <c r="B26" s="30">
        <v>63560.0</v>
      </c>
    </row>
    <row r="27" ht="14.25" customHeight="1">
      <c r="A27" s="23" t="s">
        <v>129</v>
      </c>
      <c r="B27" s="30">
        <v>62370.0</v>
      </c>
    </row>
    <row r="28" ht="14.25" customHeight="1">
      <c r="A28" s="23" t="s">
        <v>137</v>
      </c>
      <c r="B28" s="30">
        <v>61035.0</v>
      </c>
    </row>
    <row r="29" ht="14.25" customHeight="1">
      <c r="A29" s="23" t="s">
        <v>136</v>
      </c>
      <c r="B29" s="30">
        <v>60390.0</v>
      </c>
    </row>
    <row r="30" ht="14.25" customHeight="1">
      <c r="A30" s="23" t="s">
        <v>83</v>
      </c>
      <c r="B30" s="30">
        <v>59685.0</v>
      </c>
    </row>
    <row r="31" ht="14.25" customHeight="1">
      <c r="A31" s="23" t="s">
        <v>81</v>
      </c>
      <c r="B31" s="30">
        <v>58150.0</v>
      </c>
    </row>
    <row r="32" ht="14.25" customHeight="1">
      <c r="A32" s="23" t="s">
        <v>125</v>
      </c>
      <c r="B32" s="30">
        <v>55500.0</v>
      </c>
    </row>
    <row r="33" ht="14.25" customHeight="1">
      <c r="A33" s="23" t="s">
        <v>108</v>
      </c>
      <c r="B33" s="30">
        <v>54065.0</v>
      </c>
    </row>
    <row r="34" ht="14.25" customHeight="1">
      <c r="A34" s="23" t="s">
        <v>86</v>
      </c>
      <c r="B34" s="30">
        <v>53570.0</v>
      </c>
    </row>
    <row r="35" ht="14.25" customHeight="1">
      <c r="A35" s="23" t="s">
        <v>121</v>
      </c>
      <c r="B35" s="30">
        <v>53100.0</v>
      </c>
    </row>
    <row r="36" ht="14.25" customHeight="1">
      <c r="A36" s="23" t="s">
        <v>78</v>
      </c>
      <c r="B36" s="30">
        <v>52255.0</v>
      </c>
    </row>
    <row r="37" ht="14.25" customHeight="1">
      <c r="A37" s="23" t="s">
        <v>143</v>
      </c>
      <c r="B37" s="30">
        <v>51115.0</v>
      </c>
    </row>
    <row r="38" ht="14.25" customHeight="1">
      <c r="A38" s="23" t="s">
        <v>147</v>
      </c>
      <c r="B38" s="30">
        <v>50840.0</v>
      </c>
    </row>
    <row r="39" ht="14.25" customHeight="1">
      <c r="A39" s="23" t="s">
        <v>82</v>
      </c>
      <c r="B39" s="30">
        <v>49500.0</v>
      </c>
    </row>
    <row r="40" ht="14.25" customHeight="1">
      <c r="A40" s="23" t="s">
        <v>91</v>
      </c>
      <c r="B40" s="30">
        <v>48495.0</v>
      </c>
    </row>
    <row r="41" ht="14.25" customHeight="1">
      <c r="A41" s="23" t="s">
        <v>80</v>
      </c>
      <c r="B41" s="30">
        <v>46470.0</v>
      </c>
    </row>
    <row r="42" ht="14.25" customHeight="1">
      <c r="A42" s="23" t="s">
        <v>110</v>
      </c>
      <c r="B42" s="30">
        <v>46430.0</v>
      </c>
    </row>
    <row r="43" ht="14.25" customHeight="1">
      <c r="A43" s="23" t="s">
        <v>79</v>
      </c>
      <c r="B43" s="30">
        <v>45615.0</v>
      </c>
    </row>
    <row r="44" ht="14.25" customHeight="1">
      <c r="A44" s="23" t="s">
        <v>116</v>
      </c>
      <c r="B44" s="30">
        <v>44770.0</v>
      </c>
    </row>
    <row r="45" ht="14.25" customHeight="1">
      <c r="A45" s="23" t="s">
        <v>139</v>
      </c>
      <c r="B45" s="30">
        <v>44525.0</v>
      </c>
    </row>
    <row r="46" ht="14.25" customHeight="1">
      <c r="A46" s="23" t="s">
        <v>133</v>
      </c>
      <c r="B46" s="30">
        <v>44305.0</v>
      </c>
    </row>
    <row r="47" ht="14.25" customHeight="1">
      <c r="A47" s="23" t="s">
        <v>89</v>
      </c>
      <c r="B47" s="30">
        <v>44205.0</v>
      </c>
    </row>
    <row r="48" ht="14.25" customHeight="1">
      <c r="A48" s="23" t="s">
        <v>134</v>
      </c>
      <c r="B48" s="30">
        <v>43245.0</v>
      </c>
    </row>
    <row r="49" ht="14.25" customHeight="1">
      <c r="A49" s="23" t="s">
        <v>84</v>
      </c>
      <c r="B49" s="30">
        <v>42840.0</v>
      </c>
    </row>
    <row r="50" ht="14.25" customHeight="1">
      <c r="A50" s="23" t="s">
        <v>99</v>
      </c>
      <c r="B50" s="30">
        <v>42715.0</v>
      </c>
    </row>
    <row r="51" ht="14.25" customHeight="1">
      <c r="A51" s="23" t="s">
        <v>127</v>
      </c>
      <c r="B51" s="30">
        <v>42510.0</v>
      </c>
    </row>
    <row r="52" ht="14.25" customHeight="1">
      <c r="A52" s="23" t="s">
        <v>124</v>
      </c>
      <c r="B52" s="30">
        <v>41185.0</v>
      </c>
    </row>
    <row r="53" ht="14.25" customHeight="1">
      <c r="A53" s="23" t="s">
        <v>126</v>
      </c>
      <c r="B53" s="30">
        <v>41150.0</v>
      </c>
    </row>
    <row r="54" ht="14.25" customHeight="1">
      <c r="A54" s="23" t="s">
        <v>141</v>
      </c>
      <c r="B54" s="30">
        <v>40235.0</v>
      </c>
    </row>
    <row r="55" ht="14.25" customHeight="1">
      <c r="A55" s="23" t="s">
        <v>142</v>
      </c>
      <c r="B55" s="30">
        <v>39820.0</v>
      </c>
    </row>
    <row r="56" ht="14.25" customHeight="1">
      <c r="A56" s="23" t="s">
        <v>97</v>
      </c>
      <c r="B56" s="30">
        <v>37100.0</v>
      </c>
    </row>
    <row r="57" ht="14.25" customHeight="1">
      <c r="A57" s="23" t="s">
        <v>131</v>
      </c>
      <c r="B57" s="30">
        <v>36195.0</v>
      </c>
    </row>
    <row r="58" ht="14.25" customHeight="1">
      <c r="A58" s="23" t="s">
        <v>144</v>
      </c>
      <c r="B58" s="30">
        <v>36120.0</v>
      </c>
    </row>
    <row r="59" ht="14.25" customHeight="1">
      <c r="A59" s="23" t="s">
        <v>148</v>
      </c>
      <c r="B59" s="30">
        <v>33905.0</v>
      </c>
    </row>
    <row r="60" ht="14.25" customHeight="1">
      <c r="A60" s="23" t="s">
        <v>123</v>
      </c>
      <c r="B60" s="30">
        <v>31835.0</v>
      </c>
    </row>
    <row r="61" ht="14.25" customHeight="1">
      <c r="A61" s="23" t="s">
        <v>93</v>
      </c>
      <c r="B61" s="30">
        <v>31820.0</v>
      </c>
    </row>
    <row r="62" ht="14.25" customHeight="1">
      <c r="A62" s="23" t="s">
        <v>90</v>
      </c>
      <c r="B62" s="30">
        <v>31645.0</v>
      </c>
    </row>
    <row r="63" ht="14.25" customHeight="1">
      <c r="A63" s="23" t="s">
        <v>77</v>
      </c>
      <c r="B63" s="30">
        <v>30930.0</v>
      </c>
    </row>
    <row r="64" ht="14.25" customHeight="1">
      <c r="A64" s="23" t="s">
        <v>109</v>
      </c>
      <c r="B64" s="30">
        <v>30810.0</v>
      </c>
    </row>
    <row r="65" ht="14.25" customHeight="1">
      <c r="A65" s="23" t="s">
        <v>117</v>
      </c>
      <c r="B65" s="30">
        <v>30665.0</v>
      </c>
    </row>
    <row r="66" ht="14.25" customHeight="1">
      <c r="A66" s="23" t="s">
        <v>132</v>
      </c>
      <c r="B66" s="30">
        <v>29575.0</v>
      </c>
    </row>
    <row r="67" ht="14.25" customHeight="1">
      <c r="A67" s="23" t="s">
        <v>87</v>
      </c>
      <c r="B67" s="30">
        <v>29515.0</v>
      </c>
    </row>
    <row r="68" ht="14.25" customHeight="1">
      <c r="A68" s="23" t="s">
        <v>103</v>
      </c>
      <c r="B68" s="30">
        <v>29480.0</v>
      </c>
    </row>
    <row r="69" ht="14.25" customHeight="1">
      <c r="A69" s="23" t="s">
        <v>145</v>
      </c>
      <c r="B69" s="30">
        <v>29390.0</v>
      </c>
    </row>
    <row r="70" ht="14.25" customHeight="1">
      <c r="A70" s="23" t="s">
        <v>115</v>
      </c>
      <c r="B70" s="30">
        <v>26495.0</v>
      </c>
    </row>
    <row r="71" ht="14.25" customHeight="1">
      <c r="A71" s="23" t="s">
        <v>118</v>
      </c>
      <c r="B71" s="30">
        <v>25495.0</v>
      </c>
    </row>
    <row r="72" ht="14.25" customHeight="1">
      <c r="A72" s="23" t="s">
        <v>146</v>
      </c>
      <c r="B72" s="30">
        <v>24065.0</v>
      </c>
    </row>
    <row r="73" ht="14.25" customHeight="1">
      <c r="A73" s="23" t="s">
        <v>112</v>
      </c>
      <c r="B73" s="30">
        <v>19460.0</v>
      </c>
    </row>
    <row r="74" ht="14.25" customHeight="1">
      <c r="A74" s="23" t="s">
        <v>95</v>
      </c>
      <c r="B74" s="30">
        <v>18125.0</v>
      </c>
    </row>
    <row r="75" ht="14.25" customHeight="1">
      <c r="A75" s="23" t="s">
        <v>85</v>
      </c>
      <c r="B75" s="30">
        <v>15520.0</v>
      </c>
      <c r="H75" s="31"/>
    </row>
    <row r="76" ht="14.25" customHeight="1">
      <c r="A76" s="23" t="s">
        <v>101</v>
      </c>
      <c r="B76" s="30">
        <v>13740.0</v>
      </c>
    </row>
    <row r="77" ht="14.25" customHeight="1">
      <c r="A77" s="23" t="s">
        <v>151</v>
      </c>
      <c r="B77" s="30">
        <v>7730.0</v>
      </c>
    </row>
    <row r="78" ht="14.25" customHeight="1">
      <c r="A78" s="23" t="s">
        <v>150</v>
      </c>
      <c r="B78" s="30">
        <v>7645.0</v>
      </c>
    </row>
    <row r="79" ht="14.25" customHeight="1">
      <c r="A79" s="23" t="s">
        <v>152</v>
      </c>
      <c r="B79" s="30">
        <v>6005.0</v>
      </c>
    </row>
    <row r="80" ht="14.25" customHeight="1">
      <c r="A80" s="23" t="s">
        <v>149</v>
      </c>
      <c r="B80" s="30">
        <v>5410.0</v>
      </c>
    </row>
    <row r="81" ht="14.25" customHeight="1">
      <c r="A81" s="23" t="s">
        <v>153</v>
      </c>
      <c r="B81" s="30">
        <v>410.0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4.0"/>
    <col customWidth="1" min="3" max="6" width="2.0"/>
    <col customWidth="1" min="7" max="52" width="8.71"/>
  </cols>
  <sheetData>
    <row r="1" ht="14.25" customHeight="1"/>
    <row r="2" ht="14.25" customHeight="1"/>
    <row r="3" ht="14.25" customHeight="1">
      <c r="A3" s="21" t="s">
        <v>33</v>
      </c>
      <c r="B3" s="22" t="s">
        <v>156</v>
      </c>
    </row>
    <row r="4" ht="14.25" customHeight="1">
      <c r="A4" s="23" t="s">
        <v>157</v>
      </c>
      <c r="B4" s="29">
        <v>2.76271186440678</v>
      </c>
    </row>
    <row r="5" ht="14.25" customHeight="1">
      <c r="A5" s="23" t="s">
        <v>158</v>
      </c>
      <c r="B5" s="29">
        <v>2.8846153846153846</v>
      </c>
    </row>
    <row r="6" ht="14.25" customHeight="1">
      <c r="A6" s="23" t="s">
        <v>159</v>
      </c>
      <c r="B6" s="29">
        <v>2.9838709677419355</v>
      </c>
    </row>
    <row r="7" ht="14.25" customHeight="1">
      <c r="A7" s="23" t="s">
        <v>160</v>
      </c>
      <c r="B7" s="29">
        <v>3.0476190476190474</v>
      </c>
    </row>
    <row r="8" ht="14.25" customHeight="1">
      <c r="A8" s="23" t="s">
        <v>161</v>
      </c>
      <c r="B8" s="29">
        <v>2.7209302325581395</v>
      </c>
    </row>
    <row r="9" ht="14.25" customHeight="1">
      <c r="A9" s="23" t="s">
        <v>162</v>
      </c>
      <c r="B9" s="29">
        <v>2.941860465116279</v>
      </c>
    </row>
    <row r="10" ht="14.25" customHeight="1">
      <c r="A10" s="23" t="s">
        <v>163</v>
      </c>
      <c r="B10" s="29">
        <v>3.238095238095238</v>
      </c>
    </row>
    <row r="11" ht="14.25" customHeight="1">
      <c r="A11" s="23" t="s">
        <v>164</v>
      </c>
      <c r="B11" s="29">
        <v>3.1272727272727274</v>
      </c>
    </row>
    <row r="12" ht="14.25" customHeight="1">
      <c r="A12" s="23" t="s">
        <v>165</v>
      </c>
      <c r="B12" s="29">
        <v>3.1463414634146343</v>
      </c>
    </row>
    <row r="13" ht="14.25" customHeight="1">
      <c r="A13" s="23" t="s">
        <v>166</v>
      </c>
      <c r="B13" s="29">
        <v>3.0638297872340425</v>
      </c>
    </row>
    <row r="14" ht="14.25" customHeight="1">
      <c r="A14" s="23" t="s">
        <v>167</v>
      </c>
      <c r="B14" s="29">
        <v>3.1875</v>
      </c>
    </row>
    <row r="15" ht="14.25" customHeight="1">
      <c r="A15" s="23" t="s">
        <v>168</v>
      </c>
      <c r="B15" s="29">
        <v>3.128205128205128</v>
      </c>
    </row>
    <row r="16" ht="14.25" customHeight="1">
      <c r="A16" s="23" t="s">
        <v>169</v>
      </c>
      <c r="B16" s="29">
        <v>3.135593220338983</v>
      </c>
    </row>
    <row r="17" ht="14.25" customHeight="1">
      <c r="A17" s="23" t="s">
        <v>170</v>
      </c>
      <c r="B17" s="29">
        <v>2.9827586206896552</v>
      </c>
    </row>
    <row r="18" ht="14.25" customHeight="1">
      <c r="A18" s="23" t="s">
        <v>171</v>
      </c>
      <c r="B18" s="29">
        <v>3.0754716981132075</v>
      </c>
    </row>
    <row r="19" ht="14.25" customHeight="1">
      <c r="A19" s="23" t="s">
        <v>172</v>
      </c>
      <c r="B19" s="29">
        <v>2.5873015873015874</v>
      </c>
    </row>
    <row r="20" ht="14.25" customHeight="1">
      <c r="A20" s="23" t="s">
        <v>173</v>
      </c>
      <c r="B20" s="29">
        <v>2.953488372093023</v>
      </c>
    </row>
    <row r="21" ht="14.25" customHeight="1">
      <c r="A21" s="23" t="s">
        <v>174</v>
      </c>
      <c r="B21" s="29">
        <v>3.090909090909091</v>
      </c>
    </row>
    <row r="22" ht="14.25" customHeight="1">
      <c r="A22" s="23" t="s">
        <v>175</v>
      </c>
      <c r="B22" s="29">
        <v>2.9272727272727272</v>
      </c>
    </row>
    <row r="23" ht="14.25" customHeight="1">
      <c r="A23" s="23" t="s">
        <v>176</v>
      </c>
      <c r="B23" s="29">
        <v>3.0588235294117645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4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E1" s="34"/>
    </row>
    <row r="2"/>
    <row r="3"/>
    <row r="4"/>
    <row r="5">
      <c r="I5" s="34"/>
    </row>
    <row r="6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8.71"/>
    <col customWidth="1" min="4" max="5" width="17.71"/>
    <col customWidth="1" min="6" max="6" width="18.29"/>
    <col customWidth="1" min="7" max="7" width="20.14"/>
    <col customWidth="1" min="8" max="8" width="11.71"/>
    <col customWidth="1" min="9" max="9" width="20.14"/>
    <col customWidth="1" min="10" max="10" width="32.14"/>
    <col customWidth="1" min="11" max="11" width="20.14"/>
    <col customWidth="1" min="12" max="12" width="20.71"/>
    <col customWidth="1" min="13" max="13" width="44.43"/>
    <col customWidth="1" min="14" max="14" width="27.43"/>
    <col customWidth="1" min="15" max="15" width="35.71"/>
    <col customWidth="1" min="16" max="16" width="15.29"/>
    <col customWidth="1" min="17" max="17" width="13.43"/>
    <col customWidth="1" min="18" max="18" width="21.29"/>
    <col customWidth="1" min="19" max="26" width="8.71"/>
  </cols>
  <sheetData>
    <row r="1" ht="14.25" customHeight="1">
      <c r="A1" s="35" t="s">
        <v>186</v>
      </c>
      <c r="B1" s="35" t="s">
        <v>187</v>
      </c>
      <c r="C1" s="35" t="s">
        <v>188</v>
      </c>
      <c r="D1" s="35" t="s">
        <v>189</v>
      </c>
      <c r="E1" s="35" t="s">
        <v>190</v>
      </c>
      <c r="F1" s="35" t="s">
        <v>191</v>
      </c>
      <c r="G1" s="35" t="s">
        <v>56</v>
      </c>
      <c r="H1" s="35" t="s">
        <v>192</v>
      </c>
      <c r="I1" s="35" t="s">
        <v>179</v>
      </c>
      <c r="J1" s="35" t="s">
        <v>193</v>
      </c>
      <c r="K1" s="35" t="s">
        <v>194</v>
      </c>
      <c r="L1" s="35" t="s">
        <v>195</v>
      </c>
      <c r="M1" s="35" t="s">
        <v>196</v>
      </c>
      <c r="N1" s="36" t="s">
        <v>197</v>
      </c>
      <c r="O1" s="35" t="s">
        <v>198</v>
      </c>
      <c r="P1" s="37" t="s">
        <v>180</v>
      </c>
      <c r="Q1" s="38" t="s">
        <v>199</v>
      </c>
      <c r="R1" s="39" t="s">
        <v>177</v>
      </c>
      <c r="S1" s="40" t="s">
        <v>200</v>
      </c>
      <c r="T1" s="40" t="s">
        <v>200</v>
      </c>
      <c r="U1" s="40" t="s">
        <v>200</v>
      </c>
      <c r="V1" s="40" t="s">
        <v>200</v>
      </c>
      <c r="W1" s="40" t="s">
        <v>200</v>
      </c>
      <c r="X1" s="40" t="s">
        <v>200</v>
      </c>
      <c r="Y1" s="40" t="s">
        <v>200</v>
      </c>
      <c r="Z1" s="40" t="s">
        <v>200</v>
      </c>
    </row>
    <row r="2" ht="14.25" customHeight="1">
      <c r="A2" s="41">
        <v>1.0</v>
      </c>
      <c r="B2" s="41">
        <v>300.0</v>
      </c>
      <c r="C2" s="41">
        <v>103.0</v>
      </c>
      <c r="D2" s="41">
        <v>4.0</v>
      </c>
      <c r="E2" s="41">
        <f t="shared" ref="E2:E1001" si="1">C2*D2</f>
        <v>412</v>
      </c>
      <c r="F2" s="42">
        <v>45187.0</v>
      </c>
      <c r="G2" s="41" t="s">
        <v>45</v>
      </c>
      <c r="H2" s="41">
        <v>315.0</v>
      </c>
      <c r="I2" s="41" t="str">
        <f>VLOOKUP(B2,'товар'!$A$1:$C$433,2,FALSE)</f>
        <v>Сахар</v>
      </c>
      <c r="J2" s="43">
        <f t="shared" ref="J2:J1001" si="2">AVERAGEIF($I$2:$I$1001,I2,$C$2:$C$1001)</f>
        <v>252.7627119</v>
      </c>
      <c r="K2" s="44">
        <f t="shared" ref="K2:K1001" si="3">C2/J2-1</f>
        <v>-0.5925031851</v>
      </c>
      <c r="L2" s="41" t="str">
        <f>VLOOKUP(B2,'товар'!$A$1:$C$433,3,FALSE)</f>
        <v>Продимекс</v>
      </c>
      <c r="M2" s="45">
        <f t="shared" ref="M2:M1001" si="4">AVERAGEIFS($C$2:$C$1001,$I$2:$I$1001,I2,$L$2:$L$1001,L2)</f>
        <v>240.5</v>
      </c>
      <c r="N2" s="46">
        <f>VLOOKUP(H2,'клиенты'!$A$1:$F$435,5,FALSE)</f>
        <v>44747</v>
      </c>
      <c r="O2" s="41">
        <f t="shared" ref="O2:O1001" si="5">F2-N2</f>
        <v>440</v>
      </c>
      <c r="P2" s="41" t="str">
        <f>VLOOKUP(H2,'клиенты'!$A$2:$J$435,10,FALSE)</f>
        <v>Узбекистан</v>
      </c>
      <c r="Q2" s="47">
        <f t="shared" ref="Q2:Q1001" si="6">NOW()</f>
        <v>46078.45901</v>
      </c>
      <c r="R2" s="48">
        <f t="shared" ref="R2:R1001" si="7">(Q2-N2)/30</f>
        <v>44.38196706</v>
      </c>
      <c r="S2" s="41"/>
      <c r="T2" s="41"/>
      <c r="U2" s="41"/>
      <c r="V2" s="41"/>
      <c r="W2" s="41"/>
      <c r="X2" s="41"/>
      <c r="Y2" s="41"/>
      <c r="Z2" s="41"/>
    </row>
    <row r="3" ht="14.25" customHeight="1">
      <c r="A3" s="20">
        <v>2.0</v>
      </c>
      <c r="B3" s="20">
        <v>486.0</v>
      </c>
      <c r="C3" s="20">
        <v>296.0</v>
      </c>
      <c r="D3" s="20">
        <v>3.0</v>
      </c>
      <c r="E3" s="20">
        <f t="shared" si="1"/>
        <v>888</v>
      </c>
      <c r="F3" s="49">
        <v>45083.0</v>
      </c>
      <c r="G3" s="20" t="s">
        <v>46</v>
      </c>
      <c r="H3" s="20">
        <v>253.0</v>
      </c>
      <c r="I3" s="20" t="str">
        <f>VLOOKUP(B3,'товар'!$A$1:$C$433,2,FALSE)</f>
        <v>Соль</v>
      </c>
      <c r="J3" s="50">
        <f t="shared" si="2"/>
        <v>264.8679245</v>
      </c>
      <c r="K3" s="51">
        <f t="shared" si="3"/>
        <v>0.1175381108</v>
      </c>
      <c r="L3" s="20" t="str">
        <f>VLOOKUP(B3,'товар'!$A$1:$C$433,3,FALSE)</f>
        <v>Илецкая</v>
      </c>
      <c r="M3" s="52">
        <f t="shared" si="4"/>
        <v>238.1666667</v>
      </c>
      <c r="N3" s="53">
        <f>VLOOKUP(H3,'клиенты'!$A$1:$F$435,5,FALSE)</f>
        <v>44750</v>
      </c>
      <c r="O3" s="20">
        <f t="shared" si="5"/>
        <v>333</v>
      </c>
      <c r="P3" s="20" t="str">
        <f>VLOOKUP(H3,'клиенты'!$A$2:$J$435,10,FALSE)</f>
        <v>Беларусь</v>
      </c>
      <c r="Q3" s="54">
        <f t="shared" si="6"/>
        <v>46078.45901</v>
      </c>
      <c r="R3" s="55">
        <f t="shared" si="7"/>
        <v>44.28196706</v>
      </c>
      <c r="S3" s="20"/>
      <c r="T3" s="20"/>
      <c r="U3" s="20"/>
      <c r="V3" s="20"/>
      <c r="W3" s="20"/>
      <c r="X3" s="20"/>
      <c r="Y3" s="20"/>
      <c r="Z3" s="20"/>
    </row>
    <row r="4" ht="14.25" customHeight="1">
      <c r="A4" s="41">
        <v>3.0</v>
      </c>
      <c r="B4" s="41">
        <v>76.0</v>
      </c>
      <c r="C4" s="41">
        <v>139.0</v>
      </c>
      <c r="D4" s="41">
        <v>5.0</v>
      </c>
      <c r="E4" s="41">
        <f t="shared" si="1"/>
        <v>695</v>
      </c>
      <c r="F4" s="42">
        <v>45363.0</v>
      </c>
      <c r="G4" s="41" t="s">
        <v>37</v>
      </c>
      <c r="H4" s="41">
        <v>12.0</v>
      </c>
      <c r="I4" s="41" t="str">
        <f>VLOOKUP(B4,'товар'!$A$1:$C$433,2,FALSE)</f>
        <v>Печенье</v>
      </c>
      <c r="J4" s="43">
        <f t="shared" si="2"/>
        <v>283.4680851</v>
      </c>
      <c r="K4" s="44">
        <f t="shared" si="3"/>
        <v>-0.5096449749</v>
      </c>
      <c r="L4" s="41" t="str">
        <f>VLOOKUP(B4,'товар'!$A$1:$C$433,3,FALSE)</f>
        <v>Юбилейное</v>
      </c>
      <c r="M4" s="45">
        <f t="shared" si="4"/>
        <v>232.4444444</v>
      </c>
      <c r="N4" s="46">
        <f>VLOOKUP(H4,'клиенты'!$A$1:$F$435,5,FALSE)</f>
        <v>44842</v>
      </c>
      <c r="O4" s="41">
        <f t="shared" si="5"/>
        <v>521</v>
      </c>
      <c r="P4" s="41" t="str">
        <f>VLOOKUP(H4,'клиенты'!$A$2:$J$435,10,FALSE)</f>
        <v>Беларусь</v>
      </c>
      <c r="Q4" s="47">
        <f t="shared" si="6"/>
        <v>46078.45901</v>
      </c>
      <c r="R4" s="48">
        <f t="shared" si="7"/>
        <v>41.21530039</v>
      </c>
      <c r="S4" s="41"/>
      <c r="T4" s="41"/>
      <c r="U4" s="41"/>
      <c r="V4" s="41"/>
      <c r="W4" s="41"/>
      <c r="X4" s="41"/>
      <c r="Y4" s="41"/>
      <c r="Z4" s="41"/>
    </row>
    <row r="5" ht="14.25" customHeight="1">
      <c r="A5" s="20">
        <v>4.0</v>
      </c>
      <c r="B5" s="20">
        <v>240.0</v>
      </c>
      <c r="C5" s="20">
        <v>141.0</v>
      </c>
      <c r="D5" s="20">
        <v>5.0</v>
      </c>
      <c r="E5" s="20">
        <f t="shared" si="1"/>
        <v>705</v>
      </c>
      <c r="F5" s="49">
        <v>45262.0</v>
      </c>
      <c r="G5" s="20" t="s">
        <v>52</v>
      </c>
      <c r="H5" s="20">
        <v>116.0</v>
      </c>
      <c r="I5" s="20" t="str">
        <f>VLOOKUP(B5,'товар'!$A$1:$C$433,2,FALSE)</f>
        <v>Макароны</v>
      </c>
      <c r="J5" s="50">
        <f t="shared" si="2"/>
        <v>265.4767442</v>
      </c>
      <c r="K5" s="51">
        <f t="shared" si="3"/>
        <v>-0.4688800315</v>
      </c>
      <c r="L5" s="20" t="str">
        <f>VLOOKUP(B5,'товар'!$A$1:$C$433,3,FALSE)</f>
        <v>Борилла</v>
      </c>
      <c r="M5" s="52">
        <f t="shared" si="4"/>
        <v>236.2758621</v>
      </c>
      <c r="N5" s="53">
        <f>VLOOKUP(H5,'клиенты'!$A$1:$F$435,5,FALSE)</f>
        <v>44643</v>
      </c>
      <c r="O5" s="20">
        <f t="shared" si="5"/>
        <v>619</v>
      </c>
      <c r="P5" s="20" t="str">
        <f>VLOOKUP(H5,'клиенты'!$A$2:$J$435,10,FALSE)</f>
        <v>Россия</v>
      </c>
      <c r="Q5" s="54">
        <f t="shared" si="6"/>
        <v>46078.45901</v>
      </c>
      <c r="R5" s="55">
        <f t="shared" si="7"/>
        <v>47.84863372</v>
      </c>
      <c r="S5" s="20"/>
      <c r="T5" s="20"/>
      <c r="U5" s="20"/>
      <c r="V5" s="20"/>
      <c r="W5" s="20"/>
      <c r="X5" s="20"/>
      <c r="Y5" s="20"/>
      <c r="Z5" s="20"/>
    </row>
    <row r="6" ht="14.25" customHeight="1">
      <c r="A6" s="41">
        <v>5.0</v>
      </c>
      <c r="B6" s="41">
        <v>32.0</v>
      </c>
      <c r="C6" s="41">
        <v>123.0</v>
      </c>
      <c r="D6" s="41">
        <v>2.0</v>
      </c>
      <c r="E6" s="41">
        <f t="shared" si="1"/>
        <v>246</v>
      </c>
      <c r="F6" s="42">
        <v>45151.0</v>
      </c>
      <c r="G6" s="41" t="s">
        <v>53</v>
      </c>
      <c r="H6" s="41">
        <v>471.0</v>
      </c>
      <c r="I6" s="41" t="str">
        <f>VLOOKUP(B6,'товар'!$A$1:$C$433,2,FALSE)</f>
        <v>Овощи</v>
      </c>
      <c r="J6" s="43">
        <f t="shared" si="2"/>
        <v>250.4878049</v>
      </c>
      <c r="K6" s="44">
        <f t="shared" si="3"/>
        <v>-0.5089581305</v>
      </c>
      <c r="L6" s="41" t="str">
        <f>VLOOKUP(B6,'товар'!$A$1:$C$433,3,FALSE)</f>
        <v>Зеленая грядка</v>
      </c>
      <c r="M6" s="45">
        <f t="shared" si="4"/>
        <v>159.2</v>
      </c>
      <c r="N6" s="46">
        <f>VLOOKUP(H6,'клиенты'!$A$1:$F$435,5,FALSE)</f>
        <v>44577</v>
      </c>
      <c r="O6" s="41">
        <f t="shared" si="5"/>
        <v>574</v>
      </c>
      <c r="P6" s="41" t="str">
        <f>VLOOKUP(H6,'клиенты'!$A$2:$J$435,10,FALSE)</f>
        <v>Украина</v>
      </c>
      <c r="Q6" s="47">
        <f t="shared" si="6"/>
        <v>46078.45901</v>
      </c>
      <c r="R6" s="48">
        <f t="shared" si="7"/>
        <v>50.04863372</v>
      </c>
      <c r="S6" s="41"/>
      <c r="T6" s="41"/>
      <c r="U6" s="41"/>
      <c r="V6" s="41"/>
      <c r="W6" s="41"/>
      <c r="X6" s="41"/>
      <c r="Y6" s="41"/>
      <c r="Z6" s="41"/>
    </row>
    <row r="7" ht="14.25" customHeight="1">
      <c r="A7" s="20">
        <v>6.0</v>
      </c>
      <c r="B7" s="20">
        <v>162.0</v>
      </c>
      <c r="C7" s="20">
        <v>452.0</v>
      </c>
      <c r="D7" s="20">
        <v>2.0</v>
      </c>
      <c r="E7" s="20">
        <f t="shared" si="1"/>
        <v>904</v>
      </c>
      <c r="F7" s="49">
        <v>45281.0</v>
      </c>
      <c r="G7" s="20" t="s">
        <v>45</v>
      </c>
      <c r="H7" s="20">
        <v>374.0</v>
      </c>
      <c r="I7" s="20" t="str">
        <f>VLOOKUP(B7,'товар'!$A$1:$C$433,2,FALSE)</f>
        <v>Сок</v>
      </c>
      <c r="J7" s="50">
        <f t="shared" si="2"/>
        <v>268.6034483</v>
      </c>
      <c r="K7" s="51">
        <f t="shared" si="3"/>
        <v>0.6827780987</v>
      </c>
      <c r="L7" s="20" t="str">
        <f>VLOOKUP(B7,'товар'!$A$1:$C$433,3,FALSE)</f>
        <v>Фруктовый сад</v>
      </c>
      <c r="M7" s="52">
        <f t="shared" si="4"/>
        <v>281.96875</v>
      </c>
      <c r="N7" s="53">
        <f>VLOOKUP(H7,'клиенты'!$A$1:$F$435,5,FALSE)</f>
        <v>44582</v>
      </c>
      <c r="O7" s="20">
        <f t="shared" si="5"/>
        <v>699</v>
      </c>
      <c r="P7" s="20" t="str">
        <f>VLOOKUP(H7,'клиенты'!$A$2:$J$435,10,FALSE)</f>
        <v>Украина</v>
      </c>
      <c r="Q7" s="54">
        <f t="shared" si="6"/>
        <v>46078.45901</v>
      </c>
      <c r="R7" s="55">
        <f t="shared" si="7"/>
        <v>49.88196706</v>
      </c>
      <c r="S7" s="20"/>
      <c r="T7" s="20"/>
      <c r="U7" s="20"/>
      <c r="V7" s="20"/>
      <c r="W7" s="20"/>
      <c r="X7" s="20"/>
      <c r="Y7" s="20"/>
      <c r="Z7" s="20"/>
    </row>
    <row r="8" ht="14.25" customHeight="1">
      <c r="A8" s="41">
        <v>7.0</v>
      </c>
      <c r="B8" s="41">
        <v>323.0</v>
      </c>
      <c r="C8" s="41">
        <v>149.0</v>
      </c>
      <c r="D8" s="41">
        <v>5.0</v>
      </c>
      <c r="E8" s="41">
        <f t="shared" si="1"/>
        <v>745</v>
      </c>
      <c r="F8" s="42">
        <v>45349.0</v>
      </c>
      <c r="G8" s="41" t="s">
        <v>43</v>
      </c>
      <c r="H8" s="41">
        <v>477.0</v>
      </c>
      <c r="I8" s="41" t="str">
        <f>VLOOKUP(B8,'товар'!$A$1:$C$433,2,FALSE)</f>
        <v>Рыба</v>
      </c>
      <c r="J8" s="43">
        <f t="shared" si="2"/>
        <v>258.5128205</v>
      </c>
      <c r="K8" s="44">
        <f t="shared" si="3"/>
        <v>-0.4236262646</v>
      </c>
      <c r="L8" s="41" t="str">
        <f>VLOOKUP(B8,'товар'!$A$1:$C$433,3,FALSE)</f>
        <v>Меридиан</v>
      </c>
      <c r="M8" s="45">
        <f t="shared" si="4"/>
        <v>260.6470588</v>
      </c>
      <c r="N8" s="46">
        <f>VLOOKUP(H8,'клиенты'!$A$1:$F$435,5,FALSE)</f>
        <v>44738</v>
      </c>
      <c r="O8" s="41">
        <f t="shared" si="5"/>
        <v>611</v>
      </c>
      <c r="P8" s="41" t="str">
        <f>VLOOKUP(H8,'клиенты'!$A$2:$J$435,10,FALSE)</f>
        <v>Узбекистан</v>
      </c>
      <c r="Q8" s="47">
        <f t="shared" si="6"/>
        <v>46078.45901</v>
      </c>
      <c r="R8" s="48">
        <f t="shared" si="7"/>
        <v>44.68196706</v>
      </c>
      <c r="S8" s="41"/>
      <c r="T8" s="41"/>
      <c r="U8" s="41"/>
      <c r="V8" s="41"/>
      <c r="W8" s="41"/>
      <c r="X8" s="41"/>
      <c r="Y8" s="41"/>
      <c r="Z8" s="41"/>
    </row>
    <row r="9" ht="14.25" customHeight="1">
      <c r="A9" s="20">
        <v>8.0</v>
      </c>
      <c r="B9" s="20">
        <v>60.0</v>
      </c>
      <c r="C9" s="20">
        <v>489.0</v>
      </c>
      <c r="D9" s="20">
        <v>4.0</v>
      </c>
      <c r="E9" s="20">
        <f t="shared" si="1"/>
        <v>1956</v>
      </c>
      <c r="F9" s="49">
        <v>45327.0</v>
      </c>
      <c r="G9" s="20" t="s">
        <v>42</v>
      </c>
      <c r="H9" s="20">
        <v>335.0</v>
      </c>
      <c r="I9" s="20" t="str">
        <f>VLOOKUP(B9,'товар'!$A$1:$C$433,2,FALSE)</f>
        <v>Кофе</v>
      </c>
      <c r="J9" s="50">
        <f t="shared" si="2"/>
        <v>249.0238095</v>
      </c>
      <c r="K9" s="51">
        <f t="shared" si="3"/>
        <v>0.9636676547</v>
      </c>
      <c r="L9" s="20" t="str">
        <f>VLOOKUP(B9,'товар'!$A$1:$C$433,3,FALSE)</f>
        <v>Jacobs</v>
      </c>
      <c r="M9" s="52">
        <f t="shared" si="4"/>
        <v>276.2105263</v>
      </c>
      <c r="N9" s="53">
        <f>VLOOKUP(H9,'клиенты'!$A$1:$F$435,5,FALSE)</f>
        <v>44619</v>
      </c>
      <c r="O9" s="20">
        <f t="shared" si="5"/>
        <v>708</v>
      </c>
      <c r="P9" s="20" t="str">
        <f>VLOOKUP(H9,'клиенты'!$A$2:$J$435,10,FALSE)</f>
        <v>Узбекистан</v>
      </c>
      <c r="Q9" s="54">
        <f t="shared" si="6"/>
        <v>46078.45901</v>
      </c>
      <c r="R9" s="55">
        <f t="shared" si="7"/>
        <v>48.64863372</v>
      </c>
      <c r="S9" s="20"/>
      <c r="T9" s="20"/>
      <c r="U9" s="20"/>
      <c r="V9" s="20"/>
      <c r="W9" s="20"/>
      <c r="X9" s="20"/>
      <c r="Y9" s="20"/>
      <c r="Z9" s="20"/>
    </row>
    <row r="10" ht="14.25" customHeight="1">
      <c r="A10" s="41">
        <v>9.0</v>
      </c>
      <c r="B10" s="41">
        <v>401.0</v>
      </c>
      <c r="C10" s="41">
        <v>416.0</v>
      </c>
      <c r="D10" s="41">
        <v>5.0</v>
      </c>
      <c r="E10" s="41">
        <f t="shared" si="1"/>
        <v>2080</v>
      </c>
      <c r="F10" s="42">
        <v>45376.0</v>
      </c>
      <c r="G10" s="41" t="s">
        <v>41</v>
      </c>
      <c r="H10" s="41">
        <v>350.0</v>
      </c>
      <c r="I10" s="41" t="str">
        <f>VLOOKUP(B10,'товар'!$A$1:$C$433,2,FALSE)</f>
        <v>Чай</v>
      </c>
      <c r="J10" s="43">
        <f t="shared" si="2"/>
        <v>271.1818182</v>
      </c>
      <c r="K10" s="44">
        <f t="shared" si="3"/>
        <v>0.5340261482</v>
      </c>
      <c r="L10" s="41" t="str">
        <f>VLOOKUP(B10,'товар'!$A$1:$C$433,3,FALSE)</f>
        <v>Greenfield</v>
      </c>
      <c r="M10" s="45">
        <f t="shared" si="4"/>
        <v>291.4545455</v>
      </c>
      <c r="N10" s="46">
        <f>VLOOKUP(H10,'клиенты'!$A$1:$F$435,5,FALSE)</f>
        <v>44684</v>
      </c>
      <c r="O10" s="41">
        <f t="shared" si="5"/>
        <v>692</v>
      </c>
      <c r="P10" s="41" t="str">
        <f>VLOOKUP(H10,'клиенты'!$A$2:$J$435,10,FALSE)</f>
        <v>Украина</v>
      </c>
      <c r="Q10" s="47">
        <f t="shared" si="6"/>
        <v>46078.45901</v>
      </c>
      <c r="R10" s="48">
        <f t="shared" si="7"/>
        <v>46.48196706</v>
      </c>
      <c r="S10" s="41"/>
      <c r="T10" s="41"/>
      <c r="U10" s="41"/>
      <c r="V10" s="41"/>
      <c r="W10" s="41"/>
      <c r="X10" s="41"/>
      <c r="Y10" s="41"/>
      <c r="Z10" s="41"/>
    </row>
    <row r="11" ht="14.25" customHeight="1">
      <c r="A11" s="20">
        <v>10.0</v>
      </c>
      <c r="B11" s="20">
        <v>100.0</v>
      </c>
      <c r="C11" s="20">
        <v>449.0</v>
      </c>
      <c r="D11" s="20">
        <v>2.0</v>
      </c>
      <c r="E11" s="20">
        <f t="shared" si="1"/>
        <v>898</v>
      </c>
      <c r="F11" s="49">
        <v>45032.0</v>
      </c>
      <c r="G11" s="20" t="s">
        <v>43</v>
      </c>
      <c r="H11" s="20">
        <v>413.0</v>
      </c>
      <c r="I11" s="20" t="str">
        <f>VLOOKUP(B11,'товар'!$A$1:$C$433,2,FALSE)</f>
        <v>Йогурт</v>
      </c>
      <c r="J11" s="50">
        <f t="shared" si="2"/>
        <v>263.2542373</v>
      </c>
      <c r="K11" s="51">
        <f t="shared" si="3"/>
        <v>0.7055755859</v>
      </c>
      <c r="L11" s="20" t="str">
        <f>VLOOKUP(B11,'товар'!$A$1:$C$433,3,FALSE)</f>
        <v>Ростагроэкспорт</v>
      </c>
      <c r="M11" s="52">
        <f t="shared" si="4"/>
        <v>257.7826087</v>
      </c>
      <c r="N11" s="53">
        <f>VLOOKUP(H11,'клиенты'!$A$1:$F$435,5,FALSE)</f>
        <v>44699</v>
      </c>
      <c r="O11" s="20">
        <f t="shared" si="5"/>
        <v>333</v>
      </c>
      <c r="P11" s="20" t="str">
        <f>VLOOKUP(H11,'клиенты'!$A$2:$J$435,10,FALSE)</f>
        <v>Россия</v>
      </c>
      <c r="Q11" s="54">
        <f t="shared" si="6"/>
        <v>46078.45901</v>
      </c>
      <c r="R11" s="55">
        <f t="shared" si="7"/>
        <v>45.98196706</v>
      </c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41">
        <v>11.0</v>
      </c>
      <c r="B12" s="41">
        <v>217.0</v>
      </c>
      <c r="C12" s="41">
        <v>296.0</v>
      </c>
      <c r="D12" s="41">
        <v>2.0</v>
      </c>
      <c r="E12" s="41">
        <f t="shared" si="1"/>
        <v>592</v>
      </c>
      <c r="F12" s="42">
        <v>45136.0</v>
      </c>
      <c r="G12" s="41" t="s">
        <v>43</v>
      </c>
      <c r="H12" s="41">
        <v>495.0</v>
      </c>
      <c r="I12" s="41" t="str">
        <f>VLOOKUP(B12,'товар'!$A$1:$C$433,2,FALSE)</f>
        <v>Мясо</v>
      </c>
      <c r="J12" s="43">
        <f t="shared" si="2"/>
        <v>271.7454545</v>
      </c>
      <c r="K12" s="44">
        <f t="shared" si="3"/>
        <v>0.08925465007</v>
      </c>
      <c r="L12" s="41" t="str">
        <f>VLOOKUP(B12,'товар'!$A$1:$C$433,3,FALSE)</f>
        <v>Агрокомплекс</v>
      </c>
      <c r="M12" s="45">
        <f t="shared" si="4"/>
        <v>311.2</v>
      </c>
      <c r="N12" s="46">
        <f>VLOOKUP(H12,'клиенты'!$A$1:$F$435,5,FALSE)</f>
        <v>44654</v>
      </c>
      <c r="O12" s="41">
        <f t="shared" si="5"/>
        <v>482</v>
      </c>
      <c r="P12" s="41" t="str">
        <f>VLOOKUP(H12,'клиенты'!$A$2:$J$435,10,FALSE)</f>
        <v>Узбекистан</v>
      </c>
      <c r="Q12" s="47">
        <f t="shared" si="6"/>
        <v>46078.45901</v>
      </c>
      <c r="R12" s="48">
        <f t="shared" si="7"/>
        <v>47.48196706</v>
      </c>
      <c r="S12" s="41"/>
      <c r="T12" s="41"/>
      <c r="U12" s="41"/>
      <c r="V12" s="41"/>
      <c r="W12" s="41"/>
      <c r="X12" s="41"/>
      <c r="Y12" s="41"/>
      <c r="Z12" s="41"/>
    </row>
    <row r="13" ht="14.25" customHeight="1">
      <c r="A13" s="20">
        <v>12.0</v>
      </c>
      <c r="B13" s="20">
        <v>445.0</v>
      </c>
      <c r="C13" s="20">
        <v>109.0</v>
      </c>
      <c r="D13" s="20">
        <v>5.0</v>
      </c>
      <c r="E13" s="20">
        <f t="shared" si="1"/>
        <v>545</v>
      </c>
      <c r="F13" s="49">
        <v>45394.0</v>
      </c>
      <c r="G13" s="20" t="s">
        <v>42</v>
      </c>
      <c r="H13" s="20">
        <v>353.0</v>
      </c>
      <c r="I13" s="20" t="str">
        <f>VLOOKUP(B13,'товар'!$A$1:$C$433,2,FALSE)</f>
        <v>Сахар</v>
      </c>
      <c r="J13" s="50">
        <f t="shared" si="2"/>
        <v>252.7627119</v>
      </c>
      <c r="K13" s="51">
        <f t="shared" si="3"/>
        <v>-0.5687655066</v>
      </c>
      <c r="L13" s="20" t="str">
        <f>VLOOKUP(B13,'товар'!$A$1:$C$433,3,FALSE)</f>
        <v>Сладов</v>
      </c>
      <c r="M13" s="52">
        <f t="shared" si="4"/>
        <v>240.2666667</v>
      </c>
      <c r="N13" s="53">
        <f>VLOOKUP(H13,'клиенты'!$A$1:$F$435,5,FALSE)</f>
        <v>44656</v>
      </c>
      <c r="O13" s="20">
        <f t="shared" si="5"/>
        <v>738</v>
      </c>
      <c r="P13" s="20" t="str">
        <f>VLOOKUP(H13,'клиенты'!$A$2:$J$435,10,FALSE)</f>
        <v>Таджикистан</v>
      </c>
      <c r="Q13" s="54">
        <f t="shared" si="6"/>
        <v>46078.45901</v>
      </c>
      <c r="R13" s="55">
        <f t="shared" si="7"/>
        <v>47.41530039</v>
      </c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41">
        <v>13.0</v>
      </c>
      <c r="B14" s="41">
        <v>284.0</v>
      </c>
      <c r="C14" s="41">
        <v>213.0</v>
      </c>
      <c r="D14" s="41">
        <v>3.0</v>
      </c>
      <c r="E14" s="41">
        <f t="shared" si="1"/>
        <v>639</v>
      </c>
      <c r="F14" s="42">
        <v>45266.0</v>
      </c>
      <c r="G14" s="41" t="s">
        <v>37</v>
      </c>
      <c r="H14" s="41">
        <v>332.0</v>
      </c>
      <c r="I14" s="41" t="str">
        <f>VLOOKUP(B14,'товар'!$A$1:$C$433,2,FALSE)</f>
        <v>Мясо</v>
      </c>
      <c r="J14" s="43">
        <f t="shared" si="2"/>
        <v>271.7454545</v>
      </c>
      <c r="K14" s="44">
        <f t="shared" si="3"/>
        <v>-0.2161782417</v>
      </c>
      <c r="L14" s="41" t="str">
        <f>VLOOKUP(B14,'товар'!$A$1:$C$433,3,FALSE)</f>
        <v>Сава</v>
      </c>
      <c r="M14" s="45">
        <f t="shared" si="4"/>
        <v>212.8125</v>
      </c>
      <c r="N14" s="46">
        <f>VLOOKUP(H14,'клиенты'!$A$1:$F$435,5,FALSE)</f>
        <v>44858</v>
      </c>
      <c r="O14" s="41">
        <f t="shared" si="5"/>
        <v>408</v>
      </c>
      <c r="P14" s="41" t="str">
        <f>VLOOKUP(H14,'клиенты'!$A$2:$J$435,10,FALSE)</f>
        <v>Узбекистан</v>
      </c>
      <c r="Q14" s="47">
        <f t="shared" si="6"/>
        <v>46078.45901</v>
      </c>
      <c r="R14" s="48">
        <f t="shared" si="7"/>
        <v>40.68196706</v>
      </c>
      <c r="S14" s="41"/>
      <c r="T14" s="41"/>
      <c r="U14" s="41"/>
      <c r="V14" s="41"/>
      <c r="W14" s="41"/>
      <c r="X14" s="41"/>
      <c r="Y14" s="41"/>
      <c r="Z14" s="41"/>
    </row>
    <row r="15" ht="14.25" customHeight="1">
      <c r="A15" s="20">
        <v>14.0</v>
      </c>
      <c r="B15" s="20">
        <v>116.0</v>
      </c>
      <c r="C15" s="20">
        <v>190.0</v>
      </c>
      <c r="D15" s="20">
        <v>4.0</v>
      </c>
      <c r="E15" s="20">
        <f t="shared" si="1"/>
        <v>760</v>
      </c>
      <c r="F15" s="49">
        <v>45133.0</v>
      </c>
      <c r="G15" s="20" t="s">
        <v>52</v>
      </c>
      <c r="H15" s="20">
        <v>414.0</v>
      </c>
      <c r="I15" s="20" t="str">
        <f>VLOOKUP(B15,'товар'!$A$1:$C$433,2,FALSE)</f>
        <v>Соль</v>
      </c>
      <c r="J15" s="50">
        <f t="shared" si="2"/>
        <v>264.8679245</v>
      </c>
      <c r="K15" s="51">
        <f t="shared" si="3"/>
        <v>-0.2826613478</v>
      </c>
      <c r="L15" s="20" t="str">
        <f>VLOOKUP(B15,'товар'!$A$1:$C$433,3,FALSE)</f>
        <v>Экстра</v>
      </c>
      <c r="M15" s="52">
        <f t="shared" si="4"/>
        <v>320.8461538</v>
      </c>
      <c r="N15" s="53">
        <f>VLOOKUP(H15,'клиенты'!$A$1:$F$435,5,FALSE)</f>
        <v>44794</v>
      </c>
      <c r="O15" s="20">
        <f t="shared" si="5"/>
        <v>339</v>
      </c>
      <c r="P15" s="20" t="str">
        <f>VLOOKUP(H15,'клиенты'!$A$2:$J$435,10,FALSE)</f>
        <v>Беларусь</v>
      </c>
      <c r="Q15" s="54">
        <f t="shared" si="6"/>
        <v>46078.45901</v>
      </c>
      <c r="R15" s="55">
        <f t="shared" si="7"/>
        <v>42.81530039</v>
      </c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41">
        <v>15.0</v>
      </c>
      <c r="B16" s="41">
        <v>378.0</v>
      </c>
      <c r="C16" s="41">
        <v>237.0</v>
      </c>
      <c r="D16" s="41">
        <v>1.0</v>
      </c>
      <c r="E16" s="41">
        <f t="shared" si="1"/>
        <v>237</v>
      </c>
      <c r="F16" s="42">
        <v>44972.0</v>
      </c>
      <c r="G16" s="41" t="s">
        <v>43</v>
      </c>
      <c r="H16" s="41">
        <v>236.0</v>
      </c>
      <c r="I16" s="41" t="str">
        <f>VLOOKUP(B16,'товар'!$A$1:$C$433,2,FALSE)</f>
        <v>Сок</v>
      </c>
      <c r="J16" s="43">
        <f t="shared" si="2"/>
        <v>268.6034483</v>
      </c>
      <c r="K16" s="44">
        <f t="shared" si="3"/>
        <v>-0.1176583863</v>
      </c>
      <c r="L16" s="41" t="str">
        <f>VLOOKUP(B16,'товар'!$A$1:$C$433,3,FALSE)</f>
        <v>Фруктовый сад</v>
      </c>
      <c r="M16" s="45">
        <f t="shared" si="4"/>
        <v>281.96875</v>
      </c>
      <c r="N16" s="46">
        <f>VLOOKUP(H16,'клиенты'!$A$1:$F$435,5,FALSE)</f>
        <v>44820</v>
      </c>
      <c r="O16" s="41">
        <f t="shared" si="5"/>
        <v>152</v>
      </c>
      <c r="P16" s="41" t="str">
        <f>VLOOKUP(H16,'клиенты'!$A$2:$J$435,10,FALSE)</f>
        <v>Узбекистан</v>
      </c>
      <c r="Q16" s="47">
        <f t="shared" si="6"/>
        <v>46078.45901</v>
      </c>
      <c r="R16" s="48">
        <f t="shared" si="7"/>
        <v>41.94863372</v>
      </c>
      <c r="S16" s="41"/>
      <c r="T16" s="41"/>
      <c r="U16" s="41"/>
      <c r="V16" s="41"/>
      <c r="W16" s="41"/>
      <c r="X16" s="41"/>
      <c r="Y16" s="41"/>
      <c r="Z16" s="41"/>
    </row>
    <row r="17" ht="14.25" customHeight="1">
      <c r="A17" s="20">
        <v>16.0</v>
      </c>
      <c r="B17" s="20">
        <v>299.0</v>
      </c>
      <c r="C17" s="20">
        <v>178.0</v>
      </c>
      <c r="D17" s="20">
        <v>3.0</v>
      </c>
      <c r="E17" s="20">
        <f t="shared" si="1"/>
        <v>534</v>
      </c>
      <c r="F17" s="49">
        <v>44980.0</v>
      </c>
      <c r="G17" s="20" t="s">
        <v>42</v>
      </c>
      <c r="H17" s="20">
        <v>164.0</v>
      </c>
      <c r="I17" s="20" t="str">
        <f>VLOOKUP(B17,'товар'!$A$1:$C$433,2,FALSE)</f>
        <v>Чай</v>
      </c>
      <c r="J17" s="50">
        <f t="shared" si="2"/>
        <v>271.1818182</v>
      </c>
      <c r="K17" s="51">
        <f t="shared" si="3"/>
        <v>-0.3436138116</v>
      </c>
      <c r="L17" s="20" t="str">
        <f>VLOOKUP(B17,'товар'!$A$1:$C$433,3,FALSE)</f>
        <v>Lipton</v>
      </c>
      <c r="M17" s="52">
        <f t="shared" si="4"/>
        <v>260.1578947</v>
      </c>
      <c r="N17" s="53">
        <f>VLOOKUP(H17,'клиенты'!$A$1:$F$435,5,FALSE)</f>
        <v>44678</v>
      </c>
      <c r="O17" s="20">
        <f t="shared" si="5"/>
        <v>302</v>
      </c>
      <c r="P17" s="20" t="str">
        <f>VLOOKUP(H17,'клиенты'!$A$2:$J$435,10,FALSE)</f>
        <v>Россия</v>
      </c>
      <c r="Q17" s="54">
        <f t="shared" si="6"/>
        <v>46078.45901</v>
      </c>
      <c r="R17" s="55">
        <f t="shared" si="7"/>
        <v>46.68196706</v>
      </c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41">
        <v>17.0</v>
      </c>
      <c r="B18" s="41">
        <v>359.0</v>
      </c>
      <c r="C18" s="41">
        <v>320.0</v>
      </c>
      <c r="D18" s="41">
        <v>5.0</v>
      </c>
      <c r="E18" s="41">
        <f t="shared" si="1"/>
        <v>1600</v>
      </c>
      <c r="F18" s="42">
        <v>45216.0</v>
      </c>
      <c r="G18" s="41" t="s">
        <v>51</v>
      </c>
      <c r="H18" s="41">
        <v>490.0</v>
      </c>
      <c r="I18" s="41" t="str">
        <f>VLOOKUP(B18,'товар'!$A$1:$C$433,2,FALSE)</f>
        <v>Мясо</v>
      </c>
      <c r="J18" s="43">
        <f t="shared" si="2"/>
        <v>271.7454545</v>
      </c>
      <c r="K18" s="44">
        <f t="shared" si="3"/>
        <v>0.1775725947</v>
      </c>
      <c r="L18" s="41" t="str">
        <f>VLOOKUP(B18,'товар'!$A$1:$C$433,3,FALSE)</f>
        <v>Мираторг</v>
      </c>
      <c r="M18" s="45">
        <f t="shared" si="4"/>
        <v>316.5833333</v>
      </c>
      <c r="N18" s="46">
        <f>VLOOKUP(H18,'клиенты'!$A$1:$F$435,5,FALSE)</f>
        <v>44603</v>
      </c>
      <c r="O18" s="41">
        <f t="shared" si="5"/>
        <v>613</v>
      </c>
      <c r="P18" s="41" t="str">
        <f>VLOOKUP(H18,'клиенты'!$A$2:$J$435,10,FALSE)</f>
        <v>Россия</v>
      </c>
      <c r="Q18" s="47">
        <f t="shared" si="6"/>
        <v>46078.45901</v>
      </c>
      <c r="R18" s="48">
        <f t="shared" si="7"/>
        <v>49.18196706</v>
      </c>
      <c r="S18" s="41"/>
      <c r="T18" s="41"/>
      <c r="U18" s="41"/>
      <c r="V18" s="41"/>
      <c r="W18" s="41"/>
      <c r="X18" s="41"/>
      <c r="Y18" s="41"/>
      <c r="Z18" s="41"/>
    </row>
    <row r="19" ht="14.25" customHeight="1">
      <c r="A19" s="20">
        <v>18.0</v>
      </c>
      <c r="B19" s="20">
        <v>337.0</v>
      </c>
      <c r="C19" s="20">
        <v>419.0</v>
      </c>
      <c r="D19" s="20">
        <v>2.0</v>
      </c>
      <c r="E19" s="20">
        <f t="shared" si="1"/>
        <v>838</v>
      </c>
      <c r="F19" s="49">
        <v>45116.0</v>
      </c>
      <c r="G19" s="20" t="s">
        <v>37</v>
      </c>
      <c r="H19" s="20">
        <v>223.0</v>
      </c>
      <c r="I19" s="20" t="str">
        <f>VLOOKUP(B19,'товар'!$A$1:$C$433,2,FALSE)</f>
        <v>Макароны</v>
      </c>
      <c r="J19" s="50">
        <f t="shared" si="2"/>
        <v>265.4767442</v>
      </c>
      <c r="K19" s="51">
        <f t="shared" si="3"/>
        <v>0.5782926722</v>
      </c>
      <c r="L19" s="20" t="str">
        <f>VLOOKUP(B19,'товар'!$A$1:$C$433,3,FALSE)</f>
        <v>Паста Зара</v>
      </c>
      <c r="M19" s="52">
        <f t="shared" si="4"/>
        <v>276.6756757</v>
      </c>
      <c r="N19" s="53">
        <f>VLOOKUP(H19,'клиенты'!$A$1:$F$435,5,FALSE)</f>
        <v>44893</v>
      </c>
      <c r="O19" s="20">
        <f t="shared" si="5"/>
        <v>223</v>
      </c>
      <c r="P19" s="20" t="str">
        <f>VLOOKUP(H19,'клиенты'!$A$2:$J$435,10,FALSE)</f>
        <v>Украина</v>
      </c>
      <c r="Q19" s="54">
        <f t="shared" si="6"/>
        <v>46078.45901</v>
      </c>
      <c r="R19" s="55">
        <f t="shared" si="7"/>
        <v>39.51530039</v>
      </c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41">
        <v>19.0</v>
      </c>
      <c r="B20" s="41">
        <v>226.0</v>
      </c>
      <c r="C20" s="41">
        <v>190.0</v>
      </c>
      <c r="D20" s="41">
        <v>5.0</v>
      </c>
      <c r="E20" s="41">
        <f t="shared" si="1"/>
        <v>950</v>
      </c>
      <c r="F20" s="42">
        <v>45058.0</v>
      </c>
      <c r="G20" s="41" t="s">
        <v>48</v>
      </c>
      <c r="H20" s="41">
        <v>204.0</v>
      </c>
      <c r="I20" s="41" t="str">
        <f>VLOOKUP(B20,'товар'!$A$1:$C$433,2,FALSE)</f>
        <v>Сыр</v>
      </c>
      <c r="J20" s="43">
        <f t="shared" si="2"/>
        <v>262.6349206</v>
      </c>
      <c r="K20" s="44">
        <f t="shared" si="3"/>
        <v>-0.2765623111</v>
      </c>
      <c r="L20" s="41" t="str">
        <f>VLOOKUP(B20,'товар'!$A$1:$C$433,3,FALSE)</f>
        <v>Карат</v>
      </c>
      <c r="M20" s="45">
        <f t="shared" si="4"/>
        <v>311.3333333</v>
      </c>
      <c r="N20" s="46">
        <f>VLOOKUP(H20,'клиенты'!$A$1:$F$435,5,FALSE)</f>
        <v>44867</v>
      </c>
      <c r="O20" s="41">
        <f t="shared" si="5"/>
        <v>191</v>
      </c>
      <c r="P20" s="41" t="str">
        <f>VLOOKUP(H20,'клиенты'!$A$2:$J$435,10,FALSE)</f>
        <v>Россия</v>
      </c>
      <c r="Q20" s="47">
        <f t="shared" si="6"/>
        <v>46078.45901</v>
      </c>
      <c r="R20" s="48">
        <f t="shared" si="7"/>
        <v>40.38196706</v>
      </c>
      <c r="S20" s="41"/>
      <c r="T20" s="41"/>
      <c r="U20" s="41"/>
      <c r="V20" s="41"/>
      <c r="W20" s="41"/>
      <c r="X20" s="41"/>
      <c r="Y20" s="41"/>
      <c r="Z20" s="41"/>
    </row>
    <row r="21" ht="14.25" customHeight="1">
      <c r="A21" s="20">
        <v>20.0</v>
      </c>
      <c r="B21" s="20">
        <v>310.0</v>
      </c>
      <c r="C21" s="20">
        <v>458.0</v>
      </c>
      <c r="D21" s="20">
        <v>2.0</v>
      </c>
      <c r="E21" s="20">
        <f t="shared" si="1"/>
        <v>916</v>
      </c>
      <c r="F21" s="49">
        <v>45158.0</v>
      </c>
      <c r="G21" s="20" t="s">
        <v>48</v>
      </c>
      <c r="H21" s="20">
        <v>481.0</v>
      </c>
      <c r="I21" s="20" t="str">
        <f>VLOOKUP(B21,'товар'!$A$1:$C$433,2,FALSE)</f>
        <v>Макароны</v>
      </c>
      <c r="J21" s="50">
        <f t="shared" si="2"/>
        <v>265.4767442</v>
      </c>
      <c r="K21" s="51">
        <f t="shared" si="3"/>
        <v>0.7251981954</v>
      </c>
      <c r="L21" s="20" t="str">
        <f>VLOOKUP(B21,'товар'!$A$1:$C$433,3,FALSE)</f>
        <v>Паста Зара</v>
      </c>
      <c r="M21" s="52">
        <f t="shared" si="4"/>
        <v>276.6756757</v>
      </c>
      <c r="N21" s="53">
        <f>VLOOKUP(H21,'клиенты'!$A$1:$F$435,5,FALSE)</f>
        <v>44756</v>
      </c>
      <c r="O21" s="20">
        <f t="shared" si="5"/>
        <v>402</v>
      </c>
      <c r="P21" s="20" t="str">
        <f>VLOOKUP(H21,'клиенты'!$A$2:$J$435,10,FALSE)</f>
        <v>Беларусь</v>
      </c>
      <c r="Q21" s="54">
        <f t="shared" si="6"/>
        <v>46078.45901</v>
      </c>
      <c r="R21" s="55">
        <f t="shared" si="7"/>
        <v>44.08196706</v>
      </c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41">
        <v>21.0</v>
      </c>
      <c r="B22" s="41">
        <v>137.0</v>
      </c>
      <c r="C22" s="41">
        <v>152.0</v>
      </c>
      <c r="D22" s="41">
        <v>2.0</v>
      </c>
      <c r="E22" s="41">
        <f t="shared" si="1"/>
        <v>304</v>
      </c>
      <c r="F22" s="42">
        <v>45244.0</v>
      </c>
      <c r="G22" s="41" t="s">
        <v>45</v>
      </c>
      <c r="H22" s="41">
        <v>363.0</v>
      </c>
      <c r="I22" s="41" t="str">
        <f>VLOOKUP(B22,'товар'!$A$1:$C$433,2,FALSE)</f>
        <v>Фрукты</v>
      </c>
      <c r="J22" s="43">
        <f t="shared" si="2"/>
        <v>274.1627907</v>
      </c>
      <c r="K22" s="44">
        <f t="shared" si="3"/>
        <v>-0.4455848672</v>
      </c>
      <c r="L22" s="41" t="str">
        <f>VLOOKUP(B22,'товар'!$A$1:$C$433,3,FALSE)</f>
        <v>Экзотик</v>
      </c>
      <c r="M22" s="45">
        <f t="shared" si="4"/>
        <v>253.6875</v>
      </c>
      <c r="N22" s="46">
        <f>VLOOKUP(H22,'клиенты'!$A$1:$F$435,5,FALSE)</f>
        <v>44675</v>
      </c>
      <c r="O22" s="41">
        <f t="shared" si="5"/>
        <v>569</v>
      </c>
      <c r="P22" s="41" t="str">
        <f>VLOOKUP(H22,'клиенты'!$A$2:$J$435,10,FALSE)</f>
        <v>Узбекистан</v>
      </c>
      <c r="Q22" s="47">
        <f t="shared" si="6"/>
        <v>46078.45901</v>
      </c>
      <c r="R22" s="48">
        <f t="shared" si="7"/>
        <v>46.78196706</v>
      </c>
      <c r="S22" s="41"/>
      <c r="T22" s="41"/>
      <c r="U22" s="41"/>
      <c r="V22" s="41"/>
      <c r="W22" s="41"/>
      <c r="X22" s="41"/>
      <c r="Y22" s="41"/>
      <c r="Z22" s="41"/>
    </row>
    <row r="23" ht="14.25" customHeight="1">
      <c r="A23" s="20">
        <v>22.0</v>
      </c>
      <c r="B23" s="20">
        <v>385.0</v>
      </c>
      <c r="C23" s="20">
        <v>352.0</v>
      </c>
      <c r="D23" s="20">
        <v>2.0</v>
      </c>
      <c r="E23" s="20">
        <f t="shared" si="1"/>
        <v>704</v>
      </c>
      <c r="F23" s="49">
        <v>45123.0</v>
      </c>
      <c r="G23" s="20" t="s">
        <v>42</v>
      </c>
      <c r="H23" s="20">
        <v>397.0</v>
      </c>
      <c r="I23" s="20" t="str">
        <f>VLOOKUP(B23,'товар'!$A$1:$C$433,2,FALSE)</f>
        <v>Макароны</v>
      </c>
      <c r="J23" s="50">
        <f t="shared" si="2"/>
        <v>265.4767442</v>
      </c>
      <c r="K23" s="51">
        <f t="shared" si="3"/>
        <v>0.325916517</v>
      </c>
      <c r="L23" s="20" t="str">
        <f>VLOOKUP(B23,'товар'!$A$1:$C$433,3,FALSE)</f>
        <v>Макфа</v>
      </c>
      <c r="M23" s="52">
        <f t="shared" si="4"/>
        <v>329.2727273</v>
      </c>
      <c r="N23" s="53">
        <f>VLOOKUP(H23,'клиенты'!$A$1:$F$435,5,FALSE)</f>
        <v>44728</v>
      </c>
      <c r="O23" s="20">
        <f t="shared" si="5"/>
        <v>395</v>
      </c>
      <c r="P23" s="20" t="str">
        <f>VLOOKUP(H23,'клиенты'!$A$2:$J$435,10,FALSE)</f>
        <v>Беларусь</v>
      </c>
      <c r="Q23" s="54">
        <f t="shared" si="6"/>
        <v>46078.45901</v>
      </c>
      <c r="R23" s="55">
        <f t="shared" si="7"/>
        <v>45.01530039</v>
      </c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41">
        <v>23.0</v>
      </c>
      <c r="B24" s="41">
        <v>226.0</v>
      </c>
      <c r="C24" s="41">
        <v>228.0</v>
      </c>
      <c r="D24" s="41">
        <v>2.0</v>
      </c>
      <c r="E24" s="41">
        <f t="shared" si="1"/>
        <v>456</v>
      </c>
      <c r="F24" s="42">
        <v>45027.0</v>
      </c>
      <c r="G24" s="41" t="s">
        <v>35</v>
      </c>
      <c r="H24" s="41">
        <v>280.0</v>
      </c>
      <c r="I24" s="41" t="str">
        <f>VLOOKUP(B24,'товар'!$A$1:$C$433,2,FALSE)</f>
        <v>Сыр</v>
      </c>
      <c r="J24" s="43">
        <f t="shared" si="2"/>
        <v>262.6349206</v>
      </c>
      <c r="K24" s="44">
        <f t="shared" si="3"/>
        <v>-0.1318747734</v>
      </c>
      <c r="L24" s="41" t="str">
        <f>VLOOKUP(B24,'товар'!$A$1:$C$433,3,FALSE)</f>
        <v>Карат</v>
      </c>
      <c r="M24" s="45">
        <f t="shared" si="4"/>
        <v>311.3333333</v>
      </c>
      <c r="N24" s="46">
        <f>VLOOKUP(H24,'клиенты'!$A$1:$F$435,5,FALSE)</f>
        <v>44563</v>
      </c>
      <c r="O24" s="41">
        <f t="shared" si="5"/>
        <v>464</v>
      </c>
      <c r="P24" s="41" t="str">
        <f>VLOOKUP(H24,'клиенты'!$A$2:$J$435,10,FALSE)</f>
        <v>Россия</v>
      </c>
      <c r="Q24" s="47">
        <f t="shared" si="6"/>
        <v>46078.45901</v>
      </c>
      <c r="R24" s="48">
        <f t="shared" si="7"/>
        <v>50.51530039</v>
      </c>
      <c r="S24" s="41"/>
      <c r="T24" s="41"/>
      <c r="U24" s="41"/>
      <c r="V24" s="41"/>
      <c r="W24" s="41"/>
      <c r="X24" s="41"/>
      <c r="Y24" s="41"/>
      <c r="Z24" s="41"/>
    </row>
    <row r="25" ht="14.25" customHeight="1">
      <c r="A25" s="20">
        <v>24.0</v>
      </c>
      <c r="B25" s="20">
        <v>451.0</v>
      </c>
      <c r="C25" s="20">
        <v>161.0</v>
      </c>
      <c r="D25" s="20">
        <v>4.0</v>
      </c>
      <c r="E25" s="20">
        <f t="shared" si="1"/>
        <v>644</v>
      </c>
      <c r="F25" s="49">
        <v>44966.0</v>
      </c>
      <c r="G25" s="20" t="s">
        <v>41</v>
      </c>
      <c r="H25" s="20">
        <v>39.0</v>
      </c>
      <c r="I25" s="20" t="str">
        <f>VLOOKUP(B25,'товар'!$A$1:$C$433,2,FALSE)</f>
        <v>Рис</v>
      </c>
      <c r="J25" s="50">
        <f t="shared" si="2"/>
        <v>258.375</v>
      </c>
      <c r="K25" s="51">
        <f t="shared" si="3"/>
        <v>-0.3768746976</v>
      </c>
      <c r="L25" s="20" t="str">
        <f>VLOOKUP(B25,'товар'!$A$1:$C$433,3,FALSE)</f>
        <v>Белый Злат</v>
      </c>
      <c r="M25" s="52">
        <f t="shared" si="4"/>
        <v>269.7058824</v>
      </c>
      <c r="N25" s="53">
        <f>VLOOKUP(H25,'клиенты'!$A$1:$F$435,5,FALSE)</f>
        <v>44653</v>
      </c>
      <c r="O25" s="20">
        <f t="shared" si="5"/>
        <v>313</v>
      </c>
      <c r="P25" s="20" t="str">
        <f>VLOOKUP(H25,'клиенты'!$A$2:$J$435,10,FALSE)</f>
        <v>Беларусь</v>
      </c>
      <c r="Q25" s="54">
        <f t="shared" si="6"/>
        <v>46078.45901</v>
      </c>
      <c r="R25" s="55">
        <f t="shared" si="7"/>
        <v>47.51530039</v>
      </c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41">
        <v>25.0</v>
      </c>
      <c r="B26" s="41">
        <v>7.0</v>
      </c>
      <c r="C26" s="41">
        <v>362.0</v>
      </c>
      <c r="D26" s="41">
        <v>1.0</v>
      </c>
      <c r="E26" s="41">
        <f t="shared" si="1"/>
        <v>362</v>
      </c>
      <c r="F26" s="42">
        <v>45326.0</v>
      </c>
      <c r="G26" s="41" t="s">
        <v>53</v>
      </c>
      <c r="H26" s="41">
        <v>303.0</v>
      </c>
      <c r="I26" s="41" t="str">
        <f>VLOOKUP(B26,'товар'!$A$1:$C$433,2,FALSE)</f>
        <v>Сыр</v>
      </c>
      <c r="J26" s="43">
        <f t="shared" si="2"/>
        <v>262.6349206</v>
      </c>
      <c r="K26" s="44">
        <f t="shared" si="3"/>
        <v>0.3783391756</v>
      </c>
      <c r="L26" s="41" t="str">
        <f>VLOOKUP(B26,'товар'!$A$1:$C$433,3,FALSE)</f>
        <v>President</v>
      </c>
      <c r="M26" s="45">
        <f t="shared" si="4"/>
        <v>238.7222222</v>
      </c>
      <c r="N26" s="46">
        <f>VLOOKUP(H26,'клиенты'!$A$1:$F$435,5,FALSE)</f>
        <v>44689</v>
      </c>
      <c r="O26" s="41">
        <f t="shared" si="5"/>
        <v>637</v>
      </c>
      <c r="P26" s="41" t="str">
        <f>VLOOKUP(H26,'клиенты'!$A$2:$J$435,10,FALSE)</f>
        <v>Узбекистан</v>
      </c>
      <c r="Q26" s="47">
        <f t="shared" si="6"/>
        <v>46078.45901</v>
      </c>
      <c r="R26" s="48">
        <f t="shared" si="7"/>
        <v>46.31530039</v>
      </c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20">
        <v>26.0</v>
      </c>
      <c r="B27" s="20">
        <v>495.0</v>
      </c>
      <c r="C27" s="20">
        <v>312.0</v>
      </c>
      <c r="D27" s="20">
        <v>1.0</v>
      </c>
      <c r="E27" s="20">
        <f t="shared" si="1"/>
        <v>312</v>
      </c>
      <c r="F27" s="49">
        <v>45174.0</v>
      </c>
      <c r="G27" s="20" t="s">
        <v>51</v>
      </c>
      <c r="H27" s="20">
        <v>422.0</v>
      </c>
      <c r="I27" s="20" t="str">
        <f>VLOOKUP(B27,'товар'!$A$1:$C$433,2,FALSE)</f>
        <v>Чай</v>
      </c>
      <c r="J27" s="50">
        <f t="shared" si="2"/>
        <v>271.1818182</v>
      </c>
      <c r="K27" s="51">
        <f t="shared" si="3"/>
        <v>0.1505196111</v>
      </c>
      <c r="L27" s="20" t="str">
        <f>VLOOKUP(B27,'товар'!$A$1:$C$433,3,FALSE)</f>
        <v>Greenfield</v>
      </c>
      <c r="M27" s="52">
        <f t="shared" si="4"/>
        <v>291.4545455</v>
      </c>
      <c r="N27" s="53">
        <f>VLOOKUP(H27,'клиенты'!$A$1:$F$435,5,FALSE)</f>
        <v>44784</v>
      </c>
      <c r="O27" s="20">
        <f t="shared" si="5"/>
        <v>390</v>
      </c>
      <c r="P27" s="20" t="str">
        <f>VLOOKUP(H27,'клиенты'!$A$2:$J$435,10,FALSE)</f>
        <v>Украина</v>
      </c>
      <c r="Q27" s="54">
        <f t="shared" si="6"/>
        <v>46078.45901</v>
      </c>
      <c r="R27" s="55">
        <f t="shared" si="7"/>
        <v>43.14863372</v>
      </c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41">
        <v>27.0</v>
      </c>
      <c r="B28" s="41">
        <v>415.0</v>
      </c>
      <c r="C28" s="41">
        <v>311.0</v>
      </c>
      <c r="D28" s="41">
        <v>5.0</v>
      </c>
      <c r="E28" s="41">
        <f t="shared" si="1"/>
        <v>1555</v>
      </c>
      <c r="F28" s="42">
        <v>45099.0</v>
      </c>
      <c r="G28" s="41" t="s">
        <v>39</v>
      </c>
      <c r="H28" s="41">
        <v>24.0</v>
      </c>
      <c r="I28" s="41" t="str">
        <f>VLOOKUP(B28,'товар'!$A$1:$C$433,2,FALSE)</f>
        <v>Чипсы</v>
      </c>
      <c r="J28" s="43">
        <f t="shared" si="2"/>
        <v>273.7254902</v>
      </c>
      <c r="K28" s="44">
        <f t="shared" si="3"/>
        <v>0.1361747851</v>
      </c>
      <c r="L28" s="41" t="str">
        <f>VLOOKUP(B28,'товар'!$A$1:$C$433,3,FALSE)</f>
        <v>Pringles</v>
      </c>
      <c r="M28" s="45">
        <f t="shared" si="4"/>
        <v>280.2380952</v>
      </c>
      <c r="N28" s="46">
        <f>VLOOKUP(H28,'клиенты'!$A$1:$F$435,5,FALSE)</f>
        <v>44609</v>
      </c>
      <c r="O28" s="41">
        <f t="shared" si="5"/>
        <v>490</v>
      </c>
      <c r="P28" s="41" t="str">
        <f>VLOOKUP(H28,'клиенты'!$A$2:$J$435,10,FALSE)</f>
        <v>Узбекистан</v>
      </c>
      <c r="Q28" s="47">
        <f t="shared" si="6"/>
        <v>46078.45901</v>
      </c>
      <c r="R28" s="48">
        <f t="shared" si="7"/>
        <v>48.98196706</v>
      </c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20">
        <v>28.0</v>
      </c>
      <c r="B29" s="20">
        <v>176.0</v>
      </c>
      <c r="C29" s="20">
        <v>220.0</v>
      </c>
      <c r="D29" s="20">
        <v>1.0</v>
      </c>
      <c r="E29" s="20">
        <f t="shared" si="1"/>
        <v>220</v>
      </c>
      <c r="F29" s="49">
        <v>45368.0</v>
      </c>
      <c r="G29" s="20" t="s">
        <v>45</v>
      </c>
      <c r="H29" s="20">
        <v>112.0</v>
      </c>
      <c r="I29" s="20" t="str">
        <f>VLOOKUP(B29,'товар'!$A$1:$C$433,2,FALSE)</f>
        <v>Сахар</v>
      </c>
      <c r="J29" s="50">
        <f t="shared" si="2"/>
        <v>252.7627119</v>
      </c>
      <c r="K29" s="51">
        <f t="shared" si="3"/>
        <v>-0.1296184537</v>
      </c>
      <c r="L29" s="20" t="str">
        <f>VLOOKUP(B29,'товар'!$A$1:$C$433,3,FALSE)</f>
        <v>Продимекс</v>
      </c>
      <c r="M29" s="52">
        <f t="shared" si="4"/>
        <v>240.5</v>
      </c>
      <c r="N29" s="53">
        <f>VLOOKUP(H29,'клиенты'!$A$1:$F$435,5,FALSE)</f>
        <v>44652</v>
      </c>
      <c r="O29" s="20">
        <f t="shared" si="5"/>
        <v>716</v>
      </c>
      <c r="P29" s="20" t="str">
        <f>VLOOKUP(H29,'клиенты'!$A$2:$J$435,10,FALSE)</f>
        <v>Россия</v>
      </c>
      <c r="Q29" s="54">
        <f t="shared" si="6"/>
        <v>46078.45901</v>
      </c>
      <c r="R29" s="55">
        <f t="shared" si="7"/>
        <v>47.54863372</v>
      </c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41">
        <v>29.0</v>
      </c>
      <c r="B30" s="41">
        <v>181.0</v>
      </c>
      <c r="C30" s="41">
        <v>476.0</v>
      </c>
      <c r="D30" s="41">
        <v>4.0</v>
      </c>
      <c r="E30" s="41">
        <f t="shared" si="1"/>
        <v>1904</v>
      </c>
      <c r="F30" s="42">
        <v>45040.0</v>
      </c>
      <c r="G30" s="41" t="s">
        <v>45</v>
      </c>
      <c r="H30" s="41">
        <v>451.0</v>
      </c>
      <c r="I30" s="41" t="str">
        <f>VLOOKUP(B30,'товар'!$A$1:$C$433,2,FALSE)</f>
        <v>Молоко</v>
      </c>
      <c r="J30" s="43">
        <f t="shared" si="2"/>
        <v>294.952381</v>
      </c>
      <c r="K30" s="44">
        <f t="shared" si="3"/>
        <v>0.6138198256</v>
      </c>
      <c r="L30" s="41" t="str">
        <f>VLOOKUP(B30,'товар'!$A$1:$C$433,3,FALSE)</f>
        <v>Простоквашино</v>
      </c>
      <c r="M30" s="45">
        <f t="shared" si="4"/>
        <v>318.8181818</v>
      </c>
      <c r="N30" s="46">
        <f>VLOOKUP(H30,'клиенты'!$A$1:$F$435,5,FALSE)</f>
        <v>44584</v>
      </c>
      <c r="O30" s="41">
        <f t="shared" si="5"/>
        <v>456</v>
      </c>
      <c r="P30" s="41" t="str">
        <f>VLOOKUP(H30,'клиенты'!$A$2:$J$435,10,FALSE)</f>
        <v>Россия</v>
      </c>
      <c r="Q30" s="47">
        <f t="shared" si="6"/>
        <v>46078.45901</v>
      </c>
      <c r="R30" s="48">
        <f t="shared" si="7"/>
        <v>49.81530039</v>
      </c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20">
        <v>30.0</v>
      </c>
      <c r="B31" s="20">
        <v>399.0</v>
      </c>
      <c r="C31" s="20">
        <v>190.0</v>
      </c>
      <c r="D31" s="20">
        <v>1.0</v>
      </c>
      <c r="E31" s="20">
        <f t="shared" si="1"/>
        <v>190</v>
      </c>
      <c r="F31" s="49">
        <v>45414.0</v>
      </c>
      <c r="G31" s="20" t="s">
        <v>37</v>
      </c>
      <c r="H31" s="20">
        <v>131.0</v>
      </c>
      <c r="I31" s="20" t="str">
        <f>VLOOKUP(B31,'товар'!$A$1:$C$433,2,FALSE)</f>
        <v>Хлеб</v>
      </c>
      <c r="J31" s="50">
        <f t="shared" si="2"/>
        <v>300.3181818</v>
      </c>
      <c r="K31" s="51">
        <f t="shared" si="3"/>
        <v>-0.3673376722</v>
      </c>
      <c r="L31" s="20" t="str">
        <f>VLOOKUP(B31,'товар'!$A$1:$C$433,3,FALSE)</f>
        <v>Хлебный Дом</v>
      </c>
      <c r="M31" s="52">
        <f t="shared" si="4"/>
        <v>281.7333333</v>
      </c>
      <c r="N31" s="53">
        <f>VLOOKUP(H31,'клиенты'!$A$1:$F$435,5,FALSE)</f>
        <v>44693</v>
      </c>
      <c r="O31" s="20">
        <f t="shared" si="5"/>
        <v>721</v>
      </c>
      <c r="P31" s="20" t="str">
        <f>VLOOKUP(H31,'клиенты'!$A$2:$J$435,10,FALSE)</f>
        <v>Россия</v>
      </c>
      <c r="Q31" s="54">
        <f t="shared" si="6"/>
        <v>46078.45901</v>
      </c>
      <c r="R31" s="55">
        <f t="shared" si="7"/>
        <v>46.18196706</v>
      </c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41">
        <v>31.0</v>
      </c>
      <c r="B32" s="41">
        <v>382.0</v>
      </c>
      <c r="C32" s="41">
        <v>198.0</v>
      </c>
      <c r="D32" s="41">
        <v>5.0</v>
      </c>
      <c r="E32" s="41">
        <f t="shared" si="1"/>
        <v>990</v>
      </c>
      <c r="F32" s="42">
        <v>45125.0</v>
      </c>
      <c r="G32" s="41" t="s">
        <v>38</v>
      </c>
      <c r="H32" s="41">
        <v>160.0</v>
      </c>
      <c r="I32" s="41" t="str">
        <f>VLOOKUP(B32,'товар'!$A$1:$C$433,2,FALSE)</f>
        <v>Овощи</v>
      </c>
      <c r="J32" s="43">
        <f t="shared" si="2"/>
        <v>250.4878049</v>
      </c>
      <c r="K32" s="44">
        <f t="shared" si="3"/>
        <v>-0.2095423564</v>
      </c>
      <c r="L32" s="41" t="str">
        <f>VLOOKUP(B32,'товар'!$A$1:$C$433,3,FALSE)</f>
        <v>Овощной ряд</v>
      </c>
      <c r="M32" s="45">
        <f t="shared" si="4"/>
        <v>303.8235294</v>
      </c>
      <c r="N32" s="46">
        <f>VLOOKUP(H32,'клиенты'!$A$1:$F$435,5,FALSE)</f>
        <v>44649</v>
      </c>
      <c r="O32" s="41">
        <f t="shared" si="5"/>
        <v>476</v>
      </c>
      <c r="P32" s="41" t="str">
        <f>VLOOKUP(H32,'клиенты'!$A$2:$J$435,10,FALSE)</f>
        <v>Узбекистан</v>
      </c>
      <c r="Q32" s="47">
        <f t="shared" si="6"/>
        <v>46078.45901</v>
      </c>
      <c r="R32" s="48">
        <f t="shared" si="7"/>
        <v>47.64863372</v>
      </c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20">
        <v>32.0</v>
      </c>
      <c r="B33" s="20">
        <v>103.0</v>
      </c>
      <c r="C33" s="20">
        <v>254.0</v>
      </c>
      <c r="D33" s="20">
        <v>3.0</v>
      </c>
      <c r="E33" s="20">
        <f t="shared" si="1"/>
        <v>762</v>
      </c>
      <c r="F33" s="49">
        <v>45352.0</v>
      </c>
      <c r="G33" s="20" t="s">
        <v>54</v>
      </c>
      <c r="H33" s="20">
        <v>408.0</v>
      </c>
      <c r="I33" s="20" t="str">
        <f>VLOOKUP(B33,'товар'!$A$1:$C$433,2,FALSE)</f>
        <v>Рыба</v>
      </c>
      <c r="J33" s="50">
        <f t="shared" si="2"/>
        <v>258.5128205</v>
      </c>
      <c r="K33" s="51">
        <f t="shared" si="3"/>
        <v>-0.0174568538</v>
      </c>
      <c r="L33" s="20" t="str">
        <f>VLOOKUP(B33,'товар'!$A$1:$C$433,3,FALSE)</f>
        <v>Санта Бремор</v>
      </c>
      <c r="M33" s="52">
        <f t="shared" si="4"/>
        <v>216.4</v>
      </c>
      <c r="N33" s="53">
        <f>VLOOKUP(H33,'клиенты'!$A$1:$F$435,5,FALSE)</f>
        <v>44857</v>
      </c>
      <c r="O33" s="20">
        <f t="shared" si="5"/>
        <v>495</v>
      </c>
      <c r="P33" s="20" t="str">
        <f>VLOOKUP(H33,'клиенты'!$A$2:$J$435,10,FALSE)</f>
        <v>Россия</v>
      </c>
      <c r="Q33" s="54">
        <f t="shared" si="6"/>
        <v>46078.45901</v>
      </c>
      <c r="R33" s="55">
        <f t="shared" si="7"/>
        <v>40.71530039</v>
      </c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41">
        <v>33.0</v>
      </c>
      <c r="B34" s="41">
        <v>104.0</v>
      </c>
      <c r="C34" s="41">
        <v>351.0</v>
      </c>
      <c r="D34" s="41">
        <v>1.0</v>
      </c>
      <c r="E34" s="41">
        <f t="shared" si="1"/>
        <v>351</v>
      </c>
      <c r="F34" s="42">
        <v>44997.0</v>
      </c>
      <c r="G34" s="41" t="s">
        <v>38</v>
      </c>
      <c r="H34" s="41">
        <v>324.0</v>
      </c>
      <c r="I34" s="41" t="str">
        <f>VLOOKUP(B34,'товар'!$A$1:$C$433,2,FALSE)</f>
        <v>Йогурт</v>
      </c>
      <c r="J34" s="43">
        <f t="shared" si="2"/>
        <v>263.2542373</v>
      </c>
      <c r="K34" s="44">
        <f t="shared" si="3"/>
        <v>0.3333118723</v>
      </c>
      <c r="L34" s="41" t="str">
        <f>VLOOKUP(B34,'товар'!$A$1:$C$433,3,FALSE)</f>
        <v>Ростагроэкспорт</v>
      </c>
      <c r="M34" s="45">
        <f t="shared" si="4"/>
        <v>257.7826087</v>
      </c>
      <c r="N34" s="46">
        <f>VLOOKUP(H34,'клиенты'!$A$1:$F$435,5,FALSE)</f>
        <v>44761</v>
      </c>
      <c r="O34" s="41">
        <f t="shared" si="5"/>
        <v>236</v>
      </c>
      <c r="P34" s="41" t="str">
        <f>VLOOKUP(H34,'клиенты'!$A$2:$J$435,10,FALSE)</f>
        <v>Узбекистан</v>
      </c>
      <c r="Q34" s="47">
        <f t="shared" si="6"/>
        <v>46078.45901</v>
      </c>
      <c r="R34" s="48">
        <f t="shared" si="7"/>
        <v>43.91530039</v>
      </c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20">
        <v>34.0</v>
      </c>
      <c r="B35" s="20">
        <v>213.0</v>
      </c>
      <c r="C35" s="20">
        <v>387.0</v>
      </c>
      <c r="D35" s="20">
        <v>1.0</v>
      </c>
      <c r="E35" s="20">
        <f t="shared" si="1"/>
        <v>387</v>
      </c>
      <c r="F35" s="49">
        <v>45267.0</v>
      </c>
      <c r="G35" s="20" t="s">
        <v>43</v>
      </c>
      <c r="H35" s="20">
        <v>310.0</v>
      </c>
      <c r="I35" s="20" t="str">
        <f>VLOOKUP(B35,'товар'!$A$1:$C$433,2,FALSE)</f>
        <v>Сахар</v>
      </c>
      <c r="J35" s="50">
        <f t="shared" si="2"/>
        <v>252.7627119</v>
      </c>
      <c r="K35" s="51">
        <f t="shared" si="3"/>
        <v>0.5310802655</v>
      </c>
      <c r="L35" s="20" t="str">
        <f>VLOOKUP(B35,'товар'!$A$1:$C$433,3,FALSE)</f>
        <v>Продимекс</v>
      </c>
      <c r="M35" s="52">
        <f t="shared" si="4"/>
        <v>240.5</v>
      </c>
      <c r="N35" s="53">
        <f>VLOOKUP(H35,'клиенты'!$A$1:$F$435,5,FALSE)</f>
        <v>44807</v>
      </c>
      <c r="O35" s="20">
        <f t="shared" si="5"/>
        <v>460</v>
      </c>
      <c r="P35" s="20" t="str">
        <f>VLOOKUP(H35,'клиенты'!$A$2:$J$435,10,FALSE)</f>
        <v>Таджикистан</v>
      </c>
      <c r="Q35" s="54">
        <f t="shared" si="6"/>
        <v>46078.45901</v>
      </c>
      <c r="R35" s="55">
        <f t="shared" si="7"/>
        <v>42.38196706</v>
      </c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41">
        <v>35.0</v>
      </c>
      <c r="B36" s="41">
        <v>157.0</v>
      </c>
      <c r="C36" s="41">
        <v>55.0</v>
      </c>
      <c r="D36" s="41">
        <v>2.0</v>
      </c>
      <c r="E36" s="41">
        <f t="shared" si="1"/>
        <v>110</v>
      </c>
      <c r="F36" s="42">
        <v>45381.0</v>
      </c>
      <c r="G36" s="41" t="s">
        <v>37</v>
      </c>
      <c r="H36" s="41">
        <v>179.0</v>
      </c>
      <c r="I36" s="41" t="str">
        <f>VLOOKUP(B36,'товар'!$A$1:$C$433,2,FALSE)</f>
        <v>Сыр</v>
      </c>
      <c r="J36" s="43">
        <f t="shared" si="2"/>
        <v>262.6349206</v>
      </c>
      <c r="K36" s="44">
        <f t="shared" si="3"/>
        <v>-0.7905838269</v>
      </c>
      <c r="L36" s="41" t="str">
        <f>VLOOKUP(B36,'товар'!$A$1:$C$433,3,FALSE)</f>
        <v>President</v>
      </c>
      <c r="M36" s="45">
        <f t="shared" si="4"/>
        <v>238.7222222</v>
      </c>
      <c r="N36" s="46">
        <f>VLOOKUP(H36,'клиенты'!$A$1:$F$435,5,FALSE)</f>
        <v>44833</v>
      </c>
      <c r="O36" s="41">
        <f t="shared" si="5"/>
        <v>548</v>
      </c>
      <c r="P36" s="41" t="str">
        <f>VLOOKUP(H36,'клиенты'!$A$2:$J$435,10,FALSE)</f>
        <v>Россия</v>
      </c>
      <c r="Q36" s="47">
        <f t="shared" si="6"/>
        <v>46078.45901</v>
      </c>
      <c r="R36" s="48">
        <f t="shared" si="7"/>
        <v>41.51530039</v>
      </c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20">
        <v>36.0</v>
      </c>
      <c r="B37" s="20">
        <v>237.0</v>
      </c>
      <c r="C37" s="20">
        <v>336.0</v>
      </c>
      <c r="D37" s="20">
        <v>1.0</v>
      </c>
      <c r="E37" s="20">
        <f t="shared" si="1"/>
        <v>336</v>
      </c>
      <c r="F37" s="49">
        <v>44971.0</v>
      </c>
      <c r="G37" s="20" t="s">
        <v>48</v>
      </c>
      <c r="H37" s="20">
        <v>64.0</v>
      </c>
      <c r="I37" s="20" t="str">
        <f>VLOOKUP(B37,'товар'!$A$1:$C$433,2,FALSE)</f>
        <v>Конфеты</v>
      </c>
      <c r="J37" s="50">
        <f t="shared" si="2"/>
        <v>267.8548387</v>
      </c>
      <c r="K37" s="51">
        <f t="shared" si="3"/>
        <v>0.2544107906</v>
      </c>
      <c r="L37" s="20" t="str">
        <f>VLOOKUP(B37,'товар'!$A$1:$C$433,3,FALSE)</f>
        <v>Рот Фронт</v>
      </c>
      <c r="M37" s="52">
        <f t="shared" si="4"/>
        <v>288.2380952</v>
      </c>
      <c r="N37" s="53">
        <f>VLOOKUP(H37,'клиенты'!$A$1:$F$435,5,FALSE)</f>
        <v>44707</v>
      </c>
      <c r="O37" s="20">
        <f t="shared" si="5"/>
        <v>264</v>
      </c>
      <c r="P37" s="20" t="str">
        <f>VLOOKUP(H37,'клиенты'!$A$2:$J$435,10,FALSE)</f>
        <v>Узбекистан</v>
      </c>
      <c r="Q37" s="54">
        <f t="shared" si="6"/>
        <v>46078.45901</v>
      </c>
      <c r="R37" s="55">
        <f t="shared" si="7"/>
        <v>45.71530039</v>
      </c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41">
        <v>37.0</v>
      </c>
      <c r="B38" s="41">
        <v>8.0</v>
      </c>
      <c r="C38" s="41">
        <v>480.0</v>
      </c>
      <c r="D38" s="41">
        <v>4.0</v>
      </c>
      <c r="E38" s="41">
        <f t="shared" si="1"/>
        <v>1920</v>
      </c>
      <c r="F38" s="42">
        <v>44947.0</v>
      </c>
      <c r="G38" s="41" t="s">
        <v>50</v>
      </c>
      <c r="H38" s="41">
        <v>318.0</v>
      </c>
      <c r="I38" s="41" t="str">
        <f>VLOOKUP(B38,'товар'!$A$1:$C$433,2,FALSE)</f>
        <v>Макароны</v>
      </c>
      <c r="J38" s="43">
        <f t="shared" si="2"/>
        <v>265.4767442</v>
      </c>
      <c r="K38" s="44">
        <f t="shared" si="3"/>
        <v>0.8080679777</v>
      </c>
      <c r="L38" s="41" t="str">
        <f>VLOOKUP(B38,'товар'!$A$1:$C$433,3,FALSE)</f>
        <v>Паста Зара</v>
      </c>
      <c r="M38" s="45">
        <f t="shared" si="4"/>
        <v>276.6756757</v>
      </c>
      <c r="N38" s="46">
        <f>VLOOKUP(H38,'клиенты'!$A$1:$F$435,5,FALSE)</f>
        <v>44892</v>
      </c>
      <c r="O38" s="41">
        <f t="shared" si="5"/>
        <v>55</v>
      </c>
      <c r="P38" s="41" t="str">
        <f>VLOOKUP(H38,'клиенты'!$A$2:$J$435,10,FALSE)</f>
        <v>Узбекистан</v>
      </c>
      <c r="Q38" s="47">
        <f t="shared" si="6"/>
        <v>46078.45901</v>
      </c>
      <c r="R38" s="48">
        <f t="shared" si="7"/>
        <v>39.54863372</v>
      </c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20">
        <v>38.0</v>
      </c>
      <c r="B39" s="20">
        <v>65.0</v>
      </c>
      <c r="C39" s="20">
        <v>214.0</v>
      </c>
      <c r="D39" s="20">
        <v>3.0</v>
      </c>
      <c r="E39" s="20">
        <f t="shared" si="1"/>
        <v>642</v>
      </c>
      <c r="F39" s="49">
        <v>45129.0</v>
      </c>
      <c r="G39" s="20" t="s">
        <v>45</v>
      </c>
      <c r="H39" s="20">
        <v>239.0</v>
      </c>
      <c r="I39" s="20" t="str">
        <f>VLOOKUP(B39,'товар'!$A$1:$C$433,2,FALSE)</f>
        <v>Хлеб</v>
      </c>
      <c r="J39" s="50">
        <f t="shared" si="2"/>
        <v>300.3181818</v>
      </c>
      <c r="K39" s="51">
        <f t="shared" si="3"/>
        <v>-0.2874224308</v>
      </c>
      <c r="L39" s="20" t="str">
        <f>VLOOKUP(B39,'товар'!$A$1:$C$433,3,FALSE)</f>
        <v>Хлебный Дом</v>
      </c>
      <c r="M39" s="52">
        <f t="shared" si="4"/>
        <v>281.7333333</v>
      </c>
      <c r="N39" s="53">
        <f>VLOOKUP(H39,'клиенты'!$A$1:$F$435,5,FALSE)</f>
        <v>44767</v>
      </c>
      <c r="O39" s="20">
        <f t="shared" si="5"/>
        <v>362</v>
      </c>
      <c r="P39" s="20" t="str">
        <f>VLOOKUP(H39,'клиенты'!$A$2:$J$435,10,FALSE)</f>
        <v>Узбекистан</v>
      </c>
      <c r="Q39" s="54">
        <f t="shared" si="6"/>
        <v>46078.45901</v>
      </c>
      <c r="R39" s="55">
        <f t="shared" si="7"/>
        <v>43.71530039</v>
      </c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41">
        <v>39.0</v>
      </c>
      <c r="B40" s="41">
        <v>45.0</v>
      </c>
      <c r="C40" s="41">
        <v>60.0</v>
      </c>
      <c r="D40" s="41">
        <v>2.0</v>
      </c>
      <c r="E40" s="41">
        <f t="shared" si="1"/>
        <v>120</v>
      </c>
      <c r="F40" s="42">
        <v>45406.0</v>
      </c>
      <c r="G40" s="41" t="s">
        <v>44</v>
      </c>
      <c r="H40" s="41">
        <v>194.0</v>
      </c>
      <c r="I40" s="41" t="str">
        <f>VLOOKUP(B40,'товар'!$A$1:$C$433,2,FALSE)</f>
        <v>Сок</v>
      </c>
      <c r="J40" s="43">
        <f t="shared" si="2"/>
        <v>268.6034483</v>
      </c>
      <c r="K40" s="44">
        <f t="shared" si="3"/>
        <v>-0.7766223763</v>
      </c>
      <c r="L40" s="41" t="str">
        <f>VLOOKUP(B40,'товар'!$A$1:$C$433,3,FALSE)</f>
        <v>Добрый</v>
      </c>
      <c r="M40" s="45">
        <f t="shared" si="4"/>
        <v>242.8181818</v>
      </c>
      <c r="N40" s="46">
        <f>VLOOKUP(H40,'клиенты'!$A$1:$F$435,5,FALSE)</f>
        <v>44924</v>
      </c>
      <c r="O40" s="41">
        <f t="shared" si="5"/>
        <v>482</v>
      </c>
      <c r="P40" s="41" t="str">
        <f>VLOOKUP(H40,'клиенты'!$A$2:$J$435,10,FALSE)</f>
        <v>Россия</v>
      </c>
      <c r="Q40" s="47">
        <f t="shared" si="6"/>
        <v>46078.45901</v>
      </c>
      <c r="R40" s="48">
        <f t="shared" si="7"/>
        <v>38.48196706</v>
      </c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20">
        <v>40.0</v>
      </c>
      <c r="B41" s="20">
        <v>36.0</v>
      </c>
      <c r="C41" s="20">
        <v>414.0</v>
      </c>
      <c r="D41" s="20">
        <v>3.0</v>
      </c>
      <c r="E41" s="20">
        <f t="shared" si="1"/>
        <v>1242</v>
      </c>
      <c r="F41" s="49">
        <v>45117.0</v>
      </c>
      <c r="G41" s="20" t="s">
        <v>42</v>
      </c>
      <c r="H41" s="20">
        <v>267.0</v>
      </c>
      <c r="I41" s="20" t="str">
        <f>VLOOKUP(B41,'товар'!$A$1:$C$433,2,FALSE)</f>
        <v>Макароны</v>
      </c>
      <c r="J41" s="50">
        <f t="shared" si="2"/>
        <v>265.4767442</v>
      </c>
      <c r="K41" s="51">
        <f t="shared" si="3"/>
        <v>0.5594586308</v>
      </c>
      <c r="L41" s="20" t="str">
        <f>VLOOKUP(B41,'товар'!$A$1:$C$433,3,FALSE)</f>
        <v>Роллтон</v>
      </c>
      <c r="M41" s="52">
        <f t="shared" si="4"/>
        <v>235.5555556</v>
      </c>
      <c r="N41" s="53">
        <f>VLOOKUP(H41,'клиенты'!$A$1:$F$435,5,FALSE)</f>
        <v>44910</v>
      </c>
      <c r="O41" s="20">
        <f t="shared" si="5"/>
        <v>207</v>
      </c>
      <c r="P41" s="20" t="str">
        <f>VLOOKUP(H41,'клиенты'!$A$2:$J$435,10,FALSE)</f>
        <v>Россия</v>
      </c>
      <c r="Q41" s="54">
        <f t="shared" si="6"/>
        <v>46078.45901</v>
      </c>
      <c r="R41" s="55">
        <f t="shared" si="7"/>
        <v>38.94863372</v>
      </c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41">
        <v>41.0</v>
      </c>
      <c r="B42" s="41">
        <v>443.0</v>
      </c>
      <c r="C42" s="41">
        <v>62.0</v>
      </c>
      <c r="D42" s="41">
        <v>3.0</v>
      </c>
      <c r="E42" s="41">
        <f t="shared" si="1"/>
        <v>186</v>
      </c>
      <c r="F42" s="42">
        <v>45194.0</v>
      </c>
      <c r="G42" s="41" t="s">
        <v>53</v>
      </c>
      <c r="H42" s="41">
        <v>334.0</v>
      </c>
      <c r="I42" s="41" t="str">
        <f>VLOOKUP(B42,'товар'!$A$1:$C$433,2,FALSE)</f>
        <v>Кофе</v>
      </c>
      <c r="J42" s="43">
        <f t="shared" si="2"/>
        <v>249.0238095</v>
      </c>
      <c r="K42" s="44">
        <f t="shared" si="3"/>
        <v>-0.7510278229</v>
      </c>
      <c r="L42" s="41" t="str">
        <f>VLOOKUP(B42,'товар'!$A$1:$C$433,3,FALSE)</f>
        <v>Jacobs</v>
      </c>
      <c r="M42" s="45">
        <f t="shared" si="4"/>
        <v>276.2105263</v>
      </c>
      <c r="N42" s="46">
        <f>VLOOKUP(H42,'клиенты'!$A$1:$F$435,5,FALSE)</f>
        <v>44881</v>
      </c>
      <c r="O42" s="41">
        <f t="shared" si="5"/>
        <v>313</v>
      </c>
      <c r="P42" s="41" t="str">
        <f>VLOOKUP(H42,'клиенты'!$A$2:$J$435,10,FALSE)</f>
        <v>Украина</v>
      </c>
      <c r="Q42" s="47">
        <f t="shared" si="6"/>
        <v>46078.45901</v>
      </c>
      <c r="R42" s="48">
        <f t="shared" si="7"/>
        <v>39.91530039</v>
      </c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20">
        <v>42.0</v>
      </c>
      <c r="B43" s="20">
        <v>384.0</v>
      </c>
      <c r="C43" s="20">
        <v>357.0</v>
      </c>
      <c r="D43" s="20">
        <v>1.0</v>
      </c>
      <c r="E43" s="20">
        <f t="shared" si="1"/>
        <v>357</v>
      </c>
      <c r="F43" s="49">
        <v>45196.0</v>
      </c>
      <c r="G43" s="20" t="s">
        <v>49</v>
      </c>
      <c r="H43" s="20">
        <v>47.0</v>
      </c>
      <c r="I43" s="20" t="str">
        <f>VLOOKUP(B43,'товар'!$A$1:$C$433,2,FALSE)</f>
        <v>Сахар</v>
      </c>
      <c r="J43" s="50">
        <f t="shared" si="2"/>
        <v>252.7627119</v>
      </c>
      <c r="K43" s="51">
        <f t="shared" si="3"/>
        <v>0.4123918729</v>
      </c>
      <c r="L43" s="20" t="str">
        <f>VLOOKUP(B43,'товар'!$A$1:$C$433,3,FALSE)</f>
        <v>Сладов</v>
      </c>
      <c r="M43" s="52">
        <f t="shared" si="4"/>
        <v>240.2666667</v>
      </c>
      <c r="N43" s="53">
        <f>VLOOKUP(H43,'клиенты'!$A$1:$F$435,5,FALSE)</f>
        <v>44693</v>
      </c>
      <c r="O43" s="20">
        <f t="shared" si="5"/>
        <v>503</v>
      </c>
      <c r="P43" s="20" t="str">
        <f>VLOOKUP(H43,'клиенты'!$A$2:$J$435,10,FALSE)</f>
        <v>Беларусь</v>
      </c>
      <c r="Q43" s="54">
        <f t="shared" si="6"/>
        <v>46078.45901</v>
      </c>
      <c r="R43" s="55">
        <f t="shared" si="7"/>
        <v>46.18196706</v>
      </c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41">
        <v>43.0</v>
      </c>
      <c r="B44" s="41">
        <v>41.0</v>
      </c>
      <c r="C44" s="41">
        <v>493.0</v>
      </c>
      <c r="D44" s="41">
        <v>3.0</v>
      </c>
      <c r="E44" s="41">
        <f t="shared" si="1"/>
        <v>1479</v>
      </c>
      <c r="F44" s="42">
        <v>45104.0</v>
      </c>
      <c r="G44" s="41" t="s">
        <v>46</v>
      </c>
      <c r="H44" s="41">
        <v>287.0</v>
      </c>
      <c r="I44" s="41" t="str">
        <f>VLOOKUP(B44,'товар'!$A$1:$C$433,2,FALSE)</f>
        <v>Рис</v>
      </c>
      <c r="J44" s="43">
        <f t="shared" si="2"/>
        <v>258.375</v>
      </c>
      <c r="K44" s="44">
        <f t="shared" si="3"/>
        <v>0.908079342</v>
      </c>
      <c r="L44" s="41" t="str">
        <f>VLOOKUP(B44,'товар'!$A$1:$C$433,3,FALSE)</f>
        <v>Агро-Альянс</v>
      </c>
      <c r="M44" s="45">
        <f t="shared" si="4"/>
        <v>317.8571429</v>
      </c>
      <c r="N44" s="46">
        <f>VLOOKUP(H44,'клиенты'!$A$1:$F$435,5,FALSE)</f>
        <v>44608</v>
      </c>
      <c r="O44" s="41">
        <f t="shared" si="5"/>
        <v>496</v>
      </c>
      <c r="P44" s="41" t="str">
        <f>VLOOKUP(H44,'клиенты'!$A$2:$J$435,10,FALSE)</f>
        <v>Россия</v>
      </c>
      <c r="Q44" s="47">
        <f t="shared" si="6"/>
        <v>46078.45901</v>
      </c>
      <c r="R44" s="48">
        <f t="shared" si="7"/>
        <v>49.01530039</v>
      </c>
      <c r="S44" s="41"/>
      <c r="T44" s="41"/>
      <c r="U44" s="41"/>
      <c r="V44" s="41"/>
      <c r="W44" s="41"/>
      <c r="X44" s="41"/>
      <c r="Y44" s="41"/>
      <c r="Z44" s="41"/>
    </row>
    <row r="45" ht="14.25" customHeight="1">
      <c r="A45" s="20">
        <v>44.0</v>
      </c>
      <c r="B45" s="20">
        <v>484.0</v>
      </c>
      <c r="C45" s="20">
        <v>305.0</v>
      </c>
      <c r="D45" s="20">
        <v>2.0</v>
      </c>
      <c r="E45" s="20">
        <f t="shared" si="1"/>
        <v>610</v>
      </c>
      <c r="F45" s="49">
        <v>45234.0</v>
      </c>
      <c r="G45" s="20" t="s">
        <v>39</v>
      </c>
      <c r="H45" s="20">
        <v>145.0</v>
      </c>
      <c r="I45" s="20" t="str">
        <f>VLOOKUP(B45,'товар'!$A$1:$C$433,2,FALSE)</f>
        <v>Печенье</v>
      </c>
      <c r="J45" s="50">
        <f t="shared" si="2"/>
        <v>283.4680851</v>
      </c>
      <c r="K45" s="51">
        <f t="shared" si="3"/>
        <v>0.07595886812</v>
      </c>
      <c r="L45" s="20" t="str">
        <f>VLOOKUP(B45,'товар'!$A$1:$C$433,3,FALSE)</f>
        <v>КДВ</v>
      </c>
      <c r="M45" s="52">
        <f t="shared" si="4"/>
        <v>323.0769231</v>
      </c>
      <c r="N45" s="53">
        <f>VLOOKUP(H45,'клиенты'!$A$1:$F$435,5,FALSE)</f>
        <v>44653</v>
      </c>
      <c r="O45" s="20">
        <f t="shared" si="5"/>
        <v>581</v>
      </c>
      <c r="P45" s="20" t="str">
        <f>VLOOKUP(H45,'клиенты'!$A$2:$J$435,10,FALSE)</f>
        <v>Украина</v>
      </c>
      <c r="Q45" s="54">
        <f t="shared" si="6"/>
        <v>46078.45901</v>
      </c>
      <c r="R45" s="55">
        <f t="shared" si="7"/>
        <v>47.51530039</v>
      </c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41">
        <v>45.0</v>
      </c>
      <c r="B46" s="41">
        <v>7.0</v>
      </c>
      <c r="C46" s="41">
        <v>162.0</v>
      </c>
      <c r="D46" s="41">
        <v>4.0</v>
      </c>
      <c r="E46" s="41">
        <f t="shared" si="1"/>
        <v>648</v>
      </c>
      <c r="F46" s="42">
        <v>45387.0</v>
      </c>
      <c r="G46" s="41" t="s">
        <v>51</v>
      </c>
      <c r="H46" s="41">
        <v>270.0</v>
      </c>
      <c r="I46" s="41" t="str">
        <f>VLOOKUP(B46,'товар'!$A$1:$C$433,2,FALSE)</f>
        <v>Сыр</v>
      </c>
      <c r="J46" s="43">
        <f t="shared" si="2"/>
        <v>262.6349206</v>
      </c>
      <c r="K46" s="44">
        <f t="shared" si="3"/>
        <v>-0.3831741811</v>
      </c>
      <c r="L46" s="41" t="str">
        <f>VLOOKUP(B46,'товар'!$A$1:$C$433,3,FALSE)</f>
        <v>President</v>
      </c>
      <c r="M46" s="45">
        <f t="shared" si="4"/>
        <v>238.7222222</v>
      </c>
      <c r="N46" s="46">
        <f>VLOOKUP(H46,'клиенты'!$A$1:$F$435,5,FALSE)</f>
        <v>44827</v>
      </c>
      <c r="O46" s="41">
        <f t="shared" si="5"/>
        <v>560</v>
      </c>
      <c r="P46" s="41" t="str">
        <f>VLOOKUP(H46,'клиенты'!$A$2:$J$435,10,FALSE)</f>
        <v>Таджикистан</v>
      </c>
      <c r="Q46" s="47">
        <f t="shared" si="6"/>
        <v>46078.45901</v>
      </c>
      <c r="R46" s="48">
        <f t="shared" si="7"/>
        <v>41.71530039</v>
      </c>
      <c r="S46" s="41"/>
      <c r="T46" s="41"/>
      <c r="U46" s="41"/>
      <c r="V46" s="41"/>
      <c r="W46" s="41"/>
      <c r="X46" s="41"/>
      <c r="Y46" s="41"/>
      <c r="Z46" s="41"/>
    </row>
    <row r="47" ht="14.25" customHeight="1">
      <c r="A47" s="20">
        <v>46.0</v>
      </c>
      <c r="B47" s="20">
        <v>390.0</v>
      </c>
      <c r="C47" s="20">
        <v>78.0</v>
      </c>
      <c r="D47" s="20">
        <v>1.0</v>
      </c>
      <c r="E47" s="20">
        <f t="shared" si="1"/>
        <v>78</v>
      </c>
      <c r="F47" s="49">
        <v>44976.0</v>
      </c>
      <c r="G47" s="20" t="s">
        <v>41</v>
      </c>
      <c r="H47" s="20">
        <v>64.0</v>
      </c>
      <c r="I47" s="20" t="str">
        <f>VLOOKUP(B47,'товар'!$A$1:$C$433,2,FALSE)</f>
        <v>Сок</v>
      </c>
      <c r="J47" s="50">
        <f t="shared" si="2"/>
        <v>268.6034483</v>
      </c>
      <c r="K47" s="51">
        <f t="shared" si="3"/>
        <v>-0.7096090892</v>
      </c>
      <c r="L47" s="20" t="str">
        <f>VLOOKUP(B47,'товар'!$A$1:$C$433,3,FALSE)</f>
        <v>Сады Придонья</v>
      </c>
      <c r="M47" s="52">
        <f t="shared" si="4"/>
        <v>254.1818182</v>
      </c>
      <c r="N47" s="53">
        <f>VLOOKUP(H47,'клиенты'!$A$1:$F$435,5,FALSE)</f>
        <v>44707</v>
      </c>
      <c r="O47" s="20">
        <f t="shared" si="5"/>
        <v>269</v>
      </c>
      <c r="P47" s="20" t="str">
        <f>VLOOKUP(H47,'клиенты'!$A$2:$J$435,10,FALSE)</f>
        <v>Узбекистан</v>
      </c>
      <c r="Q47" s="54">
        <f t="shared" si="6"/>
        <v>46078.45901</v>
      </c>
      <c r="R47" s="55">
        <f t="shared" si="7"/>
        <v>45.71530039</v>
      </c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41">
        <v>47.0</v>
      </c>
      <c r="B48" s="41">
        <v>57.0</v>
      </c>
      <c r="C48" s="41">
        <v>343.0</v>
      </c>
      <c r="D48" s="41">
        <v>5.0</v>
      </c>
      <c r="E48" s="41">
        <f t="shared" si="1"/>
        <v>1715</v>
      </c>
      <c r="F48" s="42">
        <v>45063.0</v>
      </c>
      <c r="G48" s="41" t="s">
        <v>46</v>
      </c>
      <c r="H48" s="41">
        <v>183.0</v>
      </c>
      <c r="I48" s="41" t="str">
        <f>VLOOKUP(B48,'товар'!$A$1:$C$433,2,FALSE)</f>
        <v>Печенье</v>
      </c>
      <c r="J48" s="43">
        <f t="shared" si="2"/>
        <v>283.4680851</v>
      </c>
      <c r="K48" s="44">
        <f t="shared" si="3"/>
        <v>0.2100127599</v>
      </c>
      <c r="L48" s="41" t="str">
        <f>VLOOKUP(B48,'товар'!$A$1:$C$433,3,FALSE)</f>
        <v>Юбилейное</v>
      </c>
      <c r="M48" s="45">
        <f t="shared" si="4"/>
        <v>232.4444444</v>
      </c>
      <c r="N48" s="46">
        <f>VLOOKUP(H48,'клиенты'!$A$1:$F$435,5,FALSE)</f>
        <v>44900</v>
      </c>
      <c r="O48" s="41">
        <f t="shared" si="5"/>
        <v>163</v>
      </c>
      <c r="P48" s="41" t="str">
        <f>VLOOKUP(H48,'клиенты'!$A$2:$J$435,10,FALSE)</f>
        <v>Таджикистан</v>
      </c>
      <c r="Q48" s="47">
        <f t="shared" si="6"/>
        <v>46078.45901</v>
      </c>
      <c r="R48" s="48">
        <f t="shared" si="7"/>
        <v>39.28196706</v>
      </c>
      <c r="S48" s="41"/>
      <c r="T48" s="41"/>
      <c r="U48" s="41"/>
      <c r="V48" s="41"/>
      <c r="W48" s="41"/>
      <c r="X48" s="41"/>
      <c r="Y48" s="41"/>
      <c r="Z48" s="41"/>
    </row>
    <row r="49" ht="14.25" customHeight="1">
      <c r="A49" s="20">
        <v>48.0</v>
      </c>
      <c r="B49" s="20">
        <v>285.0</v>
      </c>
      <c r="C49" s="20">
        <v>498.0</v>
      </c>
      <c r="D49" s="20">
        <v>4.0</v>
      </c>
      <c r="E49" s="20">
        <f t="shared" si="1"/>
        <v>1992</v>
      </c>
      <c r="F49" s="49">
        <v>45208.0</v>
      </c>
      <c r="G49" s="20" t="s">
        <v>48</v>
      </c>
      <c r="H49" s="20">
        <v>2.0</v>
      </c>
      <c r="I49" s="20" t="str">
        <f>VLOOKUP(B49,'товар'!$A$1:$C$433,2,FALSE)</f>
        <v>Макароны</v>
      </c>
      <c r="J49" s="50">
        <f t="shared" si="2"/>
        <v>265.4767442</v>
      </c>
      <c r="K49" s="51">
        <f t="shared" si="3"/>
        <v>0.8758705269</v>
      </c>
      <c r="L49" s="20" t="str">
        <f>VLOOKUP(B49,'товар'!$A$1:$C$433,3,FALSE)</f>
        <v>Паста Зара</v>
      </c>
      <c r="M49" s="52">
        <f t="shared" si="4"/>
        <v>276.6756757</v>
      </c>
      <c r="N49" s="53">
        <f>VLOOKUP(H49,'клиенты'!$A$1:$F$435,5,FALSE)</f>
        <v>44775</v>
      </c>
      <c r="O49" s="20">
        <f t="shared" si="5"/>
        <v>433</v>
      </c>
      <c r="P49" s="20" t="str">
        <f>VLOOKUP(H49,'клиенты'!$A$2:$J$435,10,FALSE)</f>
        <v>Узбекистан</v>
      </c>
      <c r="Q49" s="54">
        <f t="shared" si="6"/>
        <v>46078.45901</v>
      </c>
      <c r="R49" s="55">
        <f t="shared" si="7"/>
        <v>43.44863372</v>
      </c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41">
        <v>49.0</v>
      </c>
      <c r="B50" s="41">
        <v>299.0</v>
      </c>
      <c r="C50" s="41">
        <v>133.0</v>
      </c>
      <c r="D50" s="41">
        <v>1.0</v>
      </c>
      <c r="E50" s="41">
        <f t="shared" si="1"/>
        <v>133</v>
      </c>
      <c r="F50" s="42">
        <v>45104.0</v>
      </c>
      <c r="G50" s="41" t="s">
        <v>51</v>
      </c>
      <c r="H50" s="41">
        <v>204.0</v>
      </c>
      <c r="I50" s="41" t="str">
        <f>VLOOKUP(B50,'товар'!$A$1:$C$433,2,FALSE)</f>
        <v>Чай</v>
      </c>
      <c r="J50" s="43">
        <f t="shared" si="2"/>
        <v>271.1818182</v>
      </c>
      <c r="K50" s="44">
        <f t="shared" si="3"/>
        <v>-0.5095541401</v>
      </c>
      <c r="L50" s="41" t="str">
        <f>VLOOKUP(B50,'товар'!$A$1:$C$433,3,FALSE)</f>
        <v>Lipton</v>
      </c>
      <c r="M50" s="45">
        <f t="shared" si="4"/>
        <v>260.1578947</v>
      </c>
      <c r="N50" s="46">
        <f>VLOOKUP(H50,'клиенты'!$A$1:$F$435,5,FALSE)</f>
        <v>44867</v>
      </c>
      <c r="O50" s="41">
        <f t="shared" si="5"/>
        <v>237</v>
      </c>
      <c r="P50" s="41" t="str">
        <f>VLOOKUP(H50,'клиенты'!$A$2:$J$435,10,FALSE)</f>
        <v>Россия</v>
      </c>
      <c r="Q50" s="47">
        <f t="shared" si="6"/>
        <v>46078.45901</v>
      </c>
      <c r="R50" s="48">
        <f t="shared" si="7"/>
        <v>40.38196706</v>
      </c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20">
        <v>50.0</v>
      </c>
      <c r="B51" s="20">
        <v>444.0</v>
      </c>
      <c r="C51" s="20">
        <v>311.0</v>
      </c>
      <c r="D51" s="20">
        <v>4.0</v>
      </c>
      <c r="E51" s="20">
        <f t="shared" si="1"/>
        <v>1244</v>
      </c>
      <c r="F51" s="49">
        <v>45398.0</v>
      </c>
      <c r="G51" s="20" t="s">
        <v>44</v>
      </c>
      <c r="H51" s="20">
        <v>229.0</v>
      </c>
      <c r="I51" s="20" t="str">
        <f>VLOOKUP(B51,'товар'!$A$1:$C$433,2,FALSE)</f>
        <v>Йогурт</v>
      </c>
      <c r="J51" s="50">
        <f t="shared" si="2"/>
        <v>263.2542373</v>
      </c>
      <c r="K51" s="51">
        <f t="shared" si="3"/>
        <v>0.1813674994</v>
      </c>
      <c r="L51" s="20" t="str">
        <f>VLOOKUP(B51,'товар'!$A$1:$C$433,3,FALSE)</f>
        <v>Эрманн</v>
      </c>
      <c r="M51" s="52">
        <f t="shared" si="4"/>
        <v>248.5</v>
      </c>
      <c r="N51" s="53">
        <f>VLOOKUP(H51,'клиенты'!$A$1:$F$435,5,FALSE)</f>
        <v>44766</v>
      </c>
      <c r="O51" s="20">
        <f t="shared" si="5"/>
        <v>632</v>
      </c>
      <c r="P51" s="20" t="str">
        <f>VLOOKUP(H51,'клиенты'!$A$2:$J$435,10,FALSE)</f>
        <v>Беларусь</v>
      </c>
      <c r="Q51" s="54">
        <f t="shared" si="6"/>
        <v>46078.45901</v>
      </c>
      <c r="R51" s="55">
        <f t="shared" si="7"/>
        <v>43.74863372</v>
      </c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41">
        <v>51.0</v>
      </c>
      <c r="B52" s="41">
        <v>35.0</v>
      </c>
      <c r="C52" s="41">
        <v>242.0</v>
      </c>
      <c r="D52" s="41">
        <v>2.0</v>
      </c>
      <c r="E52" s="41">
        <f t="shared" si="1"/>
        <v>484</v>
      </c>
      <c r="F52" s="42">
        <v>45239.0</v>
      </c>
      <c r="G52" s="41" t="s">
        <v>50</v>
      </c>
      <c r="H52" s="41">
        <v>385.0</v>
      </c>
      <c r="I52" s="41" t="str">
        <f>VLOOKUP(B52,'товар'!$A$1:$C$433,2,FALSE)</f>
        <v>Крупа</v>
      </c>
      <c r="J52" s="43">
        <f t="shared" si="2"/>
        <v>255.1162791</v>
      </c>
      <c r="K52" s="44">
        <f t="shared" si="3"/>
        <v>-0.05141294439</v>
      </c>
      <c r="L52" s="41" t="str">
        <f>VLOOKUP(B52,'товар'!$A$1:$C$433,3,FALSE)</f>
        <v>Мистраль</v>
      </c>
      <c r="M52" s="45">
        <f t="shared" si="4"/>
        <v>250.3076923</v>
      </c>
      <c r="N52" s="46">
        <f>VLOOKUP(H52,'клиенты'!$A$1:$F$435,5,FALSE)</f>
        <v>44753</v>
      </c>
      <c r="O52" s="41">
        <f t="shared" si="5"/>
        <v>486</v>
      </c>
      <c r="P52" s="41" t="str">
        <f>VLOOKUP(H52,'клиенты'!$A$2:$J$435,10,FALSE)</f>
        <v>Украина</v>
      </c>
      <c r="Q52" s="47">
        <f t="shared" si="6"/>
        <v>46078.45901</v>
      </c>
      <c r="R52" s="48">
        <f t="shared" si="7"/>
        <v>44.18196706</v>
      </c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20">
        <v>52.0</v>
      </c>
      <c r="B53" s="20">
        <v>296.0</v>
      </c>
      <c r="C53" s="20">
        <v>101.0</v>
      </c>
      <c r="D53" s="20">
        <v>3.0</v>
      </c>
      <c r="E53" s="20">
        <f t="shared" si="1"/>
        <v>303</v>
      </c>
      <c r="F53" s="49">
        <v>45080.0</v>
      </c>
      <c r="G53" s="20" t="s">
        <v>39</v>
      </c>
      <c r="H53" s="20">
        <v>407.0</v>
      </c>
      <c r="I53" s="20" t="str">
        <f>VLOOKUP(B53,'товар'!$A$1:$C$433,2,FALSE)</f>
        <v>Крупа</v>
      </c>
      <c r="J53" s="50">
        <f t="shared" si="2"/>
        <v>255.1162791</v>
      </c>
      <c r="K53" s="51">
        <f t="shared" si="3"/>
        <v>-0.6041020966</v>
      </c>
      <c r="L53" s="20" t="str">
        <f>VLOOKUP(B53,'товар'!$A$1:$C$433,3,FALSE)</f>
        <v>Мистраль</v>
      </c>
      <c r="M53" s="52">
        <f t="shared" si="4"/>
        <v>250.3076923</v>
      </c>
      <c r="N53" s="53">
        <f>VLOOKUP(H53,'клиенты'!$A$1:$F$435,5,FALSE)</f>
        <v>44621</v>
      </c>
      <c r="O53" s="20">
        <f t="shared" si="5"/>
        <v>459</v>
      </c>
      <c r="P53" s="20" t="str">
        <f>VLOOKUP(H53,'клиенты'!$A$2:$J$435,10,FALSE)</f>
        <v>Беларусь</v>
      </c>
      <c r="Q53" s="54">
        <f t="shared" si="6"/>
        <v>46078.45901</v>
      </c>
      <c r="R53" s="55">
        <f t="shared" si="7"/>
        <v>48.58196706</v>
      </c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41">
        <v>53.0</v>
      </c>
      <c r="B54" s="41">
        <v>227.0</v>
      </c>
      <c r="C54" s="41">
        <v>65.0</v>
      </c>
      <c r="D54" s="41">
        <v>1.0</v>
      </c>
      <c r="E54" s="41">
        <f t="shared" si="1"/>
        <v>65</v>
      </c>
      <c r="F54" s="42">
        <v>45308.0</v>
      </c>
      <c r="G54" s="41" t="s">
        <v>37</v>
      </c>
      <c r="H54" s="41">
        <v>493.0</v>
      </c>
      <c r="I54" s="41" t="str">
        <f>VLOOKUP(B54,'товар'!$A$1:$C$433,2,FALSE)</f>
        <v>Макароны</v>
      </c>
      <c r="J54" s="43">
        <f t="shared" si="2"/>
        <v>265.4767442</v>
      </c>
      <c r="K54" s="44">
        <f t="shared" si="3"/>
        <v>-0.7551574613</v>
      </c>
      <c r="L54" s="41" t="str">
        <f>VLOOKUP(B54,'товар'!$A$1:$C$433,3,FALSE)</f>
        <v>Макфа</v>
      </c>
      <c r="M54" s="45">
        <f t="shared" si="4"/>
        <v>329.2727273</v>
      </c>
      <c r="N54" s="46">
        <f>VLOOKUP(H54,'клиенты'!$A$1:$F$435,5,FALSE)</f>
        <v>44855</v>
      </c>
      <c r="O54" s="41">
        <f t="shared" si="5"/>
        <v>453</v>
      </c>
      <c r="P54" s="41" t="str">
        <f>VLOOKUP(H54,'клиенты'!$A$2:$J$435,10,FALSE)</f>
        <v>Украина</v>
      </c>
      <c r="Q54" s="47">
        <f t="shared" si="6"/>
        <v>46078.45901</v>
      </c>
      <c r="R54" s="48">
        <f t="shared" si="7"/>
        <v>40.78196706</v>
      </c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20">
        <v>54.0</v>
      </c>
      <c r="B55" s="20">
        <v>167.0</v>
      </c>
      <c r="C55" s="20">
        <v>143.0</v>
      </c>
      <c r="D55" s="20">
        <v>3.0</v>
      </c>
      <c r="E55" s="20">
        <f t="shared" si="1"/>
        <v>429</v>
      </c>
      <c r="F55" s="49">
        <v>45246.0</v>
      </c>
      <c r="G55" s="20" t="s">
        <v>50</v>
      </c>
      <c r="H55" s="20">
        <v>34.0</v>
      </c>
      <c r="I55" s="20" t="str">
        <f>VLOOKUP(B55,'товар'!$A$1:$C$433,2,FALSE)</f>
        <v>Мясо</v>
      </c>
      <c r="J55" s="50">
        <f t="shared" si="2"/>
        <v>271.7454545</v>
      </c>
      <c r="K55" s="51">
        <f t="shared" si="3"/>
        <v>-0.4737722468</v>
      </c>
      <c r="L55" s="20" t="str">
        <f>VLOOKUP(B55,'товар'!$A$1:$C$433,3,FALSE)</f>
        <v>Сава</v>
      </c>
      <c r="M55" s="52">
        <f t="shared" si="4"/>
        <v>212.8125</v>
      </c>
      <c r="N55" s="53">
        <f>VLOOKUP(H55,'клиенты'!$A$1:$F$435,5,FALSE)</f>
        <v>44654</v>
      </c>
      <c r="O55" s="20">
        <f t="shared" si="5"/>
        <v>592</v>
      </c>
      <c r="P55" s="20" t="str">
        <f>VLOOKUP(H55,'клиенты'!$A$2:$J$435,10,FALSE)</f>
        <v>Таджикистан</v>
      </c>
      <c r="Q55" s="54">
        <f t="shared" si="6"/>
        <v>46078.45901</v>
      </c>
      <c r="R55" s="55">
        <f t="shared" si="7"/>
        <v>47.48196706</v>
      </c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41">
        <v>55.0</v>
      </c>
      <c r="B56" s="41">
        <v>146.0</v>
      </c>
      <c r="C56" s="41">
        <v>402.0</v>
      </c>
      <c r="D56" s="41">
        <v>5.0</v>
      </c>
      <c r="E56" s="41">
        <f t="shared" si="1"/>
        <v>2010</v>
      </c>
      <c r="F56" s="42">
        <v>45356.0</v>
      </c>
      <c r="G56" s="41" t="s">
        <v>43</v>
      </c>
      <c r="H56" s="41">
        <v>190.0</v>
      </c>
      <c r="I56" s="41" t="str">
        <f>VLOOKUP(B56,'товар'!$A$1:$C$433,2,FALSE)</f>
        <v>Сок</v>
      </c>
      <c r="J56" s="43">
        <f t="shared" si="2"/>
        <v>268.6034483</v>
      </c>
      <c r="K56" s="44">
        <f t="shared" si="3"/>
        <v>0.496630079</v>
      </c>
      <c r="L56" s="41" t="str">
        <f>VLOOKUP(B56,'товар'!$A$1:$C$433,3,FALSE)</f>
        <v>Добрый</v>
      </c>
      <c r="M56" s="45">
        <f t="shared" si="4"/>
        <v>242.8181818</v>
      </c>
      <c r="N56" s="46">
        <f>VLOOKUP(H56,'клиенты'!$A$1:$F$435,5,FALSE)</f>
        <v>44689</v>
      </c>
      <c r="O56" s="41">
        <f t="shared" si="5"/>
        <v>667</v>
      </c>
      <c r="P56" s="41" t="str">
        <f>VLOOKUP(H56,'клиенты'!$A$2:$J$435,10,FALSE)</f>
        <v>Беларусь</v>
      </c>
      <c r="Q56" s="47">
        <f t="shared" si="6"/>
        <v>46078.45901</v>
      </c>
      <c r="R56" s="48">
        <f t="shared" si="7"/>
        <v>46.31530039</v>
      </c>
      <c r="S56" s="41"/>
      <c r="T56" s="41"/>
      <c r="U56" s="41"/>
      <c r="V56" s="41"/>
      <c r="W56" s="41"/>
      <c r="X56" s="41"/>
      <c r="Y56" s="41"/>
      <c r="Z56" s="41"/>
    </row>
    <row r="57" ht="14.25" customHeight="1">
      <c r="A57" s="20">
        <v>56.0</v>
      </c>
      <c r="B57" s="20">
        <v>338.0</v>
      </c>
      <c r="C57" s="20">
        <v>97.0</v>
      </c>
      <c r="D57" s="20">
        <v>1.0</v>
      </c>
      <c r="E57" s="20">
        <f t="shared" si="1"/>
        <v>97</v>
      </c>
      <c r="F57" s="49">
        <v>45234.0</v>
      </c>
      <c r="G57" s="20" t="s">
        <v>48</v>
      </c>
      <c r="H57" s="20">
        <v>266.0</v>
      </c>
      <c r="I57" s="20" t="str">
        <f>VLOOKUP(B57,'товар'!$A$1:$C$433,2,FALSE)</f>
        <v>Сыр</v>
      </c>
      <c r="J57" s="50">
        <f t="shared" si="2"/>
        <v>262.6349206</v>
      </c>
      <c r="K57" s="51">
        <f t="shared" si="3"/>
        <v>-0.630666022</v>
      </c>
      <c r="L57" s="20" t="str">
        <f>VLOOKUP(B57,'товар'!$A$1:$C$433,3,FALSE)</f>
        <v>President</v>
      </c>
      <c r="M57" s="52">
        <f t="shared" si="4"/>
        <v>238.7222222</v>
      </c>
      <c r="N57" s="53">
        <f>VLOOKUP(H57,'клиенты'!$A$1:$F$435,5,FALSE)</f>
        <v>44795</v>
      </c>
      <c r="O57" s="20">
        <f t="shared" si="5"/>
        <v>439</v>
      </c>
      <c r="P57" s="20" t="str">
        <f>VLOOKUP(H57,'клиенты'!$A$2:$J$435,10,FALSE)</f>
        <v>Россия</v>
      </c>
      <c r="Q57" s="54">
        <f t="shared" si="6"/>
        <v>46078.45901</v>
      </c>
      <c r="R57" s="55">
        <f t="shared" si="7"/>
        <v>42.78196706</v>
      </c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41">
        <v>57.0</v>
      </c>
      <c r="B58" s="41">
        <v>155.0</v>
      </c>
      <c r="C58" s="41">
        <v>482.0</v>
      </c>
      <c r="D58" s="41">
        <v>1.0</v>
      </c>
      <c r="E58" s="41">
        <f t="shared" si="1"/>
        <v>482</v>
      </c>
      <c r="F58" s="42">
        <v>45400.0</v>
      </c>
      <c r="G58" s="41" t="s">
        <v>42</v>
      </c>
      <c r="H58" s="41">
        <v>222.0</v>
      </c>
      <c r="I58" s="41" t="str">
        <f>VLOOKUP(B58,'товар'!$A$1:$C$433,2,FALSE)</f>
        <v>Йогурт</v>
      </c>
      <c r="J58" s="43">
        <f t="shared" si="2"/>
        <v>263.2542373</v>
      </c>
      <c r="K58" s="44">
        <f t="shared" si="3"/>
        <v>0.8309296935</v>
      </c>
      <c r="L58" s="41" t="str">
        <f>VLOOKUP(B58,'товар'!$A$1:$C$433,3,FALSE)</f>
        <v>Эрманн</v>
      </c>
      <c r="M58" s="45">
        <f t="shared" si="4"/>
        <v>248.5</v>
      </c>
      <c r="N58" s="46">
        <f>VLOOKUP(H58,'клиенты'!$A$1:$F$435,5,FALSE)</f>
        <v>44694</v>
      </c>
      <c r="O58" s="41">
        <f t="shared" si="5"/>
        <v>706</v>
      </c>
      <c r="P58" s="41" t="str">
        <f>VLOOKUP(H58,'клиенты'!$A$2:$J$435,10,FALSE)</f>
        <v>Украина</v>
      </c>
      <c r="Q58" s="47">
        <f t="shared" si="6"/>
        <v>46078.45901</v>
      </c>
      <c r="R58" s="48">
        <f t="shared" si="7"/>
        <v>46.14863372</v>
      </c>
      <c r="S58" s="41"/>
      <c r="T58" s="41"/>
      <c r="U58" s="41"/>
      <c r="V58" s="41"/>
      <c r="W58" s="41"/>
      <c r="X58" s="41"/>
      <c r="Y58" s="41"/>
      <c r="Z58" s="41"/>
    </row>
    <row r="59" ht="14.25" customHeight="1">
      <c r="A59" s="20">
        <v>58.0</v>
      </c>
      <c r="B59" s="20">
        <v>239.0</v>
      </c>
      <c r="C59" s="20">
        <v>59.0</v>
      </c>
      <c r="D59" s="20">
        <v>1.0</v>
      </c>
      <c r="E59" s="20">
        <f t="shared" si="1"/>
        <v>59</v>
      </c>
      <c r="F59" s="49">
        <v>45214.0</v>
      </c>
      <c r="G59" s="20" t="s">
        <v>36</v>
      </c>
      <c r="H59" s="20">
        <v>382.0</v>
      </c>
      <c r="I59" s="20" t="str">
        <f>VLOOKUP(B59,'товар'!$A$1:$C$433,2,FALSE)</f>
        <v>Йогурт</v>
      </c>
      <c r="J59" s="50">
        <f t="shared" si="2"/>
        <v>263.2542373</v>
      </c>
      <c r="K59" s="51">
        <f t="shared" si="3"/>
        <v>-0.77588205</v>
      </c>
      <c r="L59" s="20" t="str">
        <f>VLOOKUP(B59,'товар'!$A$1:$C$433,3,FALSE)</f>
        <v>Эрманн</v>
      </c>
      <c r="M59" s="52">
        <f t="shared" si="4"/>
        <v>248.5</v>
      </c>
      <c r="N59" s="53">
        <f>VLOOKUP(H59,'клиенты'!$A$1:$F$435,5,FALSE)</f>
        <v>44850</v>
      </c>
      <c r="O59" s="20">
        <f t="shared" si="5"/>
        <v>364</v>
      </c>
      <c r="P59" s="20" t="str">
        <f>VLOOKUP(H59,'клиенты'!$A$2:$J$435,10,FALSE)</f>
        <v>Беларусь</v>
      </c>
      <c r="Q59" s="54">
        <f t="shared" si="6"/>
        <v>46078.45901</v>
      </c>
      <c r="R59" s="55">
        <f t="shared" si="7"/>
        <v>40.94863372</v>
      </c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41">
        <v>59.0</v>
      </c>
      <c r="B60" s="41">
        <v>158.0</v>
      </c>
      <c r="C60" s="41">
        <v>87.0</v>
      </c>
      <c r="D60" s="41">
        <v>4.0</v>
      </c>
      <c r="E60" s="41">
        <f t="shared" si="1"/>
        <v>348</v>
      </c>
      <c r="F60" s="42">
        <v>45423.0</v>
      </c>
      <c r="G60" s="41" t="s">
        <v>51</v>
      </c>
      <c r="H60" s="41">
        <v>142.0</v>
      </c>
      <c r="I60" s="41" t="str">
        <f>VLOOKUP(B60,'товар'!$A$1:$C$433,2,FALSE)</f>
        <v>Сахар</v>
      </c>
      <c r="J60" s="43">
        <f t="shared" si="2"/>
        <v>252.7627119</v>
      </c>
      <c r="K60" s="44">
        <f t="shared" si="3"/>
        <v>-0.6558036612</v>
      </c>
      <c r="L60" s="41" t="str">
        <f>VLOOKUP(B60,'товар'!$A$1:$C$433,3,FALSE)</f>
        <v>Сладов</v>
      </c>
      <c r="M60" s="45">
        <f t="shared" si="4"/>
        <v>240.2666667</v>
      </c>
      <c r="N60" s="46">
        <f>VLOOKUP(H60,'клиенты'!$A$1:$F$435,5,FALSE)</f>
        <v>44683</v>
      </c>
      <c r="O60" s="41">
        <f t="shared" si="5"/>
        <v>740</v>
      </c>
      <c r="P60" s="41" t="str">
        <f>VLOOKUP(H60,'клиенты'!$A$2:$J$435,10,FALSE)</f>
        <v>Россия</v>
      </c>
      <c r="Q60" s="47">
        <f t="shared" si="6"/>
        <v>46078.45901</v>
      </c>
      <c r="R60" s="48">
        <f t="shared" si="7"/>
        <v>46.51530039</v>
      </c>
      <c r="S60" s="41"/>
      <c r="T60" s="41"/>
      <c r="U60" s="41"/>
      <c r="V60" s="41"/>
      <c r="W60" s="41"/>
      <c r="X60" s="41"/>
      <c r="Y60" s="41"/>
      <c r="Z60" s="41"/>
    </row>
    <row r="61" ht="14.25" customHeight="1">
      <c r="A61" s="20">
        <v>60.0</v>
      </c>
      <c r="B61" s="20">
        <v>147.0</v>
      </c>
      <c r="C61" s="20">
        <v>238.0</v>
      </c>
      <c r="D61" s="20">
        <v>5.0</v>
      </c>
      <c r="E61" s="20">
        <f t="shared" si="1"/>
        <v>1190</v>
      </c>
      <c r="F61" s="49">
        <v>44981.0</v>
      </c>
      <c r="G61" s="20" t="s">
        <v>41</v>
      </c>
      <c r="H61" s="20">
        <v>270.0</v>
      </c>
      <c r="I61" s="20" t="str">
        <f>VLOOKUP(B61,'товар'!$A$1:$C$433,2,FALSE)</f>
        <v>Конфеты</v>
      </c>
      <c r="J61" s="50">
        <f t="shared" si="2"/>
        <v>267.8548387</v>
      </c>
      <c r="K61" s="51">
        <f t="shared" si="3"/>
        <v>-0.1114590233</v>
      </c>
      <c r="L61" s="20" t="str">
        <f>VLOOKUP(B61,'товар'!$A$1:$C$433,3,FALSE)</f>
        <v>Бабаевский</v>
      </c>
      <c r="M61" s="52">
        <f t="shared" si="4"/>
        <v>250.2592593</v>
      </c>
      <c r="N61" s="53">
        <f>VLOOKUP(H61,'клиенты'!$A$1:$F$435,5,FALSE)</f>
        <v>44827</v>
      </c>
      <c r="O61" s="20">
        <f t="shared" si="5"/>
        <v>154</v>
      </c>
      <c r="P61" s="20" t="str">
        <f>VLOOKUP(H61,'клиенты'!$A$2:$J$435,10,FALSE)</f>
        <v>Таджикистан</v>
      </c>
      <c r="Q61" s="54">
        <f t="shared" si="6"/>
        <v>46078.45901</v>
      </c>
      <c r="R61" s="55">
        <f t="shared" si="7"/>
        <v>41.71530039</v>
      </c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41">
        <v>61.0</v>
      </c>
      <c r="B62" s="41">
        <v>311.0</v>
      </c>
      <c r="C62" s="41">
        <v>238.0</v>
      </c>
      <c r="D62" s="41">
        <v>5.0</v>
      </c>
      <c r="E62" s="41">
        <f t="shared" si="1"/>
        <v>1190</v>
      </c>
      <c r="F62" s="42">
        <v>45245.0</v>
      </c>
      <c r="G62" s="41" t="s">
        <v>41</v>
      </c>
      <c r="H62" s="41">
        <v>150.0</v>
      </c>
      <c r="I62" s="41" t="str">
        <f>VLOOKUP(B62,'товар'!$A$1:$C$433,2,FALSE)</f>
        <v>Макароны</v>
      </c>
      <c r="J62" s="43">
        <f t="shared" si="2"/>
        <v>265.4767442</v>
      </c>
      <c r="K62" s="44">
        <f t="shared" si="3"/>
        <v>-0.1034996277</v>
      </c>
      <c r="L62" s="41" t="str">
        <f>VLOOKUP(B62,'товар'!$A$1:$C$433,3,FALSE)</f>
        <v>Паста Зара</v>
      </c>
      <c r="M62" s="45">
        <f t="shared" si="4"/>
        <v>276.6756757</v>
      </c>
      <c r="N62" s="46">
        <f>VLOOKUP(H62,'клиенты'!$A$1:$F$435,5,FALSE)</f>
        <v>44622</v>
      </c>
      <c r="O62" s="41">
        <f t="shared" si="5"/>
        <v>623</v>
      </c>
      <c r="P62" s="41" t="str">
        <f>VLOOKUP(H62,'клиенты'!$A$2:$J$435,10,FALSE)</f>
        <v>Узбекистан</v>
      </c>
      <c r="Q62" s="47">
        <f t="shared" si="6"/>
        <v>46078.45901</v>
      </c>
      <c r="R62" s="48">
        <f t="shared" si="7"/>
        <v>48.54863372</v>
      </c>
      <c r="S62" s="41"/>
      <c r="T62" s="41"/>
      <c r="U62" s="41"/>
      <c r="V62" s="41"/>
      <c r="W62" s="41"/>
      <c r="X62" s="41"/>
      <c r="Y62" s="41"/>
      <c r="Z62" s="41"/>
    </row>
    <row r="63" ht="14.25" customHeight="1">
      <c r="A63" s="20">
        <v>62.0</v>
      </c>
      <c r="B63" s="20">
        <v>465.0</v>
      </c>
      <c r="C63" s="20">
        <v>311.0</v>
      </c>
      <c r="D63" s="20">
        <v>2.0</v>
      </c>
      <c r="E63" s="20">
        <f t="shared" si="1"/>
        <v>622</v>
      </c>
      <c r="F63" s="49">
        <v>44934.0</v>
      </c>
      <c r="G63" s="20" t="s">
        <v>46</v>
      </c>
      <c r="H63" s="20">
        <v>14.0</v>
      </c>
      <c r="I63" s="20" t="str">
        <f>VLOOKUP(B63,'товар'!$A$1:$C$433,2,FALSE)</f>
        <v>Йогурт</v>
      </c>
      <c r="J63" s="50">
        <f t="shared" si="2"/>
        <v>263.2542373</v>
      </c>
      <c r="K63" s="51">
        <f t="shared" si="3"/>
        <v>0.1813674994</v>
      </c>
      <c r="L63" s="20" t="str">
        <f>VLOOKUP(B63,'товар'!$A$1:$C$433,3,FALSE)</f>
        <v>Ростагроэкспорт</v>
      </c>
      <c r="M63" s="52">
        <f t="shared" si="4"/>
        <v>257.7826087</v>
      </c>
      <c r="N63" s="53">
        <f>VLOOKUP(H63,'клиенты'!$A$1:$F$435,5,FALSE)</f>
        <v>44775</v>
      </c>
      <c r="O63" s="20">
        <f t="shared" si="5"/>
        <v>159</v>
      </c>
      <c r="P63" s="20" t="str">
        <f>VLOOKUP(H63,'клиенты'!$A$2:$J$435,10,FALSE)</f>
        <v>Таджикистан</v>
      </c>
      <c r="Q63" s="54">
        <f t="shared" si="6"/>
        <v>46078.45901</v>
      </c>
      <c r="R63" s="55">
        <f t="shared" si="7"/>
        <v>43.44863372</v>
      </c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41">
        <v>63.0</v>
      </c>
      <c r="B64" s="41">
        <v>449.0</v>
      </c>
      <c r="C64" s="41">
        <v>392.0</v>
      </c>
      <c r="D64" s="41">
        <v>3.0</v>
      </c>
      <c r="E64" s="41">
        <f t="shared" si="1"/>
        <v>1176</v>
      </c>
      <c r="F64" s="42">
        <v>45267.0</v>
      </c>
      <c r="G64" s="41" t="s">
        <v>39</v>
      </c>
      <c r="H64" s="41">
        <v>371.0</v>
      </c>
      <c r="I64" s="41" t="str">
        <f>VLOOKUP(B64,'товар'!$A$1:$C$433,2,FALSE)</f>
        <v>Мясо</v>
      </c>
      <c r="J64" s="43">
        <f t="shared" si="2"/>
        <v>271.7454545</v>
      </c>
      <c r="K64" s="44">
        <f t="shared" si="3"/>
        <v>0.4425264285</v>
      </c>
      <c r="L64" s="41" t="str">
        <f>VLOOKUP(B64,'товар'!$A$1:$C$433,3,FALSE)</f>
        <v>Агрокомплекс</v>
      </c>
      <c r="M64" s="45">
        <f t="shared" si="4"/>
        <v>311.2</v>
      </c>
      <c r="N64" s="46">
        <f>VLOOKUP(H64,'клиенты'!$A$1:$F$435,5,FALSE)</f>
        <v>44844</v>
      </c>
      <c r="O64" s="41">
        <f t="shared" si="5"/>
        <v>423</v>
      </c>
      <c r="P64" s="41" t="str">
        <f>VLOOKUP(H64,'клиенты'!$A$2:$J$435,10,FALSE)</f>
        <v>Украина</v>
      </c>
      <c r="Q64" s="47">
        <f t="shared" si="6"/>
        <v>46078.45901</v>
      </c>
      <c r="R64" s="48">
        <f t="shared" si="7"/>
        <v>41.14863372</v>
      </c>
      <c r="S64" s="41"/>
      <c r="T64" s="41"/>
      <c r="U64" s="41"/>
      <c r="V64" s="41"/>
      <c r="W64" s="41"/>
      <c r="X64" s="41"/>
      <c r="Y64" s="41"/>
      <c r="Z64" s="41"/>
    </row>
    <row r="65" ht="14.25" customHeight="1">
      <c r="A65" s="20">
        <v>64.0</v>
      </c>
      <c r="B65" s="20">
        <v>144.0</v>
      </c>
      <c r="C65" s="20">
        <v>473.0</v>
      </c>
      <c r="D65" s="20">
        <v>5.0</v>
      </c>
      <c r="E65" s="20">
        <f t="shared" si="1"/>
        <v>2365</v>
      </c>
      <c r="F65" s="49">
        <v>45280.0</v>
      </c>
      <c r="G65" s="20" t="s">
        <v>48</v>
      </c>
      <c r="H65" s="20">
        <v>328.0</v>
      </c>
      <c r="I65" s="20" t="str">
        <f>VLOOKUP(B65,'товар'!$A$1:$C$433,2,FALSE)</f>
        <v>Макароны</v>
      </c>
      <c r="J65" s="50">
        <f t="shared" si="2"/>
        <v>265.4767442</v>
      </c>
      <c r="K65" s="51">
        <f t="shared" si="3"/>
        <v>0.7817003197</v>
      </c>
      <c r="L65" s="20" t="str">
        <f>VLOOKUP(B65,'товар'!$A$1:$C$433,3,FALSE)</f>
        <v>Роллтон</v>
      </c>
      <c r="M65" s="52">
        <f t="shared" si="4"/>
        <v>235.5555556</v>
      </c>
      <c r="N65" s="53">
        <f>VLOOKUP(H65,'клиенты'!$A$1:$F$435,5,FALSE)</f>
        <v>44568</v>
      </c>
      <c r="O65" s="20">
        <f t="shared" si="5"/>
        <v>712</v>
      </c>
      <c r="P65" s="20" t="str">
        <f>VLOOKUP(H65,'клиенты'!$A$2:$J$435,10,FALSE)</f>
        <v>Россия</v>
      </c>
      <c r="Q65" s="54">
        <f t="shared" si="6"/>
        <v>46078.45901</v>
      </c>
      <c r="R65" s="55">
        <f t="shared" si="7"/>
        <v>50.34863372</v>
      </c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41">
        <v>65.0</v>
      </c>
      <c r="B66" s="41">
        <v>375.0</v>
      </c>
      <c r="C66" s="41">
        <v>231.0</v>
      </c>
      <c r="D66" s="41">
        <v>2.0</v>
      </c>
      <c r="E66" s="41">
        <f t="shared" si="1"/>
        <v>462</v>
      </c>
      <c r="F66" s="42">
        <v>45114.0</v>
      </c>
      <c r="G66" s="41" t="s">
        <v>35</v>
      </c>
      <c r="H66" s="41">
        <v>171.0</v>
      </c>
      <c r="I66" s="41" t="str">
        <f>VLOOKUP(B66,'товар'!$A$1:$C$433,2,FALSE)</f>
        <v>Макароны</v>
      </c>
      <c r="J66" s="43">
        <f t="shared" si="2"/>
        <v>265.4767442</v>
      </c>
      <c r="K66" s="44">
        <f t="shared" si="3"/>
        <v>-0.1298672857</v>
      </c>
      <c r="L66" s="41" t="str">
        <f>VLOOKUP(B66,'товар'!$A$1:$C$433,3,FALSE)</f>
        <v>Борилла</v>
      </c>
      <c r="M66" s="45">
        <f t="shared" si="4"/>
        <v>236.2758621</v>
      </c>
      <c r="N66" s="46">
        <f>VLOOKUP(H66,'клиенты'!$A$1:$F$435,5,FALSE)</f>
        <v>44710</v>
      </c>
      <c r="O66" s="41">
        <f t="shared" si="5"/>
        <v>404</v>
      </c>
      <c r="P66" s="41" t="str">
        <f>VLOOKUP(H66,'клиенты'!$A$2:$J$435,10,FALSE)</f>
        <v>Россия</v>
      </c>
      <c r="Q66" s="47">
        <f t="shared" si="6"/>
        <v>46078.45901</v>
      </c>
      <c r="R66" s="48">
        <f t="shared" si="7"/>
        <v>45.61530039</v>
      </c>
      <c r="S66" s="41"/>
      <c r="T66" s="41"/>
      <c r="U66" s="41"/>
      <c r="V66" s="41"/>
      <c r="W66" s="41"/>
      <c r="X66" s="41"/>
      <c r="Y66" s="41"/>
      <c r="Z66" s="41"/>
    </row>
    <row r="67" ht="14.25" customHeight="1">
      <c r="A67" s="20">
        <v>66.0</v>
      </c>
      <c r="B67" s="20">
        <v>408.0</v>
      </c>
      <c r="C67" s="20">
        <v>438.0</v>
      </c>
      <c r="D67" s="20">
        <v>3.0</v>
      </c>
      <c r="E67" s="20">
        <f t="shared" si="1"/>
        <v>1314</v>
      </c>
      <c r="F67" s="49">
        <v>44973.0</v>
      </c>
      <c r="G67" s="20" t="s">
        <v>39</v>
      </c>
      <c r="H67" s="20">
        <v>68.0</v>
      </c>
      <c r="I67" s="20" t="str">
        <f>VLOOKUP(B67,'товар'!$A$1:$C$433,2,FALSE)</f>
        <v>Йогурт</v>
      </c>
      <c r="J67" s="50">
        <f t="shared" si="2"/>
        <v>263.2542373</v>
      </c>
      <c r="K67" s="51">
        <f t="shared" si="3"/>
        <v>0.6637908833</v>
      </c>
      <c r="L67" s="20" t="str">
        <f>VLOOKUP(B67,'товар'!$A$1:$C$433,3,FALSE)</f>
        <v>Эрманн</v>
      </c>
      <c r="M67" s="52">
        <f t="shared" si="4"/>
        <v>248.5</v>
      </c>
      <c r="N67" s="53">
        <f>VLOOKUP(H67,'клиенты'!$A$1:$F$435,5,FALSE)</f>
        <v>44882</v>
      </c>
      <c r="O67" s="20">
        <f t="shared" si="5"/>
        <v>91</v>
      </c>
      <c r="P67" s="20" t="str">
        <f>VLOOKUP(H67,'клиенты'!$A$2:$J$435,10,FALSE)</f>
        <v>Узбекистан</v>
      </c>
      <c r="Q67" s="54">
        <f t="shared" si="6"/>
        <v>46078.45901</v>
      </c>
      <c r="R67" s="55">
        <f t="shared" si="7"/>
        <v>39.88196706</v>
      </c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41">
        <v>67.0</v>
      </c>
      <c r="B68" s="41">
        <v>425.0</v>
      </c>
      <c r="C68" s="41">
        <v>365.0</v>
      </c>
      <c r="D68" s="41">
        <v>2.0</v>
      </c>
      <c r="E68" s="41">
        <f t="shared" si="1"/>
        <v>730</v>
      </c>
      <c r="F68" s="42">
        <v>44989.0</v>
      </c>
      <c r="G68" s="41" t="s">
        <v>54</v>
      </c>
      <c r="H68" s="41">
        <v>346.0</v>
      </c>
      <c r="I68" s="41" t="str">
        <f>VLOOKUP(B68,'товар'!$A$1:$C$433,2,FALSE)</f>
        <v>Соль</v>
      </c>
      <c r="J68" s="43">
        <f t="shared" si="2"/>
        <v>264.8679245</v>
      </c>
      <c r="K68" s="44">
        <f t="shared" si="3"/>
        <v>0.3780453056</v>
      </c>
      <c r="L68" s="41" t="str">
        <f>VLOOKUP(B68,'товар'!$A$1:$C$433,3,FALSE)</f>
        <v>Экстра</v>
      </c>
      <c r="M68" s="45">
        <f t="shared" si="4"/>
        <v>320.8461538</v>
      </c>
      <c r="N68" s="46">
        <f>VLOOKUP(H68,'клиенты'!$A$1:$F$435,5,FALSE)</f>
        <v>44636</v>
      </c>
      <c r="O68" s="41">
        <f t="shared" si="5"/>
        <v>353</v>
      </c>
      <c r="P68" s="41" t="str">
        <f>VLOOKUP(H68,'клиенты'!$A$2:$J$435,10,FALSE)</f>
        <v>Россия</v>
      </c>
      <c r="Q68" s="47">
        <f t="shared" si="6"/>
        <v>46078.45901</v>
      </c>
      <c r="R68" s="48">
        <f t="shared" si="7"/>
        <v>48.08196706</v>
      </c>
      <c r="S68" s="41"/>
      <c r="T68" s="41"/>
      <c r="U68" s="41"/>
      <c r="V68" s="41"/>
      <c r="W68" s="41"/>
      <c r="X68" s="41"/>
      <c r="Y68" s="41"/>
      <c r="Z68" s="41"/>
    </row>
    <row r="69" ht="14.25" customHeight="1">
      <c r="A69" s="20">
        <v>68.0</v>
      </c>
      <c r="B69" s="20">
        <v>277.0</v>
      </c>
      <c r="C69" s="20">
        <v>324.0</v>
      </c>
      <c r="D69" s="20">
        <v>2.0</v>
      </c>
      <c r="E69" s="20">
        <f t="shared" si="1"/>
        <v>648</v>
      </c>
      <c r="F69" s="49">
        <v>45287.0</v>
      </c>
      <c r="G69" s="20" t="s">
        <v>54</v>
      </c>
      <c r="H69" s="20">
        <v>415.0</v>
      </c>
      <c r="I69" s="20" t="str">
        <f>VLOOKUP(B69,'товар'!$A$1:$C$433,2,FALSE)</f>
        <v>Чай</v>
      </c>
      <c r="J69" s="50">
        <f t="shared" si="2"/>
        <v>271.1818182</v>
      </c>
      <c r="K69" s="51">
        <f t="shared" si="3"/>
        <v>0.1947703654</v>
      </c>
      <c r="L69" s="20" t="str">
        <f>VLOOKUP(B69,'товар'!$A$1:$C$433,3,FALSE)</f>
        <v>Greenfield</v>
      </c>
      <c r="M69" s="52">
        <f t="shared" si="4"/>
        <v>291.4545455</v>
      </c>
      <c r="N69" s="53">
        <f>VLOOKUP(H69,'клиенты'!$A$1:$F$435,5,FALSE)</f>
        <v>44661</v>
      </c>
      <c r="O69" s="20">
        <f t="shared" si="5"/>
        <v>626</v>
      </c>
      <c r="P69" s="20" t="str">
        <f>VLOOKUP(H69,'клиенты'!$A$2:$J$435,10,FALSE)</f>
        <v>Украина</v>
      </c>
      <c r="Q69" s="54">
        <f t="shared" si="6"/>
        <v>46078.45901</v>
      </c>
      <c r="R69" s="55">
        <f t="shared" si="7"/>
        <v>47.24863372</v>
      </c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41">
        <v>69.0</v>
      </c>
      <c r="B70" s="41">
        <v>130.0</v>
      </c>
      <c r="C70" s="41">
        <v>208.0</v>
      </c>
      <c r="D70" s="41">
        <v>5.0</v>
      </c>
      <c r="E70" s="41">
        <f t="shared" si="1"/>
        <v>1040</v>
      </c>
      <c r="F70" s="42">
        <v>44975.0</v>
      </c>
      <c r="G70" s="41" t="s">
        <v>41</v>
      </c>
      <c r="H70" s="41">
        <v>115.0</v>
      </c>
      <c r="I70" s="41" t="str">
        <f>VLOOKUP(B70,'товар'!$A$1:$C$433,2,FALSE)</f>
        <v>Соль</v>
      </c>
      <c r="J70" s="43">
        <f t="shared" si="2"/>
        <v>264.8679245</v>
      </c>
      <c r="K70" s="44">
        <f t="shared" si="3"/>
        <v>-0.2147029491</v>
      </c>
      <c r="L70" s="41" t="str">
        <f>VLOOKUP(B70,'товар'!$A$1:$C$433,3,FALSE)</f>
        <v>Илецкая</v>
      </c>
      <c r="M70" s="45">
        <f t="shared" si="4"/>
        <v>238.1666667</v>
      </c>
      <c r="N70" s="46">
        <f>VLOOKUP(H70,'клиенты'!$A$1:$F$435,5,FALSE)</f>
        <v>44832</v>
      </c>
      <c r="O70" s="41">
        <f t="shared" si="5"/>
        <v>143</v>
      </c>
      <c r="P70" s="41" t="str">
        <f>VLOOKUP(H70,'клиенты'!$A$2:$J$435,10,FALSE)</f>
        <v>Беларусь</v>
      </c>
      <c r="Q70" s="47">
        <f t="shared" si="6"/>
        <v>46078.45901</v>
      </c>
      <c r="R70" s="48">
        <f t="shared" si="7"/>
        <v>41.54863372</v>
      </c>
      <c r="S70" s="41"/>
      <c r="T70" s="41"/>
      <c r="U70" s="41"/>
      <c r="V70" s="41"/>
      <c r="W70" s="41"/>
      <c r="X70" s="41"/>
      <c r="Y70" s="41"/>
      <c r="Z70" s="41"/>
    </row>
    <row r="71" ht="14.25" customHeight="1">
      <c r="A71" s="20">
        <v>70.0</v>
      </c>
      <c r="B71" s="20">
        <v>337.0</v>
      </c>
      <c r="C71" s="20">
        <v>115.0</v>
      </c>
      <c r="D71" s="20">
        <v>3.0</v>
      </c>
      <c r="E71" s="20">
        <f t="shared" si="1"/>
        <v>345</v>
      </c>
      <c r="F71" s="49">
        <v>45046.0</v>
      </c>
      <c r="G71" s="20" t="s">
        <v>45</v>
      </c>
      <c r="H71" s="20">
        <v>42.0</v>
      </c>
      <c r="I71" s="20" t="str">
        <f>VLOOKUP(B71,'товар'!$A$1:$C$433,2,FALSE)</f>
        <v>Макароны</v>
      </c>
      <c r="J71" s="50">
        <f t="shared" si="2"/>
        <v>265.4767442</v>
      </c>
      <c r="K71" s="51">
        <f t="shared" si="3"/>
        <v>-0.566817047</v>
      </c>
      <c r="L71" s="20" t="str">
        <f>VLOOKUP(B71,'товар'!$A$1:$C$433,3,FALSE)</f>
        <v>Паста Зара</v>
      </c>
      <c r="M71" s="52">
        <f t="shared" si="4"/>
        <v>276.6756757</v>
      </c>
      <c r="N71" s="53">
        <f>VLOOKUP(H71,'клиенты'!$A$1:$F$435,5,FALSE)</f>
        <v>44783</v>
      </c>
      <c r="O71" s="20">
        <f t="shared" si="5"/>
        <v>263</v>
      </c>
      <c r="P71" s="20" t="str">
        <f>VLOOKUP(H71,'клиенты'!$A$2:$J$435,10,FALSE)</f>
        <v>Таджикистан</v>
      </c>
      <c r="Q71" s="54">
        <f t="shared" si="6"/>
        <v>46078.45901</v>
      </c>
      <c r="R71" s="55">
        <f t="shared" si="7"/>
        <v>43.18196706</v>
      </c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41">
        <v>71.0</v>
      </c>
      <c r="B72" s="41">
        <v>30.0</v>
      </c>
      <c r="C72" s="41">
        <v>261.0</v>
      </c>
      <c r="D72" s="41">
        <v>1.0</v>
      </c>
      <c r="E72" s="41">
        <f t="shared" si="1"/>
        <v>261</v>
      </c>
      <c r="F72" s="42">
        <v>45000.0</v>
      </c>
      <c r="G72" s="41" t="s">
        <v>50</v>
      </c>
      <c r="H72" s="41">
        <v>378.0</v>
      </c>
      <c r="I72" s="41" t="str">
        <f>VLOOKUP(B72,'товар'!$A$1:$C$433,2,FALSE)</f>
        <v>Чипсы</v>
      </c>
      <c r="J72" s="43">
        <f t="shared" si="2"/>
        <v>273.7254902</v>
      </c>
      <c r="K72" s="44">
        <f t="shared" si="3"/>
        <v>-0.04648997135</v>
      </c>
      <c r="L72" s="41" t="str">
        <f>VLOOKUP(B72,'товар'!$A$1:$C$433,3,FALSE)</f>
        <v>Pringles</v>
      </c>
      <c r="M72" s="45">
        <f t="shared" si="4"/>
        <v>280.2380952</v>
      </c>
      <c r="N72" s="46">
        <f>VLOOKUP(H72,'клиенты'!$A$1:$F$435,5,FALSE)</f>
        <v>44710</v>
      </c>
      <c r="O72" s="41">
        <f t="shared" si="5"/>
        <v>290</v>
      </c>
      <c r="P72" s="41" t="str">
        <f>VLOOKUP(H72,'клиенты'!$A$2:$J$435,10,FALSE)</f>
        <v>Россия</v>
      </c>
      <c r="Q72" s="47">
        <f t="shared" si="6"/>
        <v>46078.45901</v>
      </c>
      <c r="R72" s="48">
        <f t="shared" si="7"/>
        <v>45.61530039</v>
      </c>
      <c r="S72" s="41"/>
      <c r="T72" s="41"/>
      <c r="U72" s="41"/>
      <c r="V72" s="41"/>
      <c r="W72" s="41"/>
      <c r="X72" s="41"/>
      <c r="Y72" s="41"/>
      <c r="Z72" s="41"/>
    </row>
    <row r="73" ht="14.25" customHeight="1">
      <c r="A73" s="20">
        <v>72.0</v>
      </c>
      <c r="B73" s="20">
        <v>75.0</v>
      </c>
      <c r="C73" s="20">
        <v>257.0</v>
      </c>
      <c r="D73" s="20">
        <v>2.0</v>
      </c>
      <c r="E73" s="20">
        <f t="shared" si="1"/>
        <v>514</v>
      </c>
      <c r="F73" s="49">
        <v>45306.0</v>
      </c>
      <c r="G73" s="20" t="s">
        <v>36</v>
      </c>
      <c r="H73" s="20">
        <v>449.0</v>
      </c>
      <c r="I73" s="20" t="str">
        <f>VLOOKUP(B73,'товар'!$A$1:$C$433,2,FALSE)</f>
        <v>Печенье</v>
      </c>
      <c r="J73" s="50">
        <f t="shared" si="2"/>
        <v>283.4680851</v>
      </c>
      <c r="K73" s="51">
        <f t="shared" si="3"/>
        <v>-0.09337236358</v>
      </c>
      <c r="L73" s="20" t="str">
        <f>VLOOKUP(B73,'товар'!$A$1:$C$433,3,FALSE)</f>
        <v>Белогорье</v>
      </c>
      <c r="M73" s="52">
        <f t="shared" si="4"/>
        <v>249.5</v>
      </c>
      <c r="N73" s="53">
        <f>VLOOKUP(H73,'клиенты'!$A$1:$F$435,5,FALSE)</f>
        <v>44645</v>
      </c>
      <c r="O73" s="20">
        <f t="shared" si="5"/>
        <v>661</v>
      </c>
      <c r="P73" s="20" t="str">
        <f>VLOOKUP(H73,'клиенты'!$A$2:$J$435,10,FALSE)</f>
        <v>Таджикистан</v>
      </c>
      <c r="Q73" s="54">
        <f t="shared" si="6"/>
        <v>46078.45901</v>
      </c>
      <c r="R73" s="55">
        <f t="shared" si="7"/>
        <v>47.78196706</v>
      </c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41">
        <v>73.0</v>
      </c>
      <c r="B74" s="41">
        <v>118.0</v>
      </c>
      <c r="C74" s="41">
        <v>459.0</v>
      </c>
      <c r="D74" s="41">
        <v>2.0</v>
      </c>
      <c r="E74" s="41">
        <f t="shared" si="1"/>
        <v>918</v>
      </c>
      <c r="F74" s="42">
        <v>44993.0</v>
      </c>
      <c r="G74" s="41" t="s">
        <v>48</v>
      </c>
      <c r="H74" s="41">
        <v>318.0</v>
      </c>
      <c r="I74" s="41" t="str">
        <f>VLOOKUP(B74,'товар'!$A$1:$C$433,2,FALSE)</f>
        <v>Сахар</v>
      </c>
      <c r="J74" s="43">
        <f t="shared" si="2"/>
        <v>252.7627119</v>
      </c>
      <c r="K74" s="44">
        <f t="shared" si="3"/>
        <v>0.815932408</v>
      </c>
      <c r="L74" s="41" t="str">
        <f>VLOOKUP(B74,'товар'!$A$1:$C$433,3,FALSE)</f>
        <v>Продимекс</v>
      </c>
      <c r="M74" s="45">
        <f t="shared" si="4"/>
        <v>240.5</v>
      </c>
      <c r="N74" s="46">
        <f>VLOOKUP(H74,'клиенты'!$A$1:$F$435,5,FALSE)</f>
        <v>44892</v>
      </c>
      <c r="O74" s="41">
        <f t="shared" si="5"/>
        <v>101</v>
      </c>
      <c r="P74" s="41" t="str">
        <f>VLOOKUP(H74,'клиенты'!$A$2:$J$435,10,FALSE)</f>
        <v>Узбекистан</v>
      </c>
      <c r="Q74" s="47">
        <f t="shared" si="6"/>
        <v>46078.45901</v>
      </c>
      <c r="R74" s="48">
        <f t="shared" si="7"/>
        <v>39.54863372</v>
      </c>
      <c r="S74" s="41"/>
      <c r="T74" s="41"/>
      <c r="U74" s="41"/>
      <c r="V74" s="41"/>
      <c r="W74" s="41"/>
      <c r="X74" s="41"/>
      <c r="Y74" s="41"/>
      <c r="Z74" s="41"/>
    </row>
    <row r="75" ht="14.25" customHeight="1">
      <c r="A75" s="20">
        <v>74.0</v>
      </c>
      <c r="B75" s="20">
        <v>19.0</v>
      </c>
      <c r="C75" s="20">
        <v>112.0</v>
      </c>
      <c r="D75" s="20">
        <v>4.0</v>
      </c>
      <c r="E75" s="20">
        <f t="shared" si="1"/>
        <v>448</v>
      </c>
      <c r="F75" s="49">
        <v>45360.0</v>
      </c>
      <c r="G75" s="20" t="s">
        <v>48</v>
      </c>
      <c r="H75" s="20">
        <v>317.0</v>
      </c>
      <c r="I75" s="20" t="str">
        <f>VLOOKUP(B75,'товар'!$A$1:$C$433,2,FALSE)</f>
        <v>Мясо</v>
      </c>
      <c r="J75" s="50">
        <f t="shared" si="2"/>
        <v>271.7454545</v>
      </c>
      <c r="K75" s="51">
        <f t="shared" si="3"/>
        <v>-0.5878495919</v>
      </c>
      <c r="L75" s="20" t="str">
        <f>VLOOKUP(B75,'товар'!$A$1:$C$433,3,FALSE)</f>
        <v>Снежана</v>
      </c>
      <c r="M75" s="52">
        <f t="shared" si="4"/>
        <v>272.3529412</v>
      </c>
      <c r="N75" s="53">
        <f>VLOOKUP(H75,'клиенты'!$A$1:$F$435,5,FALSE)</f>
        <v>44770</v>
      </c>
      <c r="O75" s="20">
        <f t="shared" si="5"/>
        <v>590</v>
      </c>
      <c r="P75" s="20" t="str">
        <f>VLOOKUP(H75,'клиенты'!$A$2:$J$435,10,FALSE)</f>
        <v>Россия</v>
      </c>
      <c r="Q75" s="54">
        <f t="shared" si="6"/>
        <v>46078.45901</v>
      </c>
      <c r="R75" s="55">
        <f t="shared" si="7"/>
        <v>43.61530039</v>
      </c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41">
        <v>75.0</v>
      </c>
      <c r="B76" s="41">
        <v>204.0</v>
      </c>
      <c r="C76" s="41">
        <v>491.0</v>
      </c>
      <c r="D76" s="41">
        <v>4.0</v>
      </c>
      <c r="E76" s="41">
        <f t="shared" si="1"/>
        <v>1964</v>
      </c>
      <c r="F76" s="42">
        <v>44930.0</v>
      </c>
      <c r="G76" s="41" t="s">
        <v>35</v>
      </c>
      <c r="H76" s="41">
        <v>426.0</v>
      </c>
      <c r="I76" s="41" t="str">
        <f>VLOOKUP(B76,'товар'!$A$1:$C$433,2,FALSE)</f>
        <v>Печенье</v>
      </c>
      <c r="J76" s="43">
        <f t="shared" si="2"/>
        <v>283.4680851</v>
      </c>
      <c r="K76" s="44">
        <f t="shared" si="3"/>
        <v>0.732117391</v>
      </c>
      <c r="L76" s="41" t="str">
        <f>VLOOKUP(B76,'товар'!$A$1:$C$433,3,FALSE)</f>
        <v>Юбилейное</v>
      </c>
      <c r="M76" s="45">
        <f t="shared" si="4"/>
        <v>232.4444444</v>
      </c>
      <c r="N76" s="46">
        <f>VLOOKUP(H76,'клиенты'!$A$1:$F$435,5,FALSE)</f>
        <v>44768</v>
      </c>
      <c r="O76" s="41">
        <f t="shared" si="5"/>
        <v>162</v>
      </c>
      <c r="P76" s="41" t="str">
        <f>VLOOKUP(H76,'клиенты'!$A$2:$J$435,10,FALSE)</f>
        <v>Таджикистан</v>
      </c>
      <c r="Q76" s="47">
        <f t="shared" si="6"/>
        <v>46078.45901</v>
      </c>
      <c r="R76" s="48">
        <f t="shared" si="7"/>
        <v>43.68196706</v>
      </c>
      <c r="S76" s="41"/>
      <c r="T76" s="41"/>
      <c r="U76" s="41"/>
      <c r="V76" s="41"/>
      <c r="W76" s="41"/>
      <c r="X76" s="41"/>
      <c r="Y76" s="41"/>
      <c r="Z76" s="41"/>
    </row>
    <row r="77" ht="14.25" customHeight="1">
      <c r="A77" s="20">
        <v>76.0</v>
      </c>
      <c r="B77" s="20">
        <v>304.0</v>
      </c>
      <c r="C77" s="20">
        <v>162.0</v>
      </c>
      <c r="D77" s="20">
        <v>1.0</v>
      </c>
      <c r="E77" s="20">
        <f t="shared" si="1"/>
        <v>162</v>
      </c>
      <c r="F77" s="49">
        <v>45316.0</v>
      </c>
      <c r="G77" s="20" t="s">
        <v>41</v>
      </c>
      <c r="H77" s="20">
        <v>25.0</v>
      </c>
      <c r="I77" s="20" t="str">
        <f>VLOOKUP(B77,'товар'!$A$1:$C$433,2,FALSE)</f>
        <v>Конфеты</v>
      </c>
      <c r="J77" s="50">
        <f t="shared" si="2"/>
        <v>267.8548387</v>
      </c>
      <c r="K77" s="51">
        <f t="shared" si="3"/>
        <v>-0.3951947974</v>
      </c>
      <c r="L77" s="20" t="str">
        <f>VLOOKUP(B77,'товар'!$A$1:$C$433,3,FALSE)</f>
        <v>Рот Фронт</v>
      </c>
      <c r="M77" s="52">
        <f t="shared" si="4"/>
        <v>288.2380952</v>
      </c>
      <c r="N77" s="53">
        <f>VLOOKUP(H77,'клиенты'!$A$1:$F$435,5,FALSE)</f>
        <v>44582</v>
      </c>
      <c r="O77" s="20">
        <f t="shared" si="5"/>
        <v>734</v>
      </c>
      <c r="P77" s="20" t="str">
        <f>VLOOKUP(H77,'клиенты'!$A$2:$J$435,10,FALSE)</f>
        <v>Таджикистан</v>
      </c>
      <c r="Q77" s="54">
        <f t="shared" si="6"/>
        <v>46078.45901</v>
      </c>
      <c r="R77" s="55">
        <f t="shared" si="7"/>
        <v>49.88196706</v>
      </c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41">
        <v>77.0</v>
      </c>
      <c r="B78" s="41">
        <v>189.0</v>
      </c>
      <c r="C78" s="41">
        <v>278.0</v>
      </c>
      <c r="D78" s="41">
        <v>2.0</v>
      </c>
      <c r="E78" s="41">
        <f t="shared" si="1"/>
        <v>556</v>
      </c>
      <c r="F78" s="42">
        <v>45109.0</v>
      </c>
      <c r="G78" s="41" t="s">
        <v>44</v>
      </c>
      <c r="H78" s="41">
        <v>462.0</v>
      </c>
      <c r="I78" s="41" t="str">
        <f>VLOOKUP(B78,'товар'!$A$1:$C$433,2,FALSE)</f>
        <v>Хлеб</v>
      </c>
      <c r="J78" s="43">
        <f t="shared" si="2"/>
        <v>300.3181818</v>
      </c>
      <c r="K78" s="44">
        <f t="shared" si="3"/>
        <v>-0.07431512033</v>
      </c>
      <c r="L78" s="41" t="str">
        <f>VLOOKUP(B78,'товар'!$A$1:$C$433,3,FALSE)</f>
        <v>Дарница</v>
      </c>
      <c r="M78" s="45">
        <f t="shared" si="4"/>
        <v>264</v>
      </c>
      <c r="N78" s="46">
        <f>VLOOKUP(H78,'клиенты'!$A$1:$F$435,5,FALSE)</f>
        <v>44751</v>
      </c>
      <c r="O78" s="41">
        <f t="shared" si="5"/>
        <v>358</v>
      </c>
      <c r="P78" s="41" t="str">
        <f>VLOOKUP(H78,'клиенты'!$A$2:$J$435,10,FALSE)</f>
        <v>Россия</v>
      </c>
      <c r="Q78" s="47">
        <f t="shared" si="6"/>
        <v>46078.45901</v>
      </c>
      <c r="R78" s="48">
        <f t="shared" si="7"/>
        <v>44.24863372</v>
      </c>
      <c r="S78" s="41"/>
      <c r="T78" s="41"/>
      <c r="U78" s="41"/>
      <c r="V78" s="41"/>
      <c r="W78" s="41"/>
      <c r="X78" s="41"/>
      <c r="Y78" s="41"/>
      <c r="Z78" s="41"/>
    </row>
    <row r="79" ht="14.25" customHeight="1">
      <c r="A79" s="20">
        <v>78.0</v>
      </c>
      <c r="B79" s="20">
        <v>392.0</v>
      </c>
      <c r="C79" s="20">
        <v>484.0</v>
      </c>
      <c r="D79" s="20">
        <v>4.0</v>
      </c>
      <c r="E79" s="20">
        <f t="shared" si="1"/>
        <v>1936</v>
      </c>
      <c r="F79" s="49">
        <v>45302.0</v>
      </c>
      <c r="G79" s="20" t="s">
        <v>37</v>
      </c>
      <c r="H79" s="20">
        <v>252.0</v>
      </c>
      <c r="I79" s="20" t="str">
        <f>VLOOKUP(B79,'товар'!$A$1:$C$433,2,FALSE)</f>
        <v>Кофе</v>
      </c>
      <c r="J79" s="50">
        <f t="shared" si="2"/>
        <v>249.0238095</v>
      </c>
      <c r="K79" s="51">
        <f t="shared" si="3"/>
        <v>0.9435892533</v>
      </c>
      <c r="L79" s="20" t="str">
        <f>VLOOKUP(B79,'товар'!$A$1:$C$433,3,FALSE)</f>
        <v>Черная Карта</v>
      </c>
      <c r="M79" s="52">
        <f t="shared" si="4"/>
        <v>222.2</v>
      </c>
      <c r="N79" s="53">
        <f>VLOOKUP(H79,'клиенты'!$A$1:$F$435,5,FALSE)</f>
        <v>44643</v>
      </c>
      <c r="O79" s="20">
        <f t="shared" si="5"/>
        <v>659</v>
      </c>
      <c r="P79" s="20" t="str">
        <f>VLOOKUP(H79,'клиенты'!$A$2:$J$435,10,FALSE)</f>
        <v>Россия</v>
      </c>
      <c r="Q79" s="54">
        <f t="shared" si="6"/>
        <v>46078.45901</v>
      </c>
      <c r="R79" s="55">
        <f t="shared" si="7"/>
        <v>47.84863372</v>
      </c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41">
        <v>79.0</v>
      </c>
      <c r="B80" s="41">
        <v>10.0</v>
      </c>
      <c r="C80" s="41">
        <v>53.0</v>
      </c>
      <c r="D80" s="41">
        <v>1.0</v>
      </c>
      <c r="E80" s="41">
        <f t="shared" si="1"/>
        <v>53</v>
      </c>
      <c r="F80" s="42">
        <v>45164.0</v>
      </c>
      <c r="G80" s="41" t="s">
        <v>36</v>
      </c>
      <c r="H80" s="41">
        <v>392.0</v>
      </c>
      <c r="I80" s="41" t="str">
        <f>VLOOKUP(B80,'товар'!$A$1:$C$433,2,FALSE)</f>
        <v>Сок</v>
      </c>
      <c r="J80" s="43">
        <f t="shared" si="2"/>
        <v>268.6034483</v>
      </c>
      <c r="K80" s="44">
        <f t="shared" si="3"/>
        <v>-0.802683099</v>
      </c>
      <c r="L80" s="41" t="str">
        <f>VLOOKUP(B80,'товар'!$A$1:$C$433,3,FALSE)</f>
        <v>Фруктовый сад</v>
      </c>
      <c r="M80" s="45">
        <f t="shared" si="4"/>
        <v>281.96875</v>
      </c>
      <c r="N80" s="46">
        <f>VLOOKUP(H80,'клиенты'!$A$1:$F$435,5,FALSE)</f>
        <v>44919</v>
      </c>
      <c r="O80" s="41">
        <f t="shared" si="5"/>
        <v>245</v>
      </c>
      <c r="P80" s="41" t="str">
        <f>VLOOKUP(H80,'клиенты'!$A$2:$J$435,10,FALSE)</f>
        <v>Россия</v>
      </c>
      <c r="Q80" s="47">
        <f t="shared" si="6"/>
        <v>46078.45901</v>
      </c>
      <c r="R80" s="48">
        <f t="shared" si="7"/>
        <v>38.64863372</v>
      </c>
      <c r="S80" s="41"/>
      <c r="T80" s="41"/>
      <c r="U80" s="41"/>
      <c r="V80" s="41"/>
      <c r="W80" s="41"/>
      <c r="X80" s="41"/>
      <c r="Y80" s="41"/>
      <c r="Z80" s="41"/>
    </row>
    <row r="81" ht="14.25" customHeight="1">
      <c r="A81" s="20">
        <v>80.0</v>
      </c>
      <c r="B81" s="20">
        <v>64.0</v>
      </c>
      <c r="C81" s="20">
        <v>131.0</v>
      </c>
      <c r="D81" s="20">
        <v>5.0</v>
      </c>
      <c r="E81" s="20">
        <f t="shared" si="1"/>
        <v>655</v>
      </c>
      <c r="F81" s="49">
        <v>44946.0</v>
      </c>
      <c r="G81" s="20" t="s">
        <v>41</v>
      </c>
      <c r="H81" s="20">
        <v>487.0</v>
      </c>
      <c r="I81" s="20" t="str">
        <f>VLOOKUP(B81,'товар'!$A$1:$C$433,2,FALSE)</f>
        <v>Колбаса</v>
      </c>
      <c r="J81" s="50">
        <f t="shared" si="2"/>
        <v>286.9230769</v>
      </c>
      <c r="K81" s="51">
        <f t="shared" si="3"/>
        <v>-0.5434316354</v>
      </c>
      <c r="L81" s="20" t="str">
        <f>VLOOKUP(B81,'товар'!$A$1:$C$433,3,FALSE)</f>
        <v>Окраина</v>
      </c>
      <c r="M81" s="52">
        <f t="shared" si="4"/>
        <v>273.5833333</v>
      </c>
      <c r="N81" s="53">
        <f>VLOOKUP(H81,'клиенты'!$A$1:$F$435,5,FALSE)</f>
        <v>44815</v>
      </c>
      <c r="O81" s="20">
        <f t="shared" si="5"/>
        <v>131</v>
      </c>
      <c r="P81" s="20" t="str">
        <f>VLOOKUP(H81,'клиенты'!$A$2:$J$435,10,FALSE)</f>
        <v>Россия</v>
      </c>
      <c r="Q81" s="54">
        <f t="shared" si="6"/>
        <v>46078.45901</v>
      </c>
      <c r="R81" s="55">
        <f t="shared" si="7"/>
        <v>42.11530039</v>
      </c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41">
        <v>81.0</v>
      </c>
      <c r="B82" s="41">
        <v>116.0</v>
      </c>
      <c r="C82" s="41">
        <v>120.0</v>
      </c>
      <c r="D82" s="41">
        <v>2.0</v>
      </c>
      <c r="E82" s="41">
        <f t="shared" si="1"/>
        <v>240</v>
      </c>
      <c r="F82" s="42">
        <v>45326.0</v>
      </c>
      <c r="G82" s="41" t="s">
        <v>47</v>
      </c>
      <c r="H82" s="41">
        <v>332.0</v>
      </c>
      <c r="I82" s="41" t="str">
        <f>VLOOKUP(B82,'товар'!$A$1:$C$433,2,FALSE)</f>
        <v>Соль</v>
      </c>
      <c r="J82" s="43">
        <f t="shared" si="2"/>
        <v>264.8679245</v>
      </c>
      <c r="K82" s="44">
        <f t="shared" si="3"/>
        <v>-0.5469440091</v>
      </c>
      <c r="L82" s="41" t="str">
        <f>VLOOKUP(B82,'товар'!$A$1:$C$433,3,FALSE)</f>
        <v>Экстра</v>
      </c>
      <c r="M82" s="45">
        <f t="shared" si="4"/>
        <v>320.8461538</v>
      </c>
      <c r="N82" s="46">
        <f>VLOOKUP(H82,'клиенты'!$A$1:$F$435,5,FALSE)</f>
        <v>44858</v>
      </c>
      <c r="O82" s="41">
        <f t="shared" si="5"/>
        <v>468</v>
      </c>
      <c r="P82" s="41" t="str">
        <f>VLOOKUP(H82,'клиенты'!$A$2:$J$435,10,FALSE)</f>
        <v>Узбекистан</v>
      </c>
      <c r="Q82" s="47">
        <f t="shared" si="6"/>
        <v>46078.45901</v>
      </c>
      <c r="R82" s="48">
        <f t="shared" si="7"/>
        <v>40.68196706</v>
      </c>
      <c r="S82" s="41"/>
      <c r="T82" s="41"/>
      <c r="U82" s="41"/>
      <c r="V82" s="41"/>
      <c r="W82" s="41"/>
      <c r="X82" s="41"/>
      <c r="Y82" s="41"/>
      <c r="Z82" s="41"/>
    </row>
    <row r="83" ht="14.25" customHeight="1">
      <c r="A83" s="20">
        <v>82.0</v>
      </c>
      <c r="B83" s="20">
        <v>334.0</v>
      </c>
      <c r="C83" s="20">
        <v>396.0</v>
      </c>
      <c r="D83" s="20">
        <v>4.0</v>
      </c>
      <c r="E83" s="20">
        <f t="shared" si="1"/>
        <v>1584</v>
      </c>
      <c r="F83" s="49">
        <v>45173.0</v>
      </c>
      <c r="G83" s="20" t="s">
        <v>36</v>
      </c>
      <c r="H83" s="20">
        <v>134.0</v>
      </c>
      <c r="I83" s="20" t="str">
        <f>VLOOKUP(B83,'товар'!$A$1:$C$433,2,FALSE)</f>
        <v>Молоко</v>
      </c>
      <c r="J83" s="50">
        <f t="shared" si="2"/>
        <v>294.952381</v>
      </c>
      <c r="K83" s="51">
        <f t="shared" si="3"/>
        <v>0.3425896028</v>
      </c>
      <c r="L83" s="20" t="str">
        <f>VLOOKUP(B83,'товар'!$A$1:$C$433,3,FALSE)</f>
        <v>Домик в деревне</v>
      </c>
      <c r="M83" s="52">
        <f t="shared" si="4"/>
        <v>274.7777778</v>
      </c>
      <c r="N83" s="53">
        <f>VLOOKUP(H83,'клиенты'!$A$1:$F$435,5,FALSE)</f>
        <v>44753</v>
      </c>
      <c r="O83" s="20">
        <f t="shared" si="5"/>
        <v>420</v>
      </c>
      <c r="P83" s="20" t="str">
        <f>VLOOKUP(H83,'клиенты'!$A$2:$J$435,10,FALSE)</f>
        <v>Россия</v>
      </c>
      <c r="Q83" s="54">
        <f t="shared" si="6"/>
        <v>46078.45901</v>
      </c>
      <c r="R83" s="55">
        <f t="shared" si="7"/>
        <v>44.18196706</v>
      </c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41">
        <v>83.0</v>
      </c>
      <c r="B84" s="41">
        <v>345.0</v>
      </c>
      <c r="C84" s="41">
        <v>267.0</v>
      </c>
      <c r="D84" s="41">
        <v>5.0</v>
      </c>
      <c r="E84" s="41">
        <f t="shared" si="1"/>
        <v>1335</v>
      </c>
      <c r="F84" s="42">
        <v>45004.0</v>
      </c>
      <c r="G84" s="41" t="s">
        <v>46</v>
      </c>
      <c r="H84" s="41">
        <v>287.0</v>
      </c>
      <c r="I84" s="41" t="str">
        <f>VLOOKUP(B84,'товар'!$A$1:$C$433,2,FALSE)</f>
        <v>Конфеты</v>
      </c>
      <c r="J84" s="43">
        <f t="shared" si="2"/>
        <v>267.8548387</v>
      </c>
      <c r="K84" s="44">
        <f t="shared" si="3"/>
        <v>-0.003191425303</v>
      </c>
      <c r="L84" s="41" t="str">
        <f>VLOOKUP(B84,'товар'!$A$1:$C$433,3,FALSE)</f>
        <v>Рот Фронт</v>
      </c>
      <c r="M84" s="45">
        <f t="shared" si="4"/>
        <v>288.2380952</v>
      </c>
      <c r="N84" s="46">
        <f>VLOOKUP(H84,'клиенты'!$A$1:$F$435,5,FALSE)</f>
        <v>44608</v>
      </c>
      <c r="O84" s="41">
        <f t="shared" si="5"/>
        <v>396</v>
      </c>
      <c r="P84" s="41" t="str">
        <f>VLOOKUP(H84,'клиенты'!$A$2:$J$435,10,FALSE)</f>
        <v>Россия</v>
      </c>
      <c r="Q84" s="47">
        <f t="shared" si="6"/>
        <v>46078.45901</v>
      </c>
      <c r="R84" s="48">
        <f t="shared" si="7"/>
        <v>49.01530039</v>
      </c>
      <c r="S84" s="41"/>
      <c r="T84" s="41"/>
      <c r="U84" s="41"/>
      <c r="V84" s="41"/>
      <c r="W84" s="41"/>
      <c r="X84" s="41"/>
      <c r="Y84" s="41"/>
      <c r="Z84" s="41"/>
    </row>
    <row r="85" ht="14.25" customHeight="1">
      <c r="A85" s="20">
        <v>84.0</v>
      </c>
      <c r="B85" s="20">
        <v>281.0</v>
      </c>
      <c r="C85" s="20">
        <v>371.0</v>
      </c>
      <c r="D85" s="20">
        <v>1.0</v>
      </c>
      <c r="E85" s="20">
        <f t="shared" si="1"/>
        <v>371</v>
      </c>
      <c r="F85" s="49">
        <v>44993.0</v>
      </c>
      <c r="G85" s="20" t="s">
        <v>50</v>
      </c>
      <c r="H85" s="20">
        <v>11.0</v>
      </c>
      <c r="I85" s="20" t="str">
        <f>VLOOKUP(B85,'товар'!$A$1:$C$433,2,FALSE)</f>
        <v>Чай</v>
      </c>
      <c r="J85" s="50">
        <f t="shared" si="2"/>
        <v>271.1818182</v>
      </c>
      <c r="K85" s="51">
        <f t="shared" si="3"/>
        <v>0.3680858196</v>
      </c>
      <c r="L85" s="20" t="str">
        <f>VLOOKUP(B85,'товар'!$A$1:$C$433,3,FALSE)</f>
        <v>Lipton</v>
      </c>
      <c r="M85" s="52">
        <f t="shared" si="4"/>
        <v>260.1578947</v>
      </c>
      <c r="N85" s="53">
        <f>VLOOKUP(H85,'клиенты'!$A$1:$F$435,5,FALSE)</f>
        <v>44690</v>
      </c>
      <c r="O85" s="20">
        <f t="shared" si="5"/>
        <v>303</v>
      </c>
      <c r="P85" s="20" t="str">
        <f>VLOOKUP(H85,'клиенты'!$A$2:$J$435,10,FALSE)</f>
        <v>Таджикистан</v>
      </c>
      <c r="Q85" s="54">
        <f t="shared" si="6"/>
        <v>46078.45901</v>
      </c>
      <c r="R85" s="55">
        <f t="shared" si="7"/>
        <v>46.28196706</v>
      </c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41">
        <v>85.0</v>
      </c>
      <c r="B86" s="41">
        <v>276.0</v>
      </c>
      <c r="C86" s="41">
        <v>295.0</v>
      </c>
      <c r="D86" s="41">
        <v>1.0</v>
      </c>
      <c r="E86" s="41">
        <f t="shared" si="1"/>
        <v>295</v>
      </c>
      <c r="F86" s="42">
        <v>45272.0</v>
      </c>
      <c r="G86" s="41" t="s">
        <v>48</v>
      </c>
      <c r="H86" s="41">
        <v>458.0</v>
      </c>
      <c r="I86" s="41" t="str">
        <f>VLOOKUP(B86,'товар'!$A$1:$C$433,2,FALSE)</f>
        <v>Колбаса</v>
      </c>
      <c r="J86" s="43">
        <f t="shared" si="2"/>
        <v>286.9230769</v>
      </c>
      <c r="K86" s="44">
        <f t="shared" si="3"/>
        <v>0.02815013405</v>
      </c>
      <c r="L86" s="41" t="str">
        <f>VLOOKUP(B86,'товар'!$A$1:$C$433,3,FALSE)</f>
        <v>Дымов</v>
      </c>
      <c r="M86" s="45">
        <f t="shared" si="4"/>
        <v>312.6666667</v>
      </c>
      <c r="N86" s="46">
        <f>VLOOKUP(H86,'клиенты'!$A$1:$F$435,5,FALSE)</f>
        <v>44694</v>
      </c>
      <c r="O86" s="41">
        <f t="shared" si="5"/>
        <v>578</v>
      </c>
      <c r="P86" s="41" t="str">
        <f>VLOOKUP(H86,'клиенты'!$A$2:$J$435,10,FALSE)</f>
        <v>Россия</v>
      </c>
      <c r="Q86" s="47">
        <f t="shared" si="6"/>
        <v>46078.45901</v>
      </c>
      <c r="R86" s="48">
        <f t="shared" si="7"/>
        <v>46.14863372</v>
      </c>
      <c r="S86" s="41"/>
      <c r="T86" s="41"/>
      <c r="U86" s="41"/>
      <c r="V86" s="41"/>
      <c r="W86" s="41"/>
      <c r="X86" s="41"/>
      <c r="Y86" s="41"/>
      <c r="Z86" s="41"/>
    </row>
    <row r="87" ht="14.25" customHeight="1">
      <c r="A87" s="20">
        <v>86.0</v>
      </c>
      <c r="B87" s="20">
        <v>234.0</v>
      </c>
      <c r="C87" s="20">
        <v>75.0</v>
      </c>
      <c r="D87" s="20">
        <v>5.0</v>
      </c>
      <c r="E87" s="20">
        <f t="shared" si="1"/>
        <v>375</v>
      </c>
      <c r="F87" s="49">
        <v>44939.0</v>
      </c>
      <c r="G87" s="20" t="s">
        <v>44</v>
      </c>
      <c r="H87" s="20">
        <v>130.0</v>
      </c>
      <c r="I87" s="20" t="str">
        <f>VLOOKUP(B87,'товар'!$A$1:$C$433,2,FALSE)</f>
        <v>Чай</v>
      </c>
      <c r="J87" s="50">
        <f t="shared" si="2"/>
        <v>271.1818182</v>
      </c>
      <c r="K87" s="51">
        <f t="shared" si="3"/>
        <v>-0.7234327858</v>
      </c>
      <c r="L87" s="20" t="str">
        <f>VLOOKUP(B87,'товар'!$A$1:$C$433,3,FALSE)</f>
        <v>Greenfield</v>
      </c>
      <c r="M87" s="52">
        <f t="shared" si="4"/>
        <v>291.4545455</v>
      </c>
      <c r="N87" s="53">
        <f>VLOOKUP(H87,'клиенты'!$A$1:$F$435,5,FALSE)</f>
        <v>44863</v>
      </c>
      <c r="O87" s="20">
        <f t="shared" si="5"/>
        <v>76</v>
      </c>
      <c r="P87" s="20" t="str">
        <f>VLOOKUP(H87,'клиенты'!$A$2:$J$435,10,FALSE)</f>
        <v>Таджикистан</v>
      </c>
      <c r="Q87" s="54">
        <f t="shared" si="6"/>
        <v>46078.45901</v>
      </c>
      <c r="R87" s="55">
        <f t="shared" si="7"/>
        <v>40.51530039</v>
      </c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41">
        <v>87.0</v>
      </c>
      <c r="B88" s="41">
        <v>319.0</v>
      </c>
      <c r="C88" s="41">
        <v>247.0</v>
      </c>
      <c r="D88" s="41">
        <v>2.0</v>
      </c>
      <c r="E88" s="41">
        <f t="shared" si="1"/>
        <v>494</v>
      </c>
      <c r="F88" s="42">
        <v>45189.0</v>
      </c>
      <c r="G88" s="41" t="s">
        <v>45</v>
      </c>
      <c r="H88" s="41">
        <v>330.0</v>
      </c>
      <c r="I88" s="41" t="str">
        <f>VLOOKUP(B88,'товар'!$A$1:$C$433,2,FALSE)</f>
        <v>Йогурт</v>
      </c>
      <c r="J88" s="43">
        <f t="shared" si="2"/>
        <v>263.2542373</v>
      </c>
      <c r="K88" s="44">
        <f t="shared" si="3"/>
        <v>-0.0617434973</v>
      </c>
      <c r="L88" s="41" t="str">
        <f>VLOOKUP(B88,'товар'!$A$1:$C$433,3,FALSE)</f>
        <v>Эрманн</v>
      </c>
      <c r="M88" s="45">
        <f t="shared" si="4"/>
        <v>248.5</v>
      </c>
      <c r="N88" s="46">
        <f>VLOOKUP(H88,'клиенты'!$A$1:$F$435,5,FALSE)</f>
        <v>44815</v>
      </c>
      <c r="O88" s="41">
        <f t="shared" si="5"/>
        <v>374</v>
      </c>
      <c r="P88" s="41" t="str">
        <f>VLOOKUP(H88,'клиенты'!$A$2:$J$435,10,FALSE)</f>
        <v>Узбекистан</v>
      </c>
      <c r="Q88" s="47">
        <f t="shared" si="6"/>
        <v>46078.45901</v>
      </c>
      <c r="R88" s="48">
        <f t="shared" si="7"/>
        <v>42.11530039</v>
      </c>
      <c r="S88" s="41"/>
      <c r="T88" s="41"/>
      <c r="U88" s="41"/>
      <c r="V88" s="41"/>
      <c r="W88" s="41"/>
      <c r="X88" s="41"/>
      <c r="Y88" s="41"/>
      <c r="Z88" s="41"/>
    </row>
    <row r="89" ht="14.25" customHeight="1">
      <c r="A89" s="20">
        <v>88.0</v>
      </c>
      <c r="B89" s="20">
        <v>375.0</v>
      </c>
      <c r="C89" s="20">
        <v>281.0</v>
      </c>
      <c r="D89" s="20">
        <v>2.0</v>
      </c>
      <c r="E89" s="20">
        <f t="shared" si="1"/>
        <v>562</v>
      </c>
      <c r="F89" s="49">
        <v>45079.0</v>
      </c>
      <c r="G89" s="20" t="s">
        <v>48</v>
      </c>
      <c r="H89" s="20">
        <v>167.0</v>
      </c>
      <c r="I89" s="20" t="str">
        <f>VLOOKUP(B89,'товар'!$A$1:$C$433,2,FALSE)</f>
        <v>Макароны</v>
      </c>
      <c r="J89" s="50">
        <f t="shared" si="2"/>
        <v>265.4767442</v>
      </c>
      <c r="K89" s="51">
        <f t="shared" si="3"/>
        <v>0.05847312864</v>
      </c>
      <c r="L89" s="20" t="str">
        <f>VLOOKUP(B89,'товар'!$A$1:$C$433,3,FALSE)</f>
        <v>Борилла</v>
      </c>
      <c r="M89" s="52">
        <f t="shared" si="4"/>
        <v>236.2758621</v>
      </c>
      <c r="N89" s="53">
        <f>VLOOKUP(H89,'клиенты'!$A$1:$F$435,5,FALSE)</f>
        <v>44563</v>
      </c>
      <c r="O89" s="20">
        <f t="shared" si="5"/>
        <v>516</v>
      </c>
      <c r="P89" s="20" t="str">
        <f>VLOOKUP(H89,'клиенты'!$A$2:$J$435,10,FALSE)</f>
        <v>Узбекистан</v>
      </c>
      <c r="Q89" s="54">
        <f t="shared" si="6"/>
        <v>46078.45901</v>
      </c>
      <c r="R89" s="55">
        <f t="shared" si="7"/>
        <v>50.51530039</v>
      </c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41">
        <v>89.0</v>
      </c>
      <c r="B90" s="41">
        <v>443.0</v>
      </c>
      <c r="C90" s="41">
        <v>136.0</v>
      </c>
      <c r="D90" s="41">
        <v>2.0</v>
      </c>
      <c r="E90" s="41">
        <f t="shared" si="1"/>
        <v>272</v>
      </c>
      <c r="F90" s="42">
        <v>44927.0</v>
      </c>
      <c r="G90" s="41" t="s">
        <v>36</v>
      </c>
      <c r="H90" s="41">
        <v>140.0</v>
      </c>
      <c r="I90" s="41" t="str">
        <f>VLOOKUP(B90,'товар'!$A$1:$C$433,2,FALSE)</f>
        <v>Кофе</v>
      </c>
      <c r="J90" s="43">
        <f t="shared" si="2"/>
        <v>249.0238095</v>
      </c>
      <c r="K90" s="44">
        <f t="shared" si="3"/>
        <v>-0.4538674826</v>
      </c>
      <c r="L90" s="41" t="str">
        <f>VLOOKUP(B90,'товар'!$A$1:$C$433,3,FALSE)</f>
        <v>Jacobs</v>
      </c>
      <c r="M90" s="45">
        <f t="shared" si="4"/>
        <v>276.2105263</v>
      </c>
      <c r="N90" s="46">
        <f>VLOOKUP(H90,'клиенты'!$A$1:$F$435,5,FALSE)</f>
        <v>44627</v>
      </c>
      <c r="O90" s="41">
        <f t="shared" si="5"/>
        <v>300</v>
      </c>
      <c r="P90" s="41" t="str">
        <f>VLOOKUP(H90,'клиенты'!$A$2:$J$435,10,FALSE)</f>
        <v>Россия</v>
      </c>
      <c r="Q90" s="47">
        <f t="shared" si="6"/>
        <v>46078.45901</v>
      </c>
      <c r="R90" s="48">
        <f t="shared" si="7"/>
        <v>48.38196706</v>
      </c>
      <c r="S90" s="41"/>
      <c r="T90" s="41"/>
      <c r="U90" s="41"/>
      <c r="V90" s="41"/>
      <c r="W90" s="41"/>
      <c r="X90" s="41"/>
      <c r="Y90" s="41"/>
      <c r="Z90" s="41"/>
    </row>
    <row r="91" ht="14.25" customHeight="1">
      <c r="A91" s="20">
        <v>90.0</v>
      </c>
      <c r="B91" s="20">
        <v>30.0</v>
      </c>
      <c r="C91" s="20">
        <v>142.0</v>
      </c>
      <c r="D91" s="20">
        <v>5.0</v>
      </c>
      <c r="E91" s="20">
        <f t="shared" si="1"/>
        <v>710</v>
      </c>
      <c r="F91" s="49">
        <v>45226.0</v>
      </c>
      <c r="G91" s="20" t="s">
        <v>44</v>
      </c>
      <c r="H91" s="20">
        <v>423.0</v>
      </c>
      <c r="I91" s="20" t="str">
        <f>VLOOKUP(B91,'товар'!$A$1:$C$433,2,FALSE)</f>
        <v>Чипсы</v>
      </c>
      <c r="J91" s="50">
        <f t="shared" si="2"/>
        <v>273.7254902</v>
      </c>
      <c r="K91" s="51">
        <f t="shared" si="3"/>
        <v>-0.4812320917</v>
      </c>
      <c r="L91" s="20" t="str">
        <f>VLOOKUP(B91,'товар'!$A$1:$C$433,3,FALSE)</f>
        <v>Pringles</v>
      </c>
      <c r="M91" s="52">
        <f t="shared" si="4"/>
        <v>280.2380952</v>
      </c>
      <c r="N91" s="53">
        <f>VLOOKUP(H91,'клиенты'!$A$1:$F$435,5,FALSE)</f>
        <v>44841</v>
      </c>
      <c r="O91" s="20">
        <f t="shared" si="5"/>
        <v>385</v>
      </c>
      <c r="P91" s="20" t="str">
        <f>VLOOKUP(H91,'клиенты'!$A$2:$J$435,10,FALSE)</f>
        <v>Беларусь</v>
      </c>
      <c r="Q91" s="54">
        <f t="shared" si="6"/>
        <v>46078.45901</v>
      </c>
      <c r="R91" s="55">
        <f t="shared" si="7"/>
        <v>41.24863372</v>
      </c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41">
        <v>91.0</v>
      </c>
      <c r="B92" s="41">
        <v>24.0</v>
      </c>
      <c r="C92" s="41">
        <v>414.0</v>
      </c>
      <c r="D92" s="41">
        <v>1.0</v>
      </c>
      <c r="E92" s="41">
        <f t="shared" si="1"/>
        <v>414</v>
      </c>
      <c r="F92" s="42">
        <v>45388.0</v>
      </c>
      <c r="G92" s="41" t="s">
        <v>53</v>
      </c>
      <c r="H92" s="41">
        <v>365.0</v>
      </c>
      <c r="I92" s="41" t="str">
        <f>VLOOKUP(B92,'товар'!$A$1:$C$433,2,FALSE)</f>
        <v>Йогурт</v>
      </c>
      <c r="J92" s="43">
        <f t="shared" si="2"/>
        <v>263.2542373</v>
      </c>
      <c r="K92" s="44">
        <f t="shared" si="3"/>
        <v>0.5726242596</v>
      </c>
      <c r="L92" s="41" t="str">
        <f>VLOOKUP(B92,'товар'!$A$1:$C$433,3,FALSE)</f>
        <v>Чудо</v>
      </c>
      <c r="M92" s="45">
        <f t="shared" si="4"/>
        <v>287.1</v>
      </c>
      <c r="N92" s="46">
        <f>VLOOKUP(H92,'клиенты'!$A$1:$F$435,5,FALSE)</f>
        <v>44841</v>
      </c>
      <c r="O92" s="41">
        <f t="shared" si="5"/>
        <v>547</v>
      </c>
      <c r="P92" s="41" t="str">
        <f>VLOOKUP(H92,'клиенты'!$A$2:$J$435,10,FALSE)</f>
        <v>Беларусь</v>
      </c>
      <c r="Q92" s="47">
        <f t="shared" si="6"/>
        <v>46078.45901</v>
      </c>
      <c r="R92" s="48">
        <f t="shared" si="7"/>
        <v>41.24863372</v>
      </c>
      <c r="S92" s="41"/>
      <c r="T92" s="41"/>
      <c r="U92" s="41"/>
      <c r="V92" s="41"/>
      <c r="W92" s="41"/>
      <c r="X92" s="41"/>
      <c r="Y92" s="41"/>
      <c r="Z92" s="41"/>
    </row>
    <row r="93" ht="14.25" customHeight="1">
      <c r="A93" s="20">
        <v>92.0</v>
      </c>
      <c r="B93" s="20">
        <v>357.0</v>
      </c>
      <c r="C93" s="20">
        <v>206.0</v>
      </c>
      <c r="D93" s="20">
        <v>2.0</v>
      </c>
      <c r="E93" s="20">
        <f t="shared" si="1"/>
        <v>412</v>
      </c>
      <c r="F93" s="49">
        <v>45424.0</v>
      </c>
      <c r="G93" s="20" t="s">
        <v>47</v>
      </c>
      <c r="H93" s="20">
        <v>452.0</v>
      </c>
      <c r="I93" s="20" t="str">
        <f>VLOOKUP(B93,'товар'!$A$1:$C$433,2,FALSE)</f>
        <v>Мясо</v>
      </c>
      <c r="J93" s="50">
        <f t="shared" si="2"/>
        <v>271.7454545</v>
      </c>
      <c r="K93" s="51">
        <f t="shared" si="3"/>
        <v>-0.2419376422</v>
      </c>
      <c r="L93" s="20" t="str">
        <f>VLOOKUP(B93,'товар'!$A$1:$C$433,3,FALSE)</f>
        <v>Снежана</v>
      </c>
      <c r="M93" s="52">
        <f t="shared" si="4"/>
        <v>272.3529412</v>
      </c>
      <c r="N93" s="53">
        <f>VLOOKUP(H93,'клиенты'!$A$1:$F$435,5,FALSE)</f>
        <v>44769</v>
      </c>
      <c r="O93" s="20">
        <f t="shared" si="5"/>
        <v>655</v>
      </c>
      <c r="P93" s="20" t="str">
        <f>VLOOKUP(H93,'клиенты'!$A$2:$J$435,10,FALSE)</f>
        <v>Россия</v>
      </c>
      <c r="Q93" s="54">
        <f t="shared" si="6"/>
        <v>46078.45901</v>
      </c>
      <c r="R93" s="55">
        <f t="shared" si="7"/>
        <v>43.64863372</v>
      </c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41">
        <v>93.0</v>
      </c>
      <c r="B94" s="41">
        <v>265.0</v>
      </c>
      <c r="C94" s="41">
        <v>66.0</v>
      </c>
      <c r="D94" s="41">
        <v>1.0</v>
      </c>
      <c r="E94" s="41">
        <f t="shared" si="1"/>
        <v>66</v>
      </c>
      <c r="F94" s="42">
        <v>45183.0</v>
      </c>
      <c r="G94" s="41" t="s">
        <v>49</v>
      </c>
      <c r="H94" s="41">
        <v>424.0</v>
      </c>
      <c r="I94" s="41" t="str">
        <f>VLOOKUP(B94,'товар'!$A$1:$C$433,2,FALSE)</f>
        <v>Мясо</v>
      </c>
      <c r="J94" s="43">
        <f t="shared" si="2"/>
        <v>271.7454545</v>
      </c>
      <c r="K94" s="44">
        <f t="shared" si="3"/>
        <v>-0.7571256523</v>
      </c>
      <c r="L94" s="41" t="str">
        <f>VLOOKUP(B94,'товар'!$A$1:$C$433,3,FALSE)</f>
        <v>Мираторг</v>
      </c>
      <c r="M94" s="45">
        <f t="shared" si="4"/>
        <v>316.5833333</v>
      </c>
      <c r="N94" s="46">
        <f>VLOOKUP(H94,'клиенты'!$A$1:$F$435,5,FALSE)</f>
        <v>44585</v>
      </c>
      <c r="O94" s="41">
        <f t="shared" si="5"/>
        <v>598</v>
      </c>
      <c r="P94" s="41" t="str">
        <f>VLOOKUP(H94,'клиенты'!$A$2:$J$435,10,FALSE)</f>
        <v>Россия</v>
      </c>
      <c r="Q94" s="47">
        <f t="shared" si="6"/>
        <v>46078.45901</v>
      </c>
      <c r="R94" s="48">
        <f t="shared" si="7"/>
        <v>49.78196706</v>
      </c>
      <c r="S94" s="41"/>
      <c r="T94" s="41"/>
      <c r="U94" s="41"/>
      <c r="V94" s="41"/>
      <c r="W94" s="41"/>
      <c r="X94" s="41"/>
      <c r="Y94" s="41"/>
      <c r="Z94" s="41"/>
    </row>
    <row r="95" ht="14.25" customHeight="1">
      <c r="A95" s="20">
        <v>94.0</v>
      </c>
      <c r="B95" s="20">
        <v>102.0</v>
      </c>
      <c r="C95" s="20">
        <v>452.0</v>
      </c>
      <c r="D95" s="20">
        <v>1.0</v>
      </c>
      <c r="E95" s="20">
        <f t="shared" si="1"/>
        <v>452</v>
      </c>
      <c r="F95" s="49">
        <v>45218.0</v>
      </c>
      <c r="G95" s="20" t="s">
        <v>54</v>
      </c>
      <c r="H95" s="20">
        <v>75.0</v>
      </c>
      <c r="I95" s="20" t="str">
        <f>VLOOKUP(B95,'товар'!$A$1:$C$433,2,FALSE)</f>
        <v>Печенье</v>
      </c>
      <c r="J95" s="50">
        <f t="shared" si="2"/>
        <v>283.4680851</v>
      </c>
      <c r="K95" s="51">
        <f t="shared" si="3"/>
        <v>0.5945357652</v>
      </c>
      <c r="L95" s="20" t="str">
        <f>VLOOKUP(B95,'товар'!$A$1:$C$433,3,FALSE)</f>
        <v>Белогорье</v>
      </c>
      <c r="M95" s="52">
        <f t="shared" si="4"/>
        <v>249.5</v>
      </c>
      <c r="N95" s="53">
        <f>VLOOKUP(H95,'клиенты'!$A$1:$F$435,5,FALSE)</f>
        <v>44796</v>
      </c>
      <c r="O95" s="20">
        <f t="shared" si="5"/>
        <v>422</v>
      </c>
      <c r="P95" s="20" t="str">
        <f>VLOOKUP(H95,'клиенты'!$A$2:$J$435,10,FALSE)</f>
        <v>Украина</v>
      </c>
      <c r="Q95" s="54">
        <f t="shared" si="6"/>
        <v>46078.45901</v>
      </c>
      <c r="R95" s="55">
        <f t="shared" si="7"/>
        <v>42.74863372</v>
      </c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41">
        <v>95.0</v>
      </c>
      <c r="B96" s="41">
        <v>212.0</v>
      </c>
      <c r="C96" s="41">
        <v>175.0</v>
      </c>
      <c r="D96" s="41">
        <v>1.0</v>
      </c>
      <c r="E96" s="41">
        <f t="shared" si="1"/>
        <v>175</v>
      </c>
      <c r="F96" s="42">
        <v>45290.0</v>
      </c>
      <c r="G96" s="41" t="s">
        <v>40</v>
      </c>
      <c r="H96" s="41">
        <v>385.0</v>
      </c>
      <c r="I96" s="41" t="str">
        <f>VLOOKUP(B96,'товар'!$A$1:$C$433,2,FALSE)</f>
        <v>Чипсы</v>
      </c>
      <c r="J96" s="43">
        <f t="shared" si="2"/>
        <v>273.7254902</v>
      </c>
      <c r="K96" s="44">
        <f t="shared" si="3"/>
        <v>-0.3606733524</v>
      </c>
      <c r="L96" s="41" t="str">
        <f>VLOOKUP(B96,'товар'!$A$1:$C$433,3,FALSE)</f>
        <v>Lay's</v>
      </c>
      <c r="M96" s="45">
        <f t="shared" si="4"/>
        <v>320.5714286</v>
      </c>
      <c r="N96" s="46">
        <f>VLOOKUP(H96,'клиенты'!$A$1:$F$435,5,FALSE)</f>
        <v>44753</v>
      </c>
      <c r="O96" s="41">
        <f t="shared" si="5"/>
        <v>537</v>
      </c>
      <c r="P96" s="41" t="str">
        <f>VLOOKUP(H96,'клиенты'!$A$2:$J$435,10,FALSE)</f>
        <v>Украина</v>
      </c>
      <c r="Q96" s="47">
        <f t="shared" si="6"/>
        <v>46078.45901</v>
      </c>
      <c r="R96" s="48">
        <f t="shared" si="7"/>
        <v>44.18196706</v>
      </c>
      <c r="S96" s="41"/>
      <c r="T96" s="41"/>
      <c r="U96" s="41"/>
      <c r="V96" s="41"/>
      <c r="W96" s="41"/>
      <c r="X96" s="41"/>
      <c r="Y96" s="41"/>
      <c r="Z96" s="41"/>
    </row>
    <row r="97" ht="14.25" customHeight="1">
      <c r="A97" s="20">
        <v>96.0</v>
      </c>
      <c r="B97" s="20">
        <v>215.0</v>
      </c>
      <c r="C97" s="20">
        <v>109.0</v>
      </c>
      <c r="D97" s="20">
        <v>1.0</v>
      </c>
      <c r="E97" s="20">
        <f t="shared" si="1"/>
        <v>109</v>
      </c>
      <c r="F97" s="49">
        <v>45235.0</v>
      </c>
      <c r="G97" s="20" t="s">
        <v>48</v>
      </c>
      <c r="H97" s="20">
        <v>71.0</v>
      </c>
      <c r="I97" s="20" t="str">
        <f>VLOOKUP(B97,'товар'!$A$1:$C$433,2,FALSE)</f>
        <v>Сок</v>
      </c>
      <c r="J97" s="50">
        <f t="shared" si="2"/>
        <v>268.6034483</v>
      </c>
      <c r="K97" s="51">
        <f t="shared" si="3"/>
        <v>-0.5941973169</v>
      </c>
      <c r="L97" s="20" t="str">
        <f>VLOOKUP(B97,'товар'!$A$1:$C$433,3,FALSE)</f>
        <v>Фруктовый сад</v>
      </c>
      <c r="M97" s="52">
        <f t="shared" si="4"/>
        <v>281.96875</v>
      </c>
      <c r="N97" s="53">
        <f>VLOOKUP(H97,'клиенты'!$A$1:$F$435,5,FALSE)</f>
        <v>44762</v>
      </c>
      <c r="O97" s="20">
        <f t="shared" si="5"/>
        <v>473</v>
      </c>
      <c r="P97" s="20" t="str">
        <f>VLOOKUP(H97,'клиенты'!$A$2:$J$435,10,FALSE)</f>
        <v>Украина</v>
      </c>
      <c r="Q97" s="54">
        <f t="shared" si="6"/>
        <v>46078.45901</v>
      </c>
      <c r="R97" s="55">
        <f t="shared" si="7"/>
        <v>43.88196706</v>
      </c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41">
        <v>97.0</v>
      </c>
      <c r="B98" s="41">
        <v>364.0</v>
      </c>
      <c r="C98" s="41">
        <v>323.0</v>
      </c>
      <c r="D98" s="41">
        <v>2.0</v>
      </c>
      <c r="E98" s="41">
        <f t="shared" si="1"/>
        <v>646</v>
      </c>
      <c r="F98" s="42">
        <v>45197.0</v>
      </c>
      <c r="G98" s="41" t="s">
        <v>36</v>
      </c>
      <c r="H98" s="41">
        <v>313.0</v>
      </c>
      <c r="I98" s="41" t="str">
        <f>VLOOKUP(B98,'товар'!$A$1:$C$433,2,FALSE)</f>
        <v>Сахар</v>
      </c>
      <c r="J98" s="43">
        <f t="shared" si="2"/>
        <v>252.7627119</v>
      </c>
      <c r="K98" s="44">
        <f t="shared" si="3"/>
        <v>0.2778783612</v>
      </c>
      <c r="L98" s="41" t="str">
        <f>VLOOKUP(B98,'товар'!$A$1:$C$433,3,FALSE)</f>
        <v>Русский сахар</v>
      </c>
      <c r="M98" s="45">
        <f t="shared" si="4"/>
        <v>293.4117647</v>
      </c>
      <c r="N98" s="46">
        <f>VLOOKUP(H98,'клиенты'!$A$1:$F$435,5,FALSE)</f>
        <v>44896</v>
      </c>
      <c r="O98" s="41">
        <f t="shared" si="5"/>
        <v>301</v>
      </c>
      <c r="P98" s="41" t="str">
        <f>VLOOKUP(H98,'клиенты'!$A$2:$J$435,10,FALSE)</f>
        <v>Узбекистан</v>
      </c>
      <c r="Q98" s="47">
        <f t="shared" si="6"/>
        <v>46078.45901</v>
      </c>
      <c r="R98" s="48">
        <f t="shared" si="7"/>
        <v>39.41530039</v>
      </c>
      <c r="S98" s="41"/>
      <c r="T98" s="41"/>
      <c r="U98" s="41"/>
      <c r="V98" s="41"/>
      <c r="W98" s="41"/>
      <c r="X98" s="41"/>
      <c r="Y98" s="41"/>
      <c r="Z98" s="41"/>
    </row>
    <row r="99" ht="14.25" customHeight="1">
      <c r="A99" s="20">
        <v>98.0</v>
      </c>
      <c r="B99" s="20">
        <v>499.0</v>
      </c>
      <c r="C99" s="20">
        <v>96.0</v>
      </c>
      <c r="D99" s="20">
        <v>1.0</v>
      </c>
      <c r="E99" s="20">
        <f t="shared" si="1"/>
        <v>96</v>
      </c>
      <c r="F99" s="49">
        <v>44942.0</v>
      </c>
      <c r="G99" s="20" t="s">
        <v>43</v>
      </c>
      <c r="H99" s="20">
        <v>239.0</v>
      </c>
      <c r="I99" s="20" t="str">
        <f>VLOOKUP(B99,'товар'!$A$1:$C$433,2,FALSE)</f>
        <v>Печенье</v>
      </c>
      <c r="J99" s="50">
        <f t="shared" si="2"/>
        <v>283.4680851</v>
      </c>
      <c r="K99" s="51">
        <f t="shared" si="3"/>
        <v>-0.6613375366</v>
      </c>
      <c r="L99" s="20" t="str">
        <f>VLOOKUP(B99,'товар'!$A$1:$C$433,3,FALSE)</f>
        <v>Посиделкино</v>
      </c>
      <c r="M99" s="52">
        <f t="shared" si="4"/>
        <v>321.6363636</v>
      </c>
      <c r="N99" s="53">
        <f>VLOOKUP(H99,'клиенты'!$A$1:$F$435,5,FALSE)</f>
        <v>44767</v>
      </c>
      <c r="O99" s="20">
        <f t="shared" si="5"/>
        <v>175</v>
      </c>
      <c r="P99" s="20" t="str">
        <f>VLOOKUP(H99,'клиенты'!$A$2:$J$435,10,FALSE)</f>
        <v>Узбекистан</v>
      </c>
      <c r="Q99" s="54">
        <f t="shared" si="6"/>
        <v>46078.45901</v>
      </c>
      <c r="R99" s="55">
        <f t="shared" si="7"/>
        <v>43.71530039</v>
      </c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41">
        <v>99.0</v>
      </c>
      <c r="B100" s="41">
        <v>202.0</v>
      </c>
      <c r="C100" s="41">
        <v>422.0</v>
      </c>
      <c r="D100" s="41">
        <v>2.0</v>
      </c>
      <c r="E100" s="41">
        <f t="shared" si="1"/>
        <v>844</v>
      </c>
      <c r="F100" s="42">
        <v>45077.0</v>
      </c>
      <c r="G100" s="41" t="s">
        <v>43</v>
      </c>
      <c r="H100" s="41">
        <v>301.0</v>
      </c>
      <c r="I100" s="41" t="str">
        <f>VLOOKUP(B100,'товар'!$A$1:$C$433,2,FALSE)</f>
        <v>Овощи</v>
      </c>
      <c r="J100" s="43">
        <f t="shared" si="2"/>
        <v>250.4878049</v>
      </c>
      <c r="K100" s="44">
        <f t="shared" si="3"/>
        <v>0.6847127556</v>
      </c>
      <c r="L100" s="41" t="str">
        <f>VLOOKUP(B100,'товар'!$A$1:$C$433,3,FALSE)</f>
        <v>Овощной ряд</v>
      </c>
      <c r="M100" s="45">
        <f t="shared" si="4"/>
        <v>303.8235294</v>
      </c>
      <c r="N100" s="46">
        <f>VLOOKUP(H100,'клиенты'!$A$1:$F$435,5,FALSE)</f>
        <v>44714</v>
      </c>
      <c r="O100" s="41">
        <f t="shared" si="5"/>
        <v>363</v>
      </c>
      <c r="P100" s="41" t="str">
        <f>VLOOKUP(H100,'клиенты'!$A$2:$J$435,10,FALSE)</f>
        <v>Россия</v>
      </c>
      <c r="Q100" s="47">
        <f t="shared" si="6"/>
        <v>46078.45901</v>
      </c>
      <c r="R100" s="48">
        <f t="shared" si="7"/>
        <v>45.48196706</v>
      </c>
      <c r="S100" s="41"/>
      <c r="T100" s="41"/>
      <c r="U100" s="41"/>
      <c r="V100" s="41"/>
      <c r="W100" s="41"/>
      <c r="X100" s="41"/>
      <c r="Y100" s="41"/>
      <c r="Z100" s="41"/>
    </row>
    <row r="101" ht="14.25" customHeight="1">
      <c r="A101" s="20">
        <v>100.0</v>
      </c>
      <c r="B101" s="20">
        <v>244.0</v>
      </c>
      <c r="C101" s="20">
        <v>57.0</v>
      </c>
      <c r="D101" s="20">
        <v>3.0</v>
      </c>
      <c r="E101" s="20">
        <f t="shared" si="1"/>
        <v>171</v>
      </c>
      <c r="F101" s="49">
        <v>45331.0</v>
      </c>
      <c r="G101" s="20" t="s">
        <v>47</v>
      </c>
      <c r="H101" s="20">
        <v>359.0</v>
      </c>
      <c r="I101" s="20" t="str">
        <f>VLOOKUP(B101,'товар'!$A$1:$C$433,2,FALSE)</f>
        <v>Мясо</v>
      </c>
      <c r="J101" s="50">
        <f t="shared" si="2"/>
        <v>271.7454545</v>
      </c>
      <c r="K101" s="51">
        <f t="shared" si="3"/>
        <v>-0.7902448816</v>
      </c>
      <c r="L101" s="20" t="str">
        <f>VLOOKUP(B101,'товар'!$A$1:$C$433,3,FALSE)</f>
        <v>Сава</v>
      </c>
      <c r="M101" s="52">
        <f t="shared" si="4"/>
        <v>212.8125</v>
      </c>
      <c r="N101" s="53">
        <f>VLOOKUP(H101,'клиенты'!$A$1:$F$435,5,FALSE)</f>
        <v>44584</v>
      </c>
      <c r="O101" s="20">
        <f t="shared" si="5"/>
        <v>747</v>
      </c>
      <c r="P101" s="20" t="str">
        <f>VLOOKUP(H101,'клиенты'!$A$2:$J$435,10,FALSE)</f>
        <v>Россия</v>
      </c>
      <c r="Q101" s="54">
        <f t="shared" si="6"/>
        <v>46078.45901</v>
      </c>
      <c r="R101" s="55">
        <f t="shared" si="7"/>
        <v>49.81530039</v>
      </c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41">
        <v>101.0</v>
      </c>
      <c r="B102" s="41">
        <v>363.0</v>
      </c>
      <c r="C102" s="41">
        <v>414.0</v>
      </c>
      <c r="D102" s="41">
        <v>4.0</v>
      </c>
      <c r="E102" s="41">
        <f t="shared" si="1"/>
        <v>1656</v>
      </c>
      <c r="F102" s="42">
        <v>45210.0</v>
      </c>
      <c r="G102" s="41" t="s">
        <v>36</v>
      </c>
      <c r="H102" s="41">
        <v>474.0</v>
      </c>
      <c r="I102" s="41" t="str">
        <f>VLOOKUP(B102,'товар'!$A$1:$C$433,2,FALSE)</f>
        <v>Хлеб</v>
      </c>
      <c r="J102" s="43">
        <f t="shared" si="2"/>
        <v>300.3181818</v>
      </c>
      <c r="K102" s="44">
        <f t="shared" si="3"/>
        <v>0.3785379143</v>
      </c>
      <c r="L102" s="41" t="str">
        <f>VLOOKUP(B102,'товар'!$A$1:$C$433,3,FALSE)</f>
        <v>Дарница</v>
      </c>
      <c r="M102" s="45">
        <f t="shared" si="4"/>
        <v>264</v>
      </c>
      <c r="N102" s="46">
        <f>VLOOKUP(H102,'клиенты'!$A$1:$F$435,5,FALSE)</f>
        <v>44605</v>
      </c>
      <c r="O102" s="41">
        <f t="shared" si="5"/>
        <v>605</v>
      </c>
      <c r="P102" s="41" t="str">
        <f>VLOOKUP(H102,'клиенты'!$A$2:$J$435,10,FALSE)</f>
        <v>Россия</v>
      </c>
      <c r="Q102" s="47">
        <f t="shared" si="6"/>
        <v>46078.45901</v>
      </c>
      <c r="R102" s="48">
        <f t="shared" si="7"/>
        <v>49.11530039</v>
      </c>
      <c r="S102" s="41"/>
      <c r="T102" s="41"/>
      <c r="U102" s="41"/>
      <c r="V102" s="41"/>
      <c r="W102" s="41"/>
      <c r="X102" s="41"/>
      <c r="Y102" s="41"/>
      <c r="Z102" s="41"/>
    </row>
    <row r="103" ht="14.25" customHeight="1">
      <c r="A103" s="20">
        <v>102.0</v>
      </c>
      <c r="B103" s="20">
        <v>212.0</v>
      </c>
      <c r="C103" s="20">
        <v>320.0</v>
      </c>
      <c r="D103" s="20">
        <v>5.0</v>
      </c>
      <c r="E103" s="20">
        <f t="shared" si="1"/>
        <v>1600</v>
      </c>
      <c r="F103" s="49">
        <v>45082.0</v>
      </c>
      <c r="G103" s="20" t="s">
        <v>37</v>
      </c>
      <c r="H103" s="20">
        <v>111.0</v>
      </c>
      <c r="I103" s="20" t="str">
        <f>VLOOKUP(B103,'товар'!$A$1:$C$433,2,FALSE)</f>
        <v>Чипсы</v>
      </c>
      <c r="J103" s="50">
        <f t="shared" si="2"/>
        <v>273.7254902</v>
      </c>
      <c r="K103" s="51">
        <f t="shared" si="3"/>
        <v>0.1690544413</v>
      </c>
      <c r="L103" s="20" t="str">
        <f>VLOOKUP(B103,'товар'!$A$1:$C$433,3,FALSE)</f>
        <v>Lay's</v>
      </c>
      <c r="M103" s="52">
        <f t="shared" si="4"/>
        <v>320.5714286</v>
      </c>
      <c r="N103" s="53">
        <f>VLOOKUP(H103,'клиенты'!$A$1:$F$435,5,FALSE)</f>
        <v>44804</v>
      </c>
      <c r="O103" s="20">
        <f t="shared" si="5"/>
        <v>278</v>
      </c>
      <c r="P103" s="20" t="str">
        <f>VLOOKUP(H103,'клиенты'!$A$2:$J$435,10,FALSE)</f>
        <v>Узбекистан</v>
      </c>
      <c r="Q103" s="54">
        <f t="shared" si="6"/>
        <v>46078.45901</v>
      </c>
      <c r="R103" s="55">
        <f t="shared" si="7"/>
        <v>42.48196706</v>
      </c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41">
        <v>103.0</v>
      </c>
      <c r="B104" s="41">
        <v>434.0</v>
      </c>
      <c r="C104" s="41">
        <v>272.0</v>
      </c>
      <c r="D104" s="41">
        <v>2.0</v>
      </c>
      <c r="E104" s="41">
        <f t="shared" si="1"/>
        <v>544</v>
      </c>
      <c r="F104" s="42">
        <v>45174.0</v>
      </c>
      <c r="G104" s="41" t="s">
        <v>43</v>
      </c>
      <c r="H104" s="41">
        <v>126.0</v>
      </c>
      <c r="I104" s="41" t="str">
        <f>VLOOKUP(B104,'товар'!$A$1:$C$433,2,FALSE)</f>
        <v>Сыр</v>
      </c>
      <c r="J104" s="43">
        <f t="shared" si="2"/>
        <v>262.6349206</v>
      </c>
      <c r="K104" s="44">
        <f t="shared" si="3"/>
        <v>0.03565816512</v>
      </c>
      <c r="L104" s="41" t="str">
        <f>VLOOKUP(B104,'товар'!$A$1:$C$433,3,FALSE)</f>
        <v>Сырная долина</v>
      </c>
      <c r="M104" s="45">
        <f t="shared" si="4"/>
        <v>271</v>
      </c>
      <c r="N104" s="46">
        <f>VLOOKUP(H104,'клиенты'!$A$1:$F$435,5,FALSE)</f>
        <v>44822</v>
      </c>
      <c r="O104" s="41">
        <f t="shared" si="5"/>
        <v>352</v>
      </c>
      <c r="P104" s="41" t="str">
        <f>VLOOKUP(H104,'клиенты'!$A$2:$J$435,10,FALSE)</f>
        <v>Узбекистан</v>
      </c>
      <c r="Q104" s="47">
        <f t="shared" si="6"/>
        <v>46078.45901</v>
      </c>
      <c r="R104" s="48">
        <f t="shared" si="7"/>
        <v>41.88196706</v>
      </c>
      <c r="S104" s="41"/>
      <c r="T104" s="41"/>
      <c r="U104" s="41"/>
      <c r="V104" s="41"/>
      <c r="W104" s="41"/>
      <c r="X104" s="41"/>
      <c r="Y104" s="41"/>
      <c r="Z104" s="41"/>
    </row>
    <row r="105" ht="14.25" customHeight="1">
      <c r="A105" s="20">
        <v>104.0</v>
      </c>
      <c r="B105" s="20">
        <v>305.0</v>
      </c>
      <c r="C105" s="20">
        <v>419.0</v>
      </c>
      <c r="D105" s="20">
        <v>4.0</v>
      </c>
      <c r="E105" s="20">
        <f t="shared" si="1"/>
        <v>1676</v>
      </c>
      <c r="F105" s="49">
        <v>45171.0</v>
      </c>
      <c r="G105" s="20" t="s">
        <v>40</v>
      </c>
      <c r="H105" s="20">
        <v>356.0</v>
      </c>
      <c r="I105" s="20" t="str">
        <f>VLOOKUP(B105,'товар'!$A$1:$C$433,2,FALSE)</f>
        <v>Печенье</v>
      </c>
      <c r="J105" s="50">
        <f t="shared" si="2"/>
        <v>283.4680851</v>
      </c>
      <c r="K105" s="51">
        <f t="shared" si="3"/>
        <v>0.4781205434</v>
      </c>
      <c r="L105" s="20" t="str">
        <f>VLOOKUP(B105,'товар'!$A$1:$C$433,3,FALSE)</f>
        <v>Посиделкино</v>
      </c>
      <c r="M105" s="52">
        <f t="shared" si="4"/>
        <v>321.6363636</v>
      </c>
      <c r="N105" s="53">
        <f>VLOOKUP(H105,'клиенты'!$A$1:$F$435,5,FALSE)</f>
        <v>44570</v>
      </c>
      <c r="O105" s="20">
        <f t="shared" si="5"/>
        <v>601</v>
      </c>
      <c r="P105" s="20" t="str">
        <f>VLOOKUP(H105,'клиенты'!$A$2:$J$435,10,FALSE)</f>
        <v>Таджикистан</v>
      </c>
      <c r="Q105" s="54">
        <f t="shared" si="6"/>
        <v>46078.45901</v>
      </c>
      <c r="R105" s="55">
        <f t="shared" si="7"/>
        <v>50.28196706</v>
      </c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41">
        <v>105.0</v>
      </c>
      <c r="B106" s="41">
        <v>37.0</v>
      </c>
      <c r="C106" s="41">
        <v>478.0</v>
      </c>
      <c r="D106" s="41">
        <v>4.0</v>
      </c>
      <c r="E106" s="41">
        <f t="shared" si="1"/>
        <v>1912</v>
      </c>
      <c r="F106" s="42">
        <v>45259.0</v>
      </c>
      <c r="G106" s="41" t="s">
        <v>53</v>
      </c>
      <c r="H106" s="41">
        <v>166.0</v>
      </c>
      <c r="I106" s="41" t="str">
        <f>VLOOKUP(B106,'товар'!$A$1:$C$433,2,FALSE)</f>
        <v>Соль</v>
      </c>
      <c r="J106" s="43">
        <f t="shared" si="2"/>
        <v>264.8679245</v>
      </c>
      <c r="K106" s="44">
        <f t="shared" si="3"/>
        <v>0.8046730303</v>
      </c>
      <c r="L106" s="41" t="str">
        <f>VLOOKUP(B106,'товар'!$A$1:$C$433,3,FALSE)</f>
        <v>Илецкая</v>
      </c>
      <c r="M106" s="45">
        <f t="shared" si="4"/>
        <v>238.1666667</v>
      </c>
      <c r="N106" s="46">
        <f>VLOOKUP(H106,'клиенты'!$A$1:$F$435,5,FALSE)</f>
        <v>44796</v>
      </c>
      <c r="O106" s="41">
        <f t="shared" si="5"/>
        <v>463</v>
      </c>
      <c r="P106" s="41" t="str">
        <f>VLOOKUP(H106,'клиенты'!$A$2:$J$435,10,FALSE)</f>
        <v>Узбекистан</v>
      </c>
      <c r="Q106" s="47">
        <f t="shared" si="6"/>
        <v>46078.45901</v>
      </c>
      <c r="R106" s="48">
        <f t="shared" si="7"/>
        <v>42.74863372</v>
      </c>
      <c r="S106" s="41"/>
      <c r="T106" s="41"/>
      <c r="U106" s="41"/>
      <c r="V106" s="41"/>
      <c r="W106" s="41"/>
      <c r="X106" s="41"/>
      <c r="Y106" s="41"/>
      <c r="Z106" s="41"/>
    </row>
    <row r="107" ht="14.25" customHeight="1">
      <c r="A107" s="20">
        <v>106.0</v>
      </c>
      <c r="B107" s="20">
        <v>242.0</v>
      </c>
      <c r="C107" s="20">
        <v>333.0</v>
      </c>
      <c r="D107" s="20">
        <v>3.0</v>
      </c>
      <c r="E107" s="20">
        <f t="shared" si="1"/>
        <v>999</v>
      </c>
      <c r="F107" s="49">
        <v>45287.0</v>
      </c>
      <c r="G107" s="20" t="s">
        <v>37</v>
      </c>
      <c r="H107" s="20">
        <v>162.0</v>
      </c>
      <c r="I107" s="20" t="str">
        <f>VLOOKUP(B107,'товар'!$A$1:$C$433,2,FALSE)</f>
        <v>Овощи</v>
      </c>
      <c r="J107" s="50">
        <f t="shared" si="2"/>
        <v>250.4878049</v>
      </c>
      <c r="K107" s="51">
        <f t="shared" si="3"/>
        <v>0.329406037</v>
      </c>
      <c r="L107" s="20" t="str">
        <f>VLOOKUP(B107,'товар'!$A$1:$C$433,3,FALSE)</f>
        <v>Овощной ряд</v>
      </c>
      <c r="M107" s="52">
        <f t="shared" si="4"/>
        <v>303.8235294</v>
      </c>
      <c r="N107" s="53">
        <f>VLOOKUP(H107,'клиенты'!$A$1:$F$435,5,FALSE)</f>
        <v>44639</v>
      </c>
      <c r="O107" s="20">
        <f t="shared" si="5"/>
        <v>648</v>
      </c>
      <c r="P107" s="20" t="str">
        <f>VLOOKUP(H107,'клиенты'!$A$2:$J$435,10,FALSE)</f>
        <v>Таджикистан</v>
      </c>
      <c r="Q107" s="54">
        <f t="shared" si="6"/>
        <v>46078.45901</v>
      </c>
      <c r="R107" s="55">
        <f t="shared" si="7"/>
        <v>47.98196706</v>
      </c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41">
        <v>107.0</v>
      </c>
      <c r="B108" s="41">
        <v>332.0</v>
      </c>
      <c r="C108" s="41">
        <v>327.0</v>
      </c>
      <c r="D108" s="41">
        <v>2.0</v>
      </c>
      <c r="E108" s="41">
        <f t="shared" si="1"/>
        <v>654</v>
      </c>
      <c r="F108" s="42">
        <v>45095.0</v>
      </c>
      <c r="G108" s="41" t="s">
        <v>39</v>
      </c>
      <c r="H108" s="41">
        <v>459.0</v>
      </c>
      <c r="I108" s="41" t="str">
        <f>VLOOKUP(B108,'товар'!$A$1:$C$433,2,FALSE)</f>
        <v>Чай</v>
      </c>
      <c r="J108" s="43">
        <f t="shared" si="2"/>
        <v>271.1818182</v>
      </c>
      <c r="K108" s="44">
        <f t="shared" si="3"/>
        <v>0.205833054</v>
      </c>
      <c r="L108" s="41" t="str">
        <f>VLOOKUP(B108,'товар'!$A$1:$C$433,3,FALSE)</f>
        <v>Тесс</v>
      </c>
      <c r="M108" s="45">
        <f t="shared" si="4"/>
        <v>281.75</v>
      </c>
      <c r="N108" s="46">
        <f>VLOOKUP(H108,'клиенты'!$A$1:$F$435,5,FALSE)</f>
        <v>44743</v>
      </c>
      <c r="O108" s="41">
        <f t="shared" si="5"/>
        <v>352</v>
      </c>
      <c r="P108" s="41" t="str">
        <f>VLOOKUP(H108,'клиенты'!$A$2:$J$435,10,FALSE)</f>
        <v>Россия</v>
      </c>
      <c r="Q108" s="47">
        <f t="shared" si="6"/>
        <v>46078.45901</v>
      </c>
      <c r="R108" s="48">
        <f t="shared" si="7"/>
        <v>44.51530039</v>
      </c>
      <c r="S108" s="41"/>
      <c r="T108" s="41"/>
      <c r="U108" s="41"/>
      <c r="V108" s="41"/>
      <c r="W108" s="41"/>
      <c r="X108" s="41"/>
      <c r="Y108" s="41"/>
      <c r="Z108" s="41"/>
    </row>
    <row r="109" ht="14.25" customHeight="1">
      <c r="A109" s="20">
        <v>108.0</v>
      </c>
      <c r="B109" s="20">
        <v>452.0</v>
      </c>
      <c r="C109" s="20">
        <v>89.0</v>
      </c>
      <c r="D109" s="20">
        <v>3.0</v>
      </c>
      <c r="E109" s="20">
        <f t="shared" si="1"/>
        <v>267</v>
      </c>
      <c r="F109" s="49">
        <v>45033.0</v>
      </c>
      <c r="G109" s="20" t="s">
        <v>50</v>
      </c>
      <c r="H109" s="20">
        <v>211.0</v>
      </c>
      <c r="I109" s="20" t="str">
        <f>VLOOKUP(B109,'товар'!$A$1:$C$433,2,FALSE)</f>
        <v>Фрукты</v>
      </c>
      <c r="J109" s="50">
        <f t="shared" si="2"/>
        <v>274.1627907</v>
      </c>
      <c r="K109" s="51">
        <f t="shared" si="3"/>
        <v>-0.6753753499</v>
      </c>
      <c r="L109" s="20" t="str">
        <f>VLOOKUP(B109,'товар'!$A$1:$C$433,3,FALSE)</f>
        <v>Экзотик</v>
      </c>
      <c r="M109" s="52">
        <f t="shared" si="4"/>
        <v>253.6875</v>
      </c>
      <c r="N109" s="53">
        <f>VLOOKUP(H109,'клиенты'!$A$1:$F$435,5,FALSE)</f>
        <v>44621</v>
      </c>
      <c r="O109" s="20">
        <f t="shared" si="5"/>
        <v>412</v>
      </c>
      <c r="P109" s="20" t="str">
        <f>VLOOKUP(H109,'клиенты'!$A$2:$J$435,10,FALSE)</f>
        <v>Украина</v>
      </c>
      <c r="Q109" s="54">
        <f t="shared" si="6"/>
        <v>46078.45901</v>
      </c>
      <c r="R109" s="55">
        <f t="shared" si="7"/>
        <v>48.58196706</v>
      </c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41">
        <v>109.0</v>
      </c>
      <c r="B110" s="41">
        <v>452.0</v>
      </c>
      <c r="C110" s="41">
        <v>78.0</v>
      </c>
      <c r="D110" s="41">
        <v>3.0</v>
      </c>
      <c r="E110" s="41">
        <f t="shared" si="1"/>
        <v>234</v>
      </c>
      <c r="F110" s="42">
        <v>45285.0</v>
      </c>
      <c r="G110" s="41" t="s">
        <v>37</v>
      </c>
      <c r="H110" s="41">
        <v>132.0</v>
      </c>
      <c r="I110" s="41" t="str">
        <f>VLOOKUP(B110,'товар'!$A$1:$C$433,2,FALSE)</f>
        <v>Фрукты</v>
      </c>
      <c r="J110" s="43">
        <f t="shared" si="2"/>
        <v>274.1627907</v>
      </c>
      <c r="K110" s="44">
        <f t="shared" si="3"/>
        <v>-0.7154974977</v>
      </c>
      <c r="L110" s="41" t="str">
        <f>VLOOKUP(B110,'товар'!$A$1:$C$433,3,FALSE)</f>
        <v>Экзотик</v>
      </c>
      <c r="M110" s="45">
        <f t="shared" si="4"/>
        <v>253.6875</v>
      </c>
      <c r="N110" s="46">
        <f>VLOOKUP(H110,'клиенты'!$A$1:$F$435,5,FALSE)</f>
        <v>44601</v>
      </c>
      <c r="O110" s="41">
        <f t="shared" si="5"/>
        <v>684</v>
      </c>
      <c r="P110" s="41" t="str">
        <f>VLOOKUP(H110,'клиенты'!$A$2:$J$435,10,FALSE)</f>
        <v>Украина</v>
      </c>
      <c r="Q110" s="47">
        <f t="shared" si="6"/>
        <v>46078.45901</v>
      </c>
      <c r="R110" s="48">
        <f t="shared" si="7"/>
        <v>49.24863372</v>
      </c>
      <c r="S110" s="41"/>
      <c r="T110" s="41"/>
      <c r="U110" s="41"/>
      <c r="V110" s="41"/>
      <c r="W110" s="41"/>
      <c r="X110" s="41"/>
      <c r="Y110" s="41"/>
      <c r="Z110" s="41"/>
    </row>
    <row r="111" ht="14.25" customHeight="1">
      <c r="A111" s="20">
        <v>110.0</v>
      </c>
      <c r="B111" s="20">
        <v>132.0</v>
      </c>
      <c r="C111" s="20">
        <v>278.0</v>
      </c>
      <c r="D111" s="20">
        <v>3.0</v>
      </c>
      <c r="E111" s="20">
        <f t="shared" si="1"/>
        <v>834</v>
      </c>
      <c r="F111" s="49">
        <v>45013.0</v>
      </c>
      <c r="G111" s="20" t="s">
        <v>52</v>
      </c>
      <c r="H111" s="20">
        <v>236.0</v>
      </c>
      <c r="I111" s="20" t="str">
        <f>VLOOKUP(B111,'товар'!$A$1:$C$433,2,FALSE)</f>
        <v>Рыба</v>
      </c>
      <c r="J111" s="50">
        <f t="shared" si="2"/>
        <v>258.5128205</v>
      </c>
      <c r="K111" s="51">
        <f t="shared" si="3"/>
        <v>0.07538186868</v>
      </c>
      <c r="L111" s="20" t="str">
        <f>VLOOKUP(B111,'товар'!$A$1:$C$433,3,FALSE)</f>
        <v>Меридиан</v>
      </c>
      <c r="M111" s="52">
        <f t="shared" si="4"/>
        <v>260.6470588</v>
      </c>
      <c r="N111" s="53">
        <f>VLOOKUP(H111,'клиенты'!$A$1:$F$435,5,FALSE)</f>
        <v>44820</v>
      </c>
      <c r="O111" s="20">
        <f t="shared" si="5"/>
        <v>193</v>
      </c>
      <c r="P111" s="20" t="str">
        <f>VLOOKUP(H111,'клиенты'!$A$2:$J$435,10,FALSE)</f>
        <v>Узбекистан</v>
      </c>
      <c r="Q111" s="54">
        <f t="shared" si="6"/>
        <v>46078.45901</v>
      </c>
      <c r="R111" s="55">
        <f t="shared" si="7"/>
        <v>41.94863372</v>
      </c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41">
        <v>111.0</v>
      </c>
      <c r="B112" s="41">
        <v>457.0</v>
      </c>
      <c r="C112" s="41">
        <v>211.0</v>
      </c>
      <c r="D112" s="41">
        <v>4.0</v>
      </c>
      <c r="E112" s="41">
        <f t="shared" si="1"/>
        <v>844</v>
      </c>
      <c r="F112" s="42">
        <v>45039.0</v>
      </c>
      <c r="G112" s="41" t="s">
        <v>48</v>
      </c>
      <c r="H112" s="41">
        <v>333.0</v>
      </c>
      <c r="I112" s="41" t="str">
        <f>VLOOKUP(B112,'товар'!$A$1:$C$433,2,FALSE)</f>
        <v>Сок</v>
      </c>
      <c r="J112" s="43">
        <f t="shared" si="2"/>
        <v>268.6034483</v>
      </c>
      <c r="K112" s="44">
        <f t="shared" si="3"/>
        <v>-0.2144553566</v>
      </c>
      <c r="L112" s="41" t="str">
        <f>VLOOKUP(B112,'товар'!$A$1:$C$433,3,FALSE)</f>
        <v>Rich</v>
      </c>
      <c r="M112" s="45">
        <f t="shared" si="4"/>
        <v>272.25</v>
      </c>
      <c r="N112" s="46">
        <f>VLOOKUP(H112,'клиенты'!$A$1:$F$435,5,FALSE)</f>
        <v>44857</v>
      </c>
      <c r="O112" s="41">
        <f t="shared" si="5"/>
        <v>182</v>
      </c>
      <c r="P112" s="41" t="str">
        <f>VLOOKUP(H112,'клиенты'!$A$2:$J$435,10,FALSE)</f>
        <v>Россия</v>
      </c>
      <c r="Q112" s="47">
        <f t="shared" si="6"/>
        <v>46078.45901</v>
      </c>
      <c r="R112" s="48">
        <f t="shared" si="7"/>
        <v>40.71530039</v>
      </c>
      <c r="S112" s="41"/>
      <c r="T112" s="41"/>
      <c r="U112" s="41"/>
      <c r="V112" s="41"/>
      <c r="W112" s="41"/>
      <c r="X112" s="41"/>
      <c r="Y112" s="41"/>
      <c r="Z112" s="41"/>
    </row>
    <row r="113" ht="14.25" customHeight="1">
      <c r="A113" s="20">
        <v>112.0</v>
      </c>
      <c r="B113" s="20">
        <v>250.0</v>
      </c>
      <c r="C113" s="20">
        <v>97.0</v>
      </c>
      <c r="D113" s="20">
        <v>5.0</v>
      </c>
      <c r="E113" s="20">
        <f t="shared" si="1"/>
        <v>485</v>
      </c>
      <c r="F113" s="49">
        <v>45214.0</v>
      </c>
      <c r="G113" s="20" t="s">
        <v>40</v>
      </c>
      <c r="H113" s="20">
        <v>298.0</v>
      </c>
      <c r="I113" s="20" t="str">
        <f>VLOOKUP(B113,'товар'!$A$1:$C$433,2,FALSE)</f>
        <v>Фрукты</v>
      </c>
      <c r="J113" s="50">
        <f t="shared" si="2"/>
        <v>274.1627907</v>
      </c>
      <c r="K113" s="51">
        <f t="shared" si="3"/>
        <v>-0.6461956061</v>
      </c>
      <c r="L113" s="20" t="str">
        <f>VLOOKUP(B113,'товар'!$A$1:$C$433,3,FALSE)</f>
        <v>Фрукты-Ягоды</v>
      </c>
      <c r="M113" s="52">
        <f t="shared" si="4"/>
        <v>280.6666667</v>
      </c>
      <c r="N113" s="53">
        <f>VLOOKUP(H113,'клиенты'!$A$1:$F$435,5,FALSE)</f>
        <v>44821</v>
      </c>
      <c r="O113" s="20">
        <f t="shared" si="5"/>
        <v>393</v>
      </c>
      <c r="P113" s="20" t="str">
        <f>VLOOKUP(H113,'клиенты'!$A$2:$J$435,10,FALSE)</f>
        <v>Украина</v>
      </c>
      <c r="Q113" s="54">
        <f t="shared" si="6"/>
        <v>46078.45901</v>
      </c>
      <c r="R113" s="55">
        <f t="shared" si="7"/>
        <v>41.91530039</v>
      </c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41">
        <v>113.0</v>
      </c>
      <c r="B114" s="41">
        <v>195.0</v>
      </c>
      <c r="C114" s="41">
        <v>240.0</v>
      </c>
      <c r="D114" s="41">
        <v>2.0</v>
      </c>
      <c r="E114" s="41">
        <f t="shared" si="1"/>
        <v>480</v>
      </c>
      <c r="F114" s="42">
        <v>45277.0</v>
      </c>
      <c r="G114" s="41" t="s">
        <v>42</v>
      </c>
      <c r="H114" s="41">
        <v>273.0</v>
      </c>
      <c r="I114" s="41" t="str">
        <f>VLOOKUP(B114,'товар'!$A$1:$C$433,2,FALSE)</f>
        <v>Хлеб</v>
      </c>
      <c r="J114" s="43">
        <f t="shared" si="2"/>
        <v>300.3181818</v>
      </c>
      <c r="K114" s="44">
        <f t="shared" si="3"/>
        <v>-0.2008475859</v>
      </c>
      <c r="L114" s="41" t="str">
        <f>VLOOKUP(B114,'товар'!$A$1:$C$433,3,FALSE)</f>
        <v>Каравай</v>
      </c>
      <c r="M114" s="45">
        <f t="shared" si="4"/>
        <v>331.1666667</v>
      </c>
      <c r="N114" s="46">
        <f>VLOOKUP(H114,'клиенты'!$A$1:$F$435,5,FALSE)</f>
        <v>44599</v>
      </c>
      <c r="O114" s="41">
        <f t="shared" si="5"/>
        <v>678</v>
      </c>
      <c r="P114" s="41" t="str">
        <f>VLOOKUP(H114,'клиенты'!$A$2:$J$435,10,FALSE)</f>
        <v>Узбекистан</v>
      </c>
      <c r="Q114" s="47">
        <f t="shared" si="6"/>
        <v>46078.45901</v>
      </c>
      <c r="R114" s="48">
        <f t="shared" si="7"/>
        <v>49.31530039</v>
      </c>
      <c r="S114" s="41"/>
      <c r="T114" s="41"/>
      <c r="U114" s="41"/>
      <c r="V114" s="41"/>
      <c r="W114" s="41"/>
      <c r="X114" s="41"/>
      <c r="Y114" s="41"/>
      <c r="Z114" s="41"/>
    </row>
    <row r="115" ht="14.25" customHeight="1">
      <c r="A115" s="20">
        <v>114.0</v>
      </c>
      <c r="B115" s="20">
        <v>186.0</v>
      </c>
      <c r="C115" s="20">
        <v>244.0</v>
      </c>
      <c r="D115" s="20">
        <v>1.0</v>
      </c>
      <c r="E115" s="20">
        <f t="shared" si="1"/>
        <v>244</v>
      </c>
      <c r="F115" s="49">
        <v>45176.0</v>
      </c>
      <c r="G115" s="20" t="s">
        <v>48</v>
      </c>
      <c r="H115" s="20">
        <v>321.0</v>
      </c>
      <c r="I115" s="20" t="str">
        <f>VLOOKUP(B115,'товар'!$A$1:$C$433,2,FALSE)</f>
        <v>Сыр</v>
      </c>
      <c r="J115" s="50">
        <f t="shared" si="2"/>
        <v>262.6349206</v>
      </c>
      <c r="K115" s="51">
        <f t="shared" si="3"/>
        <v>-0.07095370482</v>
      </c>
      <c r="L115" s="20" t="str">
        <f>VLOOKUP(B115,'товар'!$A$1:$C$433,3,FALSE)</f>
        <v>President</v>
      </c>
      <c r="M115" s="52">
        <f t="shared" si="4"/>
        <v>238.7222222</v>
      </c>
      <c r="N115" s="53">
        <f>VLOOKUP(H115,'клиенты'!$A$1:$F$435,5,FALSE)</f>
        <v>44756</v>
      </c>
      <c r="O115" s="20">
        <f t="shared" si="5"/>
        <v>420</v>
      </c>
      <c r="P115" s="20" t="str">
        <f>VLOOKUP(H115,'клиенты'!$A$2:$J$435,10,FALSE)</f>
        <v>Таджикистан</v>
      </c>
      <c r="Q115" s="54">
        <f t="shared" si="6"/>
        <v>46078.45901</v>
      </c>
      <c r="R115" s="55">
        <f t="shared" si="7"/>
        <v>44.08196706</v>
      </c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41">
        <v>115.0</v>
      </c>
      <c r="B116" s="41">
        <v>490.0</v>
      </c>
      <c r="C116" s="41">
        <v>219.0</v>
      </c>
      <c r="D116" s="41">
        <v>1.0</v>
      </c>
      <c r="E116" s="41">
        <f t="shared" si="1"/>
        <v>219</v>
      </c>
      <c r="F116" s="42">
        <v>44948.0</v>
      </c>
      <c r="G116" s="41" t="s">
        <v>38</v>
      </c>
      <c r="H116" s="41">
        <v>119.0</v>
      </c>
      <c r="I116" s="41" t="str">
        <f>VLOOKUP(B116,'товар'!$A$1:$C$433,2,FALSE)</f>
        <v>Сыр</v>
      </c>
      <c r="J116" s="43">
        <f t="shared" si="2"/>
        <v>262.6349206</v>
      </c>
      <c r="K116" s="44">
        <f t="shared" si="3"/>
        <v>-0.1661428744</v>
      </c>
      <c r="L116" s="41" t="str">
        <f>VLOOKUP(B116,'товар'!$A$1:$C$433,3,FALSE)</f>
        <v>Сырная долина</v>
      </c>
      <c r="M116" s="45">
        <f t="shared" si="4"/>
        <v>271</v>
      </c>
      <c r="N116" s="46">
        <f>VLOOKUP(H116,'клиенты'!$A$1:$F$435,5,FALSE)</f>
        <v>44690</v>
      </c>
      <c r="O116" s="41">
        <f t="shared" si="5"/>
        <v>258</v>
      </c>
      <c r="P116" s="41" t="str">
        <f>VLOOKUP(H116,'клиенты'!$A$2:$J$435,10,FALSE)</f>
        <v>Россия</v>
      </c>
      <c r="Q116" s="47">
        <f t="shared" si="6"/>
        <v>46078.45901</v>
      </c>
      <c r="R116" s="48">
        <f t="shared" si="7"/>
        <v>46.28196706</v>
      </c>
      <c r="S116" s="41"/>
      <c r="T116" s="41"/>
      <c r="U116" s="41"/>
      <c r="V116" s="41"/>
      <c r="W116" s="41"/>
      <c r="X116" s="41"/>
      <c r="Y116" s="41"/>
      <c r="Z116" s="41"/>
    </row>
    <row r="117" ht="14.25" customHeight="1">
      <c r="A117" s="20">
        <v>116.0</v>
      </c>
      <c r="B117" s="20">
        <v>72.0</v>
      </c>
      <c r="C117" s="20">
        <v>162.0</v>
      </c>
      <c r="D117" s="20">
        <v>1.0</v>
      </c>
      <c r="E117" s="20">
        <f t="shared" si="1"/>
        <v>162</v>
      </c>
      <c r="F117" s="49">
        <v>44959.0</v>
      </c>
      <c r="G117" s="20" t="s">
        <v>48</v>
      </c>
      <c r="H117" s="20">
        <v>472.0</v>
      </c>
      <c r="I117" s="20" t="str">
        <f>VLOOKUP(B117,'товар'!$A$1:$C$433,2,FALSE)</f>
        <v>Конфеты</v>
      </c>
      <c r="J117" s="50">
        <f t="shared" si="2"/>
        <v>267.8548387</v>
      </c>
      <c r="K117" s="51">
        <f t="shared" si="3"/>
        <v>-0.3951947974</v>
      </c>
      <c r="L117" s="20" t="str">
        <f>VLOOKUP(B117,'товар'!$A$1:$C$433,3,FALSE)</f>
        <v>Бабаевский</v>
      </c>
      <c r="M117" s="52">
        <f t="shared" si="4"/>
        <v>250.2592593</v>
      </c>
      <c r="N117" s="53">
        <f>VLOOKUP(H117,'клиенты'!$A$1:$F$435,5,FALSE)</f>
        <v>44901</v>
      </c>
      <c r="O117" s="20">
        <f t="shared" si="5"/>
        <v>58</v>
      </c>
      <c r="P117" s="20" t="str">
        <f>VLOOKUP(H117,'клиенты'!$A$2:$J$435,10,FALSE)</f>
        <v>Украина</v>
      </c>
      <c r="Q117" s="54">
        <f t="shared" si="6"/>
        <v>46078.45901</v>
      </c>
      <c r="R117" s="55">
        <f t="shared" si="7"/>
        <v>39.24863372</v>
      </c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41">
        <v>117.0</v>
      </c>
      <c r="B118" s="41">
        <v>430.0</v>
      </c>
      <c r="C118" s="41">
        <v>119.0</v>
      </c>
      <c r="D118" s="41">
        <v>3.0</v>
      </c>
      <c r="E118" s="41">
        <f t="shared" si="1"/>
        <v>357</v>
      </c>
      <c r="F118" s="42">
        <v>45241.0</v>
      </c>
      <c r="G118" s="41" t="s">
        <v>49</v>
      </c>
      <c r="H118" s="41">
        <v>396.0</v>
      </c>
      <c r="I118" s="41" t="str">
        <f>VLOOKUP(B118,'товар'!$A$1:$C$433,2,FALSE)</f>
        <v>Чай</v>
      </c>
      <c r="J118" s="43">
        <f t="shared" si="2"/>
        <v>271.1818182</v>
      </c>
      <c r="K118" s="44">
        <f t="shared" si="3"/>
        <v>-0.5611800201</v>
      </c>
      <c r="L118" s="41" t="str">
        <f>VLOOKUP(B118,'товар'!$A$1:$C$433,3,FALSE)</f>
        <v>Ахмад</v>
      </c>
      <c r="M118" s="45">
        <f t="shared" si="4"/>
        <v>243.3</v>
      </c>
      <c r="N118" s="46">
        <f>VLOOKUP(H118,'клиенты'!$A$1:$F$435,5,FALSE)</f>
        <v>44871</v>
      </c>
      <c r="O118" s="41">
        <f t="shared" si="5"/>
        <v>370</v>
      </c>
      <c r="P118" s="41" t="str">
        <f>VLOOKUP(H118,'клиенты'!$A$2:$J$435,10,FALSE)</f>
        <v>Украина</v>
      </c>
      <c r="Q118" s="47">
        <f t="shared" si="6"/>
        <v>46078.45901</v>
      </c>
      <c r="R118" s="48">
        <f t="shared" si="7"/>
        <v>40.24863372</v>
      </c>
      <c r="S118" s="41"/>
      <c r="T118" s="41"/>
      <c r="U118" s="41"/>
      <c r="V118" s="41"/>
      <c r="W118" s="41"/>
      <c r="X118" s="41"/>
      <c r="Y118" s="41"/>
      <c r="Z118" s="41"/>
    </row>
    <row r="119" ht="14.25" customHeight="1">
      <c r="A119" s="20">
        <v>118.0</v>
      </c>
      <c r="B119" s="20">
        <v>223.0</v>
      </c>
      <c r="C119" s="20">
        <v>174.0</v>
      </c>
      <c r="D119" s="20">
        <v>2.0</v>
      </c>
      <c r="E119" s="20">
        <f t="shared" si="1"/>
        <v>348</v>
      </c>
      <c r="F119" s="49">
        <v>45338.0</v>
      </c>
      <c r="G119" s="20" t="s">
        <v>42</v>
      </c>
      <c r="H119" s="20">
        <v>269.0</v>
      </c>
      <c r="I119" s="20" t="str">
        <f>VLOOKUP(B119,'товар'!$A$1:$C$433,2,FALSE)</f>
        <v>Чай</v>
      </c>
      <c r="J119" s="50">
        <f t="shared" si="2"/>
        <v>271.1818182</v>
      </c>
      <c r="K119" s="51">
        <f t="shared" si="3"/>
        <v>-0.358364063</v>
      </c>
      <c r="L119" s="20" t="str">
        <f>VLOOKUP(B119,'товар'!$A$1:$C$433,3,FALSE)</f>
        <v>Greenfield</v>
      </c>
      <c r="M119" s="52">
        <f t="shared" si="4"/>
        <v>291.4545455</v>
      </c>
      <c r="N119" s="53">
        <f>VLOOKUP(H119,'клиенты'!$A$1:$F$435,5,FALSE)</f>
        <v>44720</v>
      </c>
      <c r="O119" s="20">
        <f t="shared" si="5"/>
        <v>618</v>
      </c>
      <c r="P119" s="20" t="str">
        <f>VLOOKUP(H119,'клиенты'!$A$2:$J$435,10,FALSE)</f>
        <v>Россия</v>
      </c>
      <c r="Q119" s="54">
        <f t="shared" si="6"/>
        <v>46078.45901</v>
      </c>
      <c r="R119" s="55">
        <f t="shared" si="7"/>
        <v>45.28196706</v>
      </c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41">
        <v>119.0</v>
      </c>
      <c r="B120" s="41">
        <v>164.0</v>
      </c>
      <c r="C120" s="41">
        <v>229.0</v>
      </c>
      <c r="D120" s="41">
        <v>3.0</v>
      </c>
      <c r="E120" s="41">
        <f t="shared" si="1"/>
        <v>687</v>
      </c>
      <c r="F120" s="42">
        <v>45343.0</v>
      </c>
      <c r="G120" s="41" t="s">
        <v>50</v>
      </c>
      <c r="H120" s="41">
        <v>16.0</v>
      </c>
      <c r="I120" s="41" t="str">
        <f>VLOOKUP(B120,'товар'!$A$1:$C$433,2,FALSE)</f>
        <v>Молоко</v>
      </c>
      <c r="J120" s="43">
        <f t="shared" si="2"/>
        <v>294.952381</v>
      </c>
      <c r="K120" s="44">
        <f t="shared" si="3"/>
        <v>-0.2236034872</v>
      </c>
      <c r="L120" s="41" t="str">
        <f>VLOOKUP(B120,'товар'!$A$1:$C$433,3,FALSE)</f>
        <v>Беллакт</v>
      </c>
      <c r="M120" s="45">
        <f t="shared" si="4"/>
        <v>322.5454545</v>
      </c>
      <c r="N120" s="46">
        <f>VLOOKUP(H120,'клиенты'!$A$1:$F$435,5,FALSE)</f>
        <v>44713</v>
      </c>
      <c r="O120" s="41">
        <f t="shared" si="5"/>
        <v>630</v>
      </c>
      <c r="P120" s="41" t="str">
        <f>VLOOKUP(H120,'клиенты'!$A$2:$J$435,10,FALSE)</f>
        <v>Украина</v>
      </c>
      <c r="Q120" s="47">
        <f t="shared" si="6"/>
        <v>46078.45901</v>
      </c>
      <c r="R120" s="48">
        <f t="shared" si="7"/>
        <v>45.51530039</v>
      </c>
      <c r="S120" s="41"/>
      <c r="T120" s="41"/>
      <c r="U120" s="41"/>
      <c r="V120" s="41"/>
      <c r="W120" s="41"/>
      <c r="X120" s="41"/>
      <c r="Y120" s="41"/>
      <c r="Z120" s="41"/>
    </row>
    <row r="121" ht="14.25" customHeight="1">
      <c r="A121" s="20">
        <v>120.0</v>
      </c>
      <c r="B121" s="20">
        <v>223.0</v>
      </c>
      <c r="C121" s="20">
        <v>411.0</v>
      </c>
      <c r="D121" s="20">
        <v>5.0</v>
      </c>
      <c r="E121" s="20">
        <f t="shared" si="1"/>
        <v>2055</v>
      </c>
      <c r="F121" s="49">
        <v>45244.0</v>
      </c>
      <c r="G121" s="20" t="s">
        <v>44</v>
      </c>
      <c r="H121" s="20">
        <v>281.0</v>
      </c>
      <c r="I121" s="20" t="str">
        <f>VLOOKUP(B121,'товар'!$A$1:$C$433,2,FALSE)</f>
        <v>Чай</v>
      </c>
      <c r="J121" s="50">
        <f t="shared" si="2"/>
        <v>271.1818182</v>
      </c>
      <c r="K121" s="51">
        <f t="shared" si="3"/>
        <v>0.5155883339</v>
      </c>
      <c r="L121" s="20" t="str">
        <f>VLOOKUP(B121,'товар'!$A$1:$C$433,3,FALSE)</f>
        <v>Greenfield</v>
      </c>
      <c r="M121" s="52">
        <f t="shared" si="4"/>
        <v>291.4545455</v>
      </c>
      <c r="N121" s="53">
        <f>VLOOKUP(H121,'клиенты'!$A$1:$F$435,5,FALSE)</f>
        <v>44711</v>
      </c>
      <c r="O121" s="20">
        <f t="shared" si="5"/>
        <v>533</v>
      </c>
      <c r="P121" s="20" t="str">
        <f>VLOOKUP(H121,'клиенты'!$A$2:$J$435,10,FALSE)</f>
        <v>Узбекистан</v>
      </c>
      <c r="Q121" s="54">
        <f t="shared" si="6"/>
        <v>46078.45901</v>
      </c>
      <c r="R121" s="55">
        <f t="shared" si="7"/>
        <v>45.58196706</v>
      </c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41">
        <v>121.0</v>
      </c>
      <c r="B122" s="41">
        <v>244.0</v>
      </c>
      <c r="C122" s="41">
        <v>245.0</v>
      </c>
      <c r="D122" s="41">
        <v>4.0</v>
      </c>
      <c r="E122" s="41">
        <f t="shared" si="1"/>
        <v>980</v>
      </c>
      <c r="F122" s="42">
        <v>44960.0</v>
      </c>
      <c r="G122" s="41" t="s">
        <v>36</v>
      </c>
      <c r="H122" s="41">
        <v>149.0</v>
      </c>
      <c r="I122" s="41" t="str">
        <f>VLOOKUP(B122,'товар'!$A$1:$C$433,2,FALSE)</f>
        <v>Мясо</v>
      </c>
      <c r="J122" s="43">
        <f t="shared" si="2"/>
        <v>271.7454545</v>
      </c>
      <c r="K122" s="44">
        <f t="shared" si="3"/>
        <v>-0.0984209822</v>
      </c>
      <c r="L122" s="41" t="str">
        <f>VLOOKUP(B122,'товар'!$A$1:$C$433,3,FALSE)</f>
        <v>Сава</v>
      </c>
      <c r="M122" s="45">
        <f t="shared" si="4"/>
        <v>212.8125</v>
      </c>
      <c r="N122" s="46">
        <f>VLOOKUP(H122,'клиенты'!$A$1:$F$435,5,FALSE)</f>
        <v>44882</v>
      </c>
      <c r="O122" s="41">
        <f t="shared" si="5"/>
        <v>78</v>
      </c>
      <c r="P122" s="41" t="str">
        <f>VLOOKUP(H122,'клиенты'!$A$2:$J$435,10,FALSE)</f>
        <v>Таджикистан</v>
      </c>
      <c r="Q122" s="47">
        <f t="shared" si="6"/>
        <v>46078.45901</v>
      </c>
      <c r="R122" s="48">
        <f t="shared" si="7"/>
        <v>39.88196706</v>
      </c>
      <c r="S122" s="41"/>
      <c r="T122" s="41"/>
      <c r="U122" s="41"/>
      <c r="V122" s="41"/>
      <c r="W122" s="41"/>
      <c r="X122" s="41"/>
      <c r="Y122" s="41"/>
      <c r="Z122" s="41"/>
    </row>
    <row r="123" ht="14.25" customHeight="1">
      <c r="A123" s="20">
        <v>122.0</v>
      </c>
      <c r="B123" s="20">
        <v>393.0</v>
      </c>
      <c r="C123" s="20">
        <v>113.0</v>
      </c>
      <c r="D123" s="20">
        <v>5.0</v>
      </c>
      <c r="E123" s="20">
        <f t="shared" si="1"/>
        <v>565</v>
      </c>
      <c r="F123" s="49">
        <v>45433.0</v>
      </c>
      <c r="G123" s="20" t="s">
        <v>39</v>
      </c>
      <c r="H123" s="20">
        <v>71.0</v>
      </c>
      <c r="I123" s="20" t="str">
        <f>VLOOKUP(B123,'товар'!$A$1:$C$433,2,FALSE)</f>
        <v>Рыба</v>
      </c>
      <c r="J123" s="50">
        <f t="shared" si="2"/>
        <v>258.5128205</v>
      </c>
      <c r="K123" s="51">
        <f t="shared" si="3"/>
        <v>-0.5628843483</v>
      </c>
      <c r="L123" s="20" t="str">
        <f>VLOOKUP(B123,'товар'!$A$1:$C$433,3,FALSE)</f>
        <v>Русское море</v>
      </c>
      <c r="M123" s="52">
        <f t="shared" si="4"/>
        <v>292.6666667</v>
      </c>
      <c r="N123" s="53">
        <f>VLOOKUP(H123,'клиенты'!$A$1:$F$435,5,FALSE)</f>
        <v>44762</v>
      </c>
      <c r="O123" s="20">
        <f t="shared" si="5"/>
        <v>671</v>
      </c>
      <c r="P123" s="20" t="str">
        <f>VLOOKUP(H123,'клиенты'!$A$2:$J$435,10,FALSE)</f>
        <v>Украина</v>
      </c>
      <c r="Q123" s="54">
        <f t="shared" si="6"/>
        <v>46078.45901</v>
      </c>
      <c r="R123" s="55">
        <f t="shared" si="7"/>
        <v>43.88196706</v>
      </c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41">
        <v>123.0</v>
      </c>
      <c r="B124" s="41">
        <v>166.0</v>
      </c>
      <c r="C124" s="41">
        <v>73.0</v>
      </c>
      <c r="D124" s="41">
        <v>4.0</v>
      </c>
      <c r="E124" s="41">
        <f t="shared" si="1"/>
        <v>292</v>
      </c>
      <c r="F124" s="42">
        <v>45316.0</v>
      </c>
      <c r="G124" s="41" t="s">
        <v>49</v>
      </c>
      <c r="H124" s="41">
        <v>126.0</v>
      </c>
      <c r="I124" s="41" t="str">
        <f>VLOOKUP(B124,'товар'!$A$1:$C$433,2,FALSE)</f>
        <v>Сок</v>
      </c>
      <c r="J124" s="43">
        <f t="shared" si="2"/>
        <v>268.6034483</v>
      </c>
      <c r="K124" s="44">
        <f t="shared" si="3"/>
        <v>-0.7282238911</v>
      </c>
      <c r="L124" s="41" t="str">
        <f>VLOOKUP(B124,'товар'!$A$1:$C$433,3,FALSE)</f>
        <v>Добрый</v>
      </c>
      <c r="M124" s="45">
        <f t="shared" si="4"/>
        <v>242.8181818</v>
      </c>
      <c r="N124" s="46">
        <f>VLOOKUP(H124,'клиенты'!$A$1:$F$435,5,FALSE)</f>
        <v>44822</v>
      </c>
      <c r="O124" s="41">
        <f t="shared" si="5"/>
        <v>494</v>
      </c>
      <c r="P124" s="41" t="str">
        <f>VLOOKUP(H124,'клиенты'!$A$2:$J$435,10,FALSE)</f>
        <v>Узбекистан</v>
      </c>
      <c r="Q124" s="47">
        <f t="shared" si="6"/>
        <v>46078.45901</v>
      </c>
      <c r="R124" s="48">
        <f t="shared" si="7"/>
        <v>41.88196706</v>
      </c>
      <c r="S124" s="41"/>
      <c r="T124" s="41"/>
      <c r="U124" s="41"/>
      <c r="V124" s="41"/>
      <c r="W124" s="41"/>
      <c r="X124" s="41"/>
      <c r="Y124" s="41"/>
      <c r="Z124" s="41"/>
    </row>
    <row r="125" ht="14.25" customHeight="1">
      <c r="A125" s="20">
        <v>124.0</v>
      </c>
      <c r="B125" s="20">
        <v>249.0</v>
      </c>
      <c r="C125" s="20">
        <v>368.0</v>
      </c>
      <c r="D125" s="20">
        <v>2.0</v>
      </c>
      <c r="E125" s="20">
        <f t="shared" si="1"/>
        <v>736</v>
      </c>
      <c r="F125" s="49">
        <v>45313.0</v>
      </c>
      <c r="G125" s="20" t="s">
        <v>50</v>
      </c>
      <c r="H125" s="20">
        <v>380.0</v>
      </c>
      <c r="I125" s="20" t="str">
        <f>VLOOKUP(B125,'товар'!$A$1:$C$433,2,FALSE)</f>
        <v>Чай</v>
      </c>
      <c r="J125" s="50">
        <f t="shared" si="2"/>
        <v>271.1818182</v>
      </c>
      <c r="K125" s="51">
        <f t="shared" si="3"/>
        <v>0.3570231311</v>
      </c>
      <c r="L125" s="20" t="str">
        <f>VLOOKUP(B125,'товар'!$A$1:$C$433,3,FALSE)</f>
        <v>Lipton</v>
      </c>
      <c r="M125" s="52">
        <f t="shared" si="4"/>
        <v>260.1578947</v>
      </c>
      <c r="N125" s="53">
        <f>VLOOKUP(H125,'клиенты'!$A$1:$F$435,5,FALSE)</f>
        <v>44563</v>
      </c>
      <c r="O125" s="20">
        <f t="shared" si="5"/>
        <v>750</v>
      </c>
      <c r="P125" s="20" t="str">
        <f>VLOOKUP(H125,'клиенты'!$A$2:$J$435,10,FALSE)</f>
        <v>Россия</v>
      </c>
      <c r="Q125" s="54">
        <f t="shared" si="6"/>
        <v>46078.45901</v>
      </c>
      <c r="R125" s="55">
        <f t="shared" si="7"/>
        <v>50.51530039</v>
      </c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41">
        <v>125.0</v>
      </c>
      <c r="B126" s="41">
        <v>83.0</v>
      </c>
      <c r="C126" s="41">
        <v>351.0</v>
      </c>
      <c r="D126" s="41">
        <v>1.0</v>
      </c>
      <c r="E126" s="41">
        <f t="shared" si="1"/>
        <v>351</v>
      </c>
      <c r="F126" s="42">
        <v>45361.0</v>
      </c>
      <c r="G126" s="41" t="s">
        <v>41</v>
      </c>
      <c r="H126" s="41">
        <v>11.0</v>
      </c>
      <c r="I126" s="41" t="str">
        <f>VLOOKUP(B126,'товар'!$A$1:$C$433,2,FALSE)</f>
        <v>Сок</v>
      </c>
      <c r="J126" s="43">
        <f t="shared" si="2"/>
        <v>268.6034483</v>
      </c>
      <c r="K126" s="44">
        <f t="shared" si="3"/>
        <v>0.3067590988</v>
      </c>
      <c r="L126" s="41" t="str">
        <f>VLOOKUP(B126,'товар'!$A$1:$C$433,3,FALSE)</f>
        <v>Сады Придонья</v>
      </c>
      <c r="M126" s="45">
        <f t="shared" si="4"/>
        <v>254.1818182</v>
      </c>
      <c r="N126" s="46">
        <f>VLOOKUP(H126,'клиенты'!$A$1:$F$435,5,FALSE)</f>
        <v>44690</v>
      </c>
      <c r="O126" s="41">
        <f t="shared" si="5"/>
        <v>671</v>
      </c>
      <c r="P126" s="41" t="str">
        <f>VLOOKUP(H126,'клиенты'!$A$2:$J$435,10,FALSE)</f>
        <v>Таджикистан</v>
      </c>
      <c r="Q126" s="47">
        <f t="shared" si="6"/>
        <v>46078.45901</v>
      </c>
      <c r="R126" s="48">
        <f t="shared" si="7"/>
        <v>46.28196706</v>
      </c>
      <c r="S126" s="41"/>
      <c r="T126" s="41"/>
      <c r="U126" s="41"/>
      <c r="V126" s="41"/>
      <c r="W126" s="41"/>
      <c r="X126" s="41"/>
      <c r="Y126" s="41"/>
      <c r="Z126" s="41"/>
    </row>
    <row r="127" ht="14.25" customHeight="1">
      <c r="A127" s="20">
        <v>126.0</v>
      </c>
      <c r="B127" s="20">
        <v>242.0</v>
      </c>
      <c r="C127" s="20">
        <v>221.0</v>
      </c>
      <c r="D127" s="20">
        <v>5.0</v>
      </c>
      <c r="E127" s="20">
        <f t="shared" si="1"/>
        <v>1105</v>
      </c>
      <c r="F127" s="49">
        <v>45025.0</v>
      </c>
      <c r="G127" s="20" t="s">
        <v>38</v>
      </c>
      <c r="H127" s="20">
        <v>114.0</v>
      </c>
      <c r="I127" s="20" t="str">
        <f>VLOOKUP(B127,'товар'!$A$1:$C$433,2,FALSE)</f>
        <v>Овощи</v>
      </c>
      <c r="J127" s="50">
        <f t="shared" si="2"/>
        <v>250.4878049</v>
      </c>
      <c r="K127" s="51">
        <f t="shared" si="3"/>
        <v>-0.117721519</v>
      </c>
      <c r="L127" s="20" t="str">
        <f>VLOOKUP(B127,'товар'!$A$1:$C$433,3,FALSE)</f>
        <v>Овощной ряд</v>
      </c>
      <c r="M127" s="52">
        <f t="shared" si="4"/>
        <v>303.8235294</v>
      </c>
      <c r="N127" s="53">
        <f>VLOOKUP(H127,'клиенты'!$A$1:$F$435,5,FALSE)</f>
        <v>44889</v>
      </c>
      <c r="O127" s="20">
        <f t="shared" si="5"/>
        <v>136</v>
      </c>
      <c r="P127" s="20" t="str">
        <f>VLOOKUP(H127,'клиенты'!$A$2:$J$435,10,FALSE)</f>
        <v>Россия</v>
      </c>
      <c r="Q127" s="54">
        <f t="shared" si="6"/>
        <v>46078.45901</v>
      </c>
      <c r="R127" s="55">
        <f t="shared" si="7"/>
        <v>39.64863372</v>
      </c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41">
        <v>127.0</v>
      </c>
      <c r="B128" s="41">
        <v>281.0</v>
      </c>
      <c r="C128" s="41">
        <v>442.0</v>
      </c>
      <c r="D128" s="41">
        <v>5.0</v>
      </c>
      <c r="E128" s="41">
        <f t="shared" si="1"/>
        <v>2210</v>
      </c>
      <c r="F128" s="42">
        <v>45379.0</v>
      </c>
      <c r="G128" s="41" t="s">
        <v>37</v>
      </c>
      <c r="H128" s="41">
        <v>381.0</v>
      </c>
      <c r="I128" s="41" t="str">
        <f>VLOOKUP(B128,'товар'!$A$1:$C$433,2,FALSE)</f>
        <v>Чай</v>
      </c>
      <c r="J128" s="43">
        <f t="shared" si="2"/>
        <v>271.1818182</v>
      </c>
      <c r="K128" s="44">
        <f t="shared" si="3"/>
        <v>0.6299027824</v>
      </c>
      <c r="L128" s="41" t="str">
        <f>VLOOKUP(B128,'товар'!$A$1:$C$433,3,FALSE)</f>
        <v>Lipton</v>
      </c>
      <c r="M128" s="45">
        <f t="shared" si="4"/>
        <v>260.1578947</v>
      </c>
      <c r="N128" s="46">
        <f>VLOOKUP(H128,'клиенты'!$A$1:$F$435,5,FALSE)</f>
        <v>44714</v>
      </c>
      <c r="O128" s="41">
        <f t="shared" si="5"/>
        <v>665</v>
      </c>
      <c r="P128" s="41" t="str">
        <f>VLOOKUP(H128,'клиенты'!$A$2:$J$435,10,FALSE)</f>
        <v>Узбекистан</v>
      </c>
      <c r="Q128" s="47">
        <f t="shared" si="6"/>
        <v>46078.45901</v>
      </c>
      <c r="R128" s="48">
        <f t="shared" si="7"/>
        <v>45.48196706</v>
      </c>
      <c r="S128" s="41"/>
      <c r="T128" s="41"/>
      <c r="U128" s="41"/>
      <c r="V128" s="41"/>
      <c r="W128" s="41"/>
      <c r="X128" s="41"/>
      <c r="Y128" s="41"/>
      <c r="Z128" s="41"/>
    </row>
    <row r="129" ht="14.25" customHeight="1">
      <c r="A129" s="20">
        <v>128.0</v>
      </c>
      <c r="B129" s="20">
        <v>236.0</v>
      </c>
      <c r="C129" s="20">
        <v>465.0</v>
      </c>
      <c r="D129" s="20">
        <v>1.0</v>
      </c>
      <c r="E129" s="20">
        <f t="shared" si="1"/>
        <v>465</v>
      </c>
      <c r="F129" s="49">
        <v>45176.0</v>
      </c>
      <c r="G129" s="20" t="s">
        <v>47</v>
      </c>
      <c r="H129" s="20">
        <v>342.0</v>
      </c>
      <c r="I129" s="20" t="str">
        <f>VLOOKUP(B129,'товар'!$A$1:$C$433,2,FALSE)</f>
        <v>Печенье</v>
      </c>
      <c r="J129" s="50">
        <f t="shared" si="2"/>
        <v>283.4680851</v>
      </c>
      <c r="K129" s="51">
        <f t="shared" si="3"/>
        <v>0.6403963071</v>
      </c>
      <c r="L129" s="20" t="str">
        <f>VLOOKUP(B129,'товар'!$A$1:$C$433,3,FALSE)</f>
        <v>Посиделкино</v>
      </c>
      <c r="M129" s="52">
        <f t="shared" si="4"/>
        <v>321.6363636</v>
      </c>
      <c r="N129" s="53">
        <f>VLOOKUP(H129,'клиенты'!$A$1:$F$435,5,FALSE)</f>
        <v>44570</v>
      </c>
      <c r="O129" s="20">
        <f t="shared" si="5"/>
        <v>606</v>
      </c>
      <c r="P129" s="20" t="str">
        <f>VLOOKUP(H129,'клиенты'!$A$2:$J$435,10,FALSE)</f>
        <v>Таджикистан</v>
      </c>
      <c r="Q129" s="54">
        <f t="shared" si="6"/>
        <v>46078.45901</v>
      </c>
      <c r="R129" s="55">
        <f t="shared" si="7"/>
        <v>50.28196706</v>
      </c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41">
        <v>129.0</v>
      </c>
      <c r="B130" s="41">
        <v>379.0</v>
      </c>
      <c r="C130" s="41">
        <v>380.0</v>
      </c>
      <c r="D130" s="41">
        <v>1.0</v>
      </c>
      <c r="E130" s="41">
        <f t="shared" si="1"/>
        <v>380</v>
      </c>
      <c r="F130" s="42">
        <v>45260.0</v>
      </c>
      <c r="G130" s="41" t="s">
        <v>47</v>
      </c>
      <c r="H130" s="41">
        <v>276.0</v>
      </c>
      <c r="I130" s="41" t="str">
        <f>VLOOKUP(B130,'товар'!$A$1:$C$433,2,FALSE)</f>
        <v>Йогурт</v>
      </c>
      <c r="J130" s="43">
        <f t="shared" si="2"/>
        <v>263.2542373</v>
      </c>
      <c r="K130" s="44">
        <f t="shared" si="3"/>
        <v>0.4434715426</v>
      </c>
      <c r="L130" s="41" t="str">
        <f>VLOOKUP(B130,'товар'!$A$1:$C$433,3,FALSE)</f>
        <v>Активиа</v>
      </c>
      <c r="M130" s="45">
        <f t="shared" si="4"/>
        <v>293.6666667</v>
      </c>
      <c r="N130" s="46">
        <f>VLOOKUP(H130,'клиенты'!$A$1:$F$435,5,FALSE)</f>
        <v>44632</v>
      </c>
      <c r="O130" s="41">
        <f t="shared" si="5"/>
        <v>628</v>
      </c>
      <c r="P130" s="41" t="str">
        <f>VLOOKUP(H130,'клиенты'!$A$2:$J$435,10,FALSE)</f>
        <v>Таджикистан</v>
      </c>
      <c r="Q130" s="47">
        <f t="shared" si="6"/>
        <v>46078.45901</v>
      </c>
      <c r="R130" s="48">
        <f t="shared" si="7"/>
        <v>48.21530039</v>
      </c>
      <c r="S130" s="41"/>
      <c r="T130" s="41"/>
      <c r="U130" s="41"/>
      <c r="V130" s="41"/>
      <c r="W130" s="41"/>
      <c r="X130" s="41"/>
      <c r="Y130" s="41"/>
      <c r="Z130" s="41"/>
    </row>
    <row r="131" ht="14.25" customHeight="1">
      <c r="A131" s="20">
        <v>130.0</v>
      </c>
      <c r="B131" s="20">
        <v>37.0</v>
      </c>
      <c r="C131" s="20">
        <v>313.0</v>
      </c>
      <c r="D131" s="20">
        <v>1.0</v>
      </c>
      <c r="E131" s="20">
        <f t="shared" si="1"/>
        <v>313</v>
      </c>
      <c r="F131" s="49">
        <v>45009.0</v>
      </c>
      <c r="G131" s="20" t="s">
        <v>51</v>
      </c>
      <c r="H131" s="20">
        <v>293.0</v>
      </c>
      <c r="I131" s="20" t="str">
        <f>VLOOKUP(B131,'товар'!$A$1:$C$433,2,FALSE)</f>
        <v>Соль</v>
      </c>
      <c r="J131" s="50">
        <f t="shared" si="2"/>
        <v>264.8679245</v>
      </c>
      <c r="K131" s="51">
        <f t="shared" si="3"/>
        <v>0.1817210429</v>
      </c>
      <c r="L131" s="20" t="str">
        <f>VLOOKUP(B131,'товар'!$A$1:$C$433,3,FALSE)</f>
        <v>Илецкая</v>
      </c>
      <c r="M131" s="52">
        <f t="shared" si="4"/>
        <v>238.1666667</v>
      </c>
      <c r="N131" s="53">
        <f>VLOOKUP(H131,'клиенты'!$A$1:$F$435,5,FALSE)</f>
        <v>44573</v>
      </c>
      <c r="O131" s="20">
        <f t="shared" si="5"/>
        <v>436</v>
      </c>
      <c r="P131" s="20" t="str">
        <f>VLOOKUP(H131,'клиенты'!$A$2:$J$435,10,FALSE)</f>
        <v>Беларусь</v>
      </c>
      <c r="Q131" s="54">
        <f t="shared" si="6"/>
        <v>46078.45901</v>
      </c>
      <c r="R131" s="55">
        <f t="shared" si="7"/>
        <v>50.18196706</v>
      </c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41">
        <v>131.0</v>
      </c>
      <c r="B132" s="41">
        <v>431.0</v>
      </c>
      <c r="C132" s="41">
        <v>141.0</v>
      </c>
      <c r="D132" s="41">
        <v>5.0</v>
      </c>
      <c r="E132" s="41">
        <f t="shared" si="1"/>
        <v>705</v>
      </c>
      <c r="F132" s="42">
        <v>45029.0</v>
      </c>
      <c r="G132" s="41" t="s">
        <v>35</v>
      </c>
      <c r="H132" s="41">
        <v>386.0</v>
      </c>
      <c r="I132" s="41" t="str">
        <f>VLOOKUP(B132,'товар'!$A$1:$C$433,2,FALSE)</f>
        <v>Овощи</v>
      </c>
      <c r="J132" s="43">
        <f t="shared" si="2"/>
        <v>250.4878049</v>
      </c>
      <c r="K132" s="44">
        <f t="shared" si="3"/>
        <v>-0.4370983447</v>
      </c>
      <c r="L132" s="41" t="str">
        <f>VLOOKUP(B132,'товар'!$A$1:$C$433,3,FALSE)</f>
        <v>Гавриш</v>
      </c>
      <c r="M132" s="45">
        <f t="shared" si="4"/>
        <v>247.6666667</v>
      </c>
      <c r="N132" s="46">
        <f>VLOOKUP(H132,'клиенты'!$A$1:$F$435,5,FALSE)</f>
        <v>44734</v>
      </c>
      <c r="O132" s="41">
        <f t="shared" si="5"/>
        <v>295</v>
      </c>
      <c r="P132" s="41" t="str">
        <f>VLOOKUP(H132,'клиенты'!$A$2:$J$435,10,FALSE)</f>
        <v>Узбекистан</v>
      </c>
      <c r="Q132" s="47">
        <f t="shared" si="6"/>
        <v>46078.45901</v>
      </c>
      <c r="R132" s="48">
        <f t="shared" si="7"/>
        <v>44.81530039</v>
      </c>
      <c r="S132" s="41"/>
      <c r="T132" s="41"/>
      <c r="U132" s="41"/>
      <c r="V132" s="41"/>
      <c r="W132" s="41"/>
      <c r="X132" s="41"/>
      <c r="Y132" s="41"/>
      <c r="Z132" s="41"/>
    </row>
    <row r="133" ht="14.25" customHeight="1">
      <c r="A133" s="20">
        <v>132.0</v>
      </c>
      <c r="B133" s="20">
        <v>237.0</v>
      </c>
      <c r="C133" s="20">
        <v>348.0</v>
      </c>
      <c r="D133" s="20">
        <v>2.0</v>
      </c>
      <c r="E133" s="20">
        <f t="shared" si="1"/>
        <v>696</v>
      </c>
      <c r="F133" s="49">
        <v>45384.0</v>
      </c>
      <c r="G133" s="20" t="s">
        <v>46</v>
      </c>
      <c r="H133" s="20">
        <v>362.0</v>
      </c>
      <c r="I133" s="20" t="str">
        <f>VLOOKUP(B133,'товар'!$A$1:$C$433,2,FALSE)</f>
        <v>Конфеты</v>
      </c>
      <c r="J133" s="50">
        <f t="shared" si="2"/>
        <v>267.8548387</v>
      </c>
      <c r="K133" s="51">
        <f t="shared" si="3"/>
        <v>0.299211176</v>
      </c>
      <c r="L133" s="20" t="str">
        <f>VLOOKUP(B133,'товар'!$A$1:$C$433,3,FALSE)</f>
        <v>Рот Фронт</v>
      </c>
      <c r="M133" s="52">
        <f t="shared" si="4"/>
        <v>288.2380952</v>
      </c>
      <c r="N133" s="53">
        <f>VLOOKUP(H133,'клиенты'!$A$1:$F$435,5,FALSE)</f>
        <v>44916</v>
      </c>
      <c r="O133" s="20">
        <f t="shared" si="5"/>
        <v>468</v>
      </c>
      <c r="P133" s="20" t="str">
        <f>VLOOKUP(H133,'клиенты'!$A$2:$J$435,10,FALSE)</f>
        <v>Россия</v>
      </c>
      <c r="Q133" s="54">
        <f t="shared" si="6"/>
        <v>46078.45901</v>
      </c>
      <c r="R133" s="55">
        <f t="shared" si="7"/>
        <v>38.74863372</v>
      </c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41">
        <v>133.0</v>
      </c>
      <c r="B134" s="41">
        <v>452.0</v>
      </c>
      <c r="C134" s="41">
        <v>349.0</v>
      </c>
      <c r="D134" s="41">
        <v>1.0</v>
      </c>
      <c r="E134" s="41">
        <f t="shared" si="1"/>
        <v>349</v>
      </c>
      <c r="F134" s="42">
        <v>45000.0</v>
      </c>
      <c r="G134" s="41" t="s">
        <v>52</v>
      </c>
      <c r="H134" s="41">
        <v>283.0</v>
      </c>
      <c r="I134" s="41" t="str">
        <f>VLOOKUP(B134,'товар'!$A$1:$C$433,2,FALSE)</f>
        <v>Фрукты</v>
      </c>
      <c r="J134" s="43">
        <f t="shared" si="2"/>
        <v>274.1627907</v>
      </c>
      <c r="K134" s="44">
        <f t="shared" si="3"/>
        <v>0.2729663245</v>
      </c>
      <c r="L134" s="41" t="str">
        <f>VLOOKUP(B134,'товар'!$A$1:$C$433,3,FALSE)</f>
        <v>Экзотик</v>
      </c>
      <c r="M134" s="45">
        <f t="shared" si="4"/>
        <v>253.6875</v>
      </c>
      <c r="N134" s="46">
        <f>VLOOKUP(H134,'клиенты'!$A$1:$F$435,5,FALSE)</f>
        <v>44889</v>
      </c>
      <c r="O134" s="41">
        <f t="shared" si="5"/>
        <v>111</v>
      </c>
      <c r="P134" s="41" t="str">
        <f>VLOOKUP(H134,'клиенты'!$A$2:$J$435,10,FALSE)</f>
        <v>Таджикистан</v>
      </c>
      <c r="Q134" s="47">
        <f t="shared" si="6"/>
        <v>46078.45901</v>
      </c>
      <c r="R134" s="48">
        <f t="shared" si="7"/>
        <v>39.64863372</v>
      </c>
      <c r="S134" s="41"/>
      <c r="T134" s="41"/>
      <c r="U134" s="41"/>
      <c r="V134" s="41"/>
      <c r="W134" s="41"/>
      <c r="X134" s="41"/>
      <c r="Y134" s="41"/>
      <c r="Z134" s="41"/>
    </row>
    <row r="135" ht="14.25" customHeight="1">
      <c r="A135" s="20">
        <v>134.0</v>
      </c>
      <c r="B135" s="20">
        <v>382.0</v>
      </c>
      <c r="C135" s="20">
        <v>379.0</v>
      </c>
      <c r="D135" s="20">
        <v>5.0</v>
      </c>
      <c r="E135" s="20">
        <f t="shared" si="1"/>
        <v>1895</v>
      </c>
      <c r="F135" s="49">
        <v>45314.0</v>
      </c>
      <c r="G135" s="20" t="s">
        <v>51</v>
      </c>
      <c r="H135" s="20">
        <v>388.0</v>
      </c>
      <c r="I135" s="20" t="str">
        <f>VLOOKUP(B135,'товар'!$A$1:$C$433,2,FALSE)</f>
        <v>Овощи</v>
      </c>
      <c r="J135" s="50">
        <f t="shared" si="2"/>
        <v>250.4878049</v>
      </c>
      <c r="K135" s="51">
        <f t="shared" si="3"/>
        <v>0.5130477118</v>
      </c>
      <c r="L135" s="20" t="str">
        <f>VLOOKUP(B135,'товар'!$A$1:$C$433,3,FALSE)</f>
        <v>Овощной ряд</v>
      </c>
      <c r="M135" s="52">
        <f t="shared" si="4"/>
        <v>303.8235294</v>
      </c>
      <c r="N135" s="53">
        <f>VLOOKUP(H135,'клиенты'!$A$1:$F$435,5,FALSE)</f>
        <v>44581</v>
      </c>
      <c r="O135" s="20">
        <f t="shared" si="5"/>
        <v>733</v>
      </c>
      <c r="P135" s="20" t="str">
        <f>VLOOKUP(H135,'клиенты'!$A$2:$J$435,10,FALSE)</f>
        <v>Россия</v>
      </c>
      <c r="Q135" s="54">
        <f t="shared" si="6"/>
        <v>46078.45901</v>
      </c>
      <c r="R135" s="55">
        <f t="shared" si="7"/>
        <v>49.91530039</v>
      </c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41">
        <v>135.0</v>
      </c>
      <c r="B136" s="41">
        <v>452.0</v>
      </c>
      <c r="C136" s="41">
        <v>448.0</v>
      </c>
      <c r="D136" s="41">
        <v>4.0</v>
      </c>
      <c r="E136" s="41">
        <f t="shared" si="1"/>
        <v>1792</v>
      </c>
      <c r="F136" s="42">
        <v>45434.0</v>
      </c>
      <c r="G136" s="41" t="s">
        <v>47</v>
      </c>
      <c r="H136" s="41">
        <v>437.0</v>
      </c>
      <c r="I136" s="41" t="str">
        <f>VLOOKUP(B136,'товар'!$A$1:$C$433,2,FALSE)</f>
        <v>Фрукты</v>
      </c>
      <c r="J136" s="43">
        <f t="shared" si="2"/>
        <v>274.1627907</v>
      </c>
      <c r="K136" s="44">
        <f t="shared" si="3"/>
        <v>0.6340656544</v>
      </c>
      <c r="L136" s="41" t="str">
        <f>VLOOKUP(B136,'товар'!$A$1:$C$433,3,FALSE)</f>
        <v>Экзотик</v>
      </c>
      <c r="M136" s="45">
        <f t="shared" si="4"/>
        <v>253.6875</v>
      </c>
      <c r="N136" s="46">
        <f>VLOOKUP(H136,'клиенты'!$A$1:$F$435,5,FALSE)</f>
        <v>44576</v>
      </c>
      <c r="O136" s="41">
        <f t="shared" si="5"/>
        <v>858</v>
      </c>
      <c r="P136" s="41" t="str">
        <f>VLOOKUP(H136,'клиенты'!$A$2:$J$435,10,FALSE)</f>
        <v>Узбекистан</v>
      </c>
      <c r="Q136" s="47">
        <f t="shared" si="6"/>
        <v>46078.45901</v>
      </c>
      <c r="R136" s="48">
        <f t="shared" si="7"/>
        <v>50.08196706</v>
      </c>
      <c r="S136" s="41"/>
      <c r="T136" s="41"/>
      <c r="U136" s="41"/>
      <c r="V136" s="41"/>
      <c r="W136" s="41"/>
      <c r="X136" s="41"/>
      <c r="Y136" s="41"/>
      <c r="Z136" s="41"/>
    </row>
    <row r="137" ht="14.25" customHeight="1">
      <c r="A137" s="20">
        <v>136.0</v>
      </c>
      <c r="B137" s="20">
        <v>463.0</v>
      </c>
      <c r="C137" s="20">
        <v>173.0</v>
      </c>
      <c r="D137" s="20">
        <v>2.0</v>
      </c>
      <c r="E137" s="20">
        <f t="shared" si="1"/>
        <v>346</v>
      </c>
      <c r="F137" s="49">
        <v>45038.0</v>
      </c>
      <c r="G137" s="20" t="s">
        <v>50</v>
      </c>
      <c r="H137" s="20">
        <v>450.0</v>
      </c>
      <c r="I137" s="20" t="str">
        <f>VLOOKUP(B137,'товар'!$A$1:$C$433,2,FALSE)</f>
        <v>Кофе</v>
      </c>
      <c r="J137" s="50">
        <f t="shared" si="2"/>
        <v>249.0238095</v>
      </c>
      <c r="K137" s="51">
        <f t="shared" si="3"/>
        <v>-0.3052873124</v>
      </c>
      <c r="L137" s="20" t="str">
        <f>VLOOKUP(B137,'товар'!$A$1:$C$433,3,FALSE)</f>
        <v>Черная Карта</v>
      </c>
      <c r="M137" s="52">
        <f t="shared" si="4"/>
        <v>222.2</v>
      </c>
      <c r="N137" s="53">
        <f>VLOOKUP(H137,'клиенты'!$A$1:$F$435,5,FALSE)</f>
        <v>44619</v>
      </c>
      <c r="O137" s="20">
        <f t="shared" si="5"/>
        <v>419</v>
      </c>
      <c r="P137" s="20" t="str">
        <f>VLOOKUP(H137,'клиенты'!$A$2:$J$435,10,FALSE)</f>
        <v>Россия</v>
      </c>
      <c r="Q137" s="54">
        <f t="shared" si="6"/>
        <v>46078.45901</v>
      </c>
      <c r="R137" s="55">
        <f t="shared" si="7"/>
        <v>48.64863372</v>
      </c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41">
        <v>137.0</v>
      </c>
      <c r="B138" s="41">
        <v>494.0</v>
      </c>
      <c r="C138" s="41">
        <v>304.0</v>
      </c>
      <c r="D138" s="41">
        <v>3.0</v>
      </c>
      <c r="E138" s="41">
        <f t="shared" si="1"/>
        <v>912</v>
      </c>
      <c r="F138" s="42">
        <v>45070.0</v>
      </c>
      <c r="G138" s="41" t="s">
        <v>42</v>
      </c>
      <c r="H138" s="41">
        <v>136.0</v>
      </c>
      <c r="I138" s="41" t="str">
        <f>VLOOKUP(B138,'товар'!$A$1:$C$433,2,FALSE)</f>
        <v>Сыр</v>
      </c>
      <c r="J138" s="43">
        <f t="shared" si="2"/>
        <v>262.6349206</v>
      </c>
      <c r="K138" s="44">
        <f t="shared" si="3"/>
        <v>0.1575003022</v>
      </c>
      <c r="L138" s="41" t="str">
        <f>VLOOKUP(B138,'товар'!$A$1:$C$433,3,FALSE)</f>
        <v>Сырная долина</v>
      </c>
      <c r="M138" s="45">
        <f t="shared" si="4"/>
        <v>271</v>
      </c>
      <c r="N138" s="46">
        <f>VLOOKUP(H138,'клиенты'!$A$1:$F$435,5,FALSE)</f>
        <v>44860</v>
      </c>
      <c r="O138" s="41">
        <f t="shared" si="5"/>
        <v>210</v>
      </c>
      <c r="P138" s="41" t="str">
        <f>VLOOKUP(H138,'клиенты'!$A$2:$J$435,10,FALSE)</f>
        <v>Украина</v>
      </c>
      <c r="Q138" s="47">
        <f t="shared" si="6"/>
        <v>46078.45901</v>
      </c>
      <c r="R138" s="48">
        <f t="shared" si="7"/>
        <v>40.61530039</v>
      </c>
      <c r="S138" s="41"/>
      <c r="T138" s="41"/>
      <c r="U138" s="41"/>
      <c r="V138" s="41"/>
      <c r="W138" s="41"/>
      <c r="X138" s="41"/>
      <c r="Y138" s="41"/>
      <c r="Z138" s="41"/>
    </row>
    <row r="139" ht="14.25" customHeight="1">
      <c r="A139" s="20">
        <v>138.0</v>
      </c>
      <c r="B139" s="20">
        <v>394.0</v>
      </c>
      <c r="C139" s="20">
        <v>493.0</v>
      </c>
      <c r="D139" s="20">
        <v>3.0</v>
      </c>
      <c r="E139" s="20">
        <f t="shared" si="1"/>
        <v>1479</v>
      </c>
      <c r="F139" s="49">
        <v>45032.0</v>
      </c>
      <c r="G139" s="20" t="s">
        <v>53</v>
      </c>
      <c r="H139" s="20">
        <v>61.0</v>
      </c>
      <c r="I139" s="20" t="str">
        <f>VLOOKUP(B139,'товар'!$A$1:$C$433,2,FALSE)</f>
        <v>Кофе</v>
      </c>
      <c r="J139" s="50">
        <f t="shared" si="2"/>
        <v>249.0238095</v>
      </c>
      <c r="K139" s="51">
        <f t="shared" si="3"/>
        <v>0.9797303758</v>
      </c>
      <c r="L139" s="20" t="str">
        <f>VLOOKUP(B139,'товар'!$A$1:$C$433,3,FALSE)</f>
        <v>Черная Карта</v>
      </c>
      <c r="M139" s="52">
        <f t="shared" si="4"/>
        <v>222.2</v>
      </c>
      <c r="N139" s="53">
        <f>VLOOKUP(H139,'клиенты'!$A$1:$F$435,5,FALSE)</f>
        <v>44769</v>
      </c>
      <c r="O139" s="20">
        <f t="shared" si="5"/>
        <v>263</v>
      </c>
      <c r="P139" s="20" t="str">
        <f>VLOOKUP(H139,'клиенты'!$A$2:$J$435,10,FALSE)</f>
        <v>Таджикистан</v>
      </c>
      <c r="Q139" s="54">
        <f t="shared" si="6"/>
        <v>46078.45901</v>
      </c>
      <c r="R139" s="55">
        <f t="shared" si="7"/>
        <v>43.64863372</v>
      </c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41">
        <v>139.0</v>
      </c>
      <c r="B140" s="41">
        <v>380.0</v>
      </c>
      <c r="C140" s="41">
        <v>344.0</v>
      </c>
      <c r="D140" s="41">
        <v>5.0</v>
      </c>
      <c r="E140" s="41">
        <f t="shared" si="1"/>
        <v>1720</v>
      </c>
      <c r="F140" s="42">
        <v>45189.0</v>
      </c>
      <c r="G140" s="41" t="s">
        <v>53</v>
      </c>
      <c r="H140" s="41">
        <v>364.0</v>
      </c>
      <c r="I140" s="41" t="str">
        <f>VLOOKUP(B140,'товар'!$A$1:$C$433,2,FALSE)</f>
        <v>Конфеты</v>
      </c>
      <c r="J140" s="43">
        <f t="shared" si="2"/>
        <v>267.8548387</v>
      </c>
      <c r="K140" s="44">
        <f t="shared" si="3"/>
        <v>0.2842777142</v>
      </c>
      <c r="L140" s="41" t="str">
        <f>VLOOKUP(B140,'товар'!$A$1:$C$433,3,FALSE)</f>
        <v>Бабаевский</v>
      </c>
      <c r="M140" s="45">
        <f t="shared" si="4"/>
        <v>250.2592593</v>
      </c>
      <c r="N140" s="46">
        <f>VLOOKUP(H140,'клиенты'!$A$1:$F$435,5,FALSE)</f>
        <v>44883</v>
      </c>
      <c r="O140" s="41">
        <f t="shared" si="5"/>
        <v>306</v>
      </c>
      <c r="P140" s="41" t="str">
        <f>VLOOKUP(H140,'клиенты'!$A$2:$J$435,10,FALSE)</f>
        <v>Россия</v>
      </c>
      <c r="Q140" s="47">
        <f t="shared" si="6"/>
        <v>46078.45901</v>
      </c>
      <c r="R140" s="48">
        <f t="shared" si="7"/>
        <v>39.84863372</v>
      </c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20">
        <v>140.0</v>
      </c>
      <c r="B141" s="20">
        <v>449.0</v>
      </c>
      <c r="C141" s="20">
        <v>470.0</v>
      </c>
      <c r="D141" s="20">
        <v>4.0</v>
      </c>
      <c r="E141" s="20">
        <f t="shared" si="1"/>
        <v>1880</v>
      </c>
      <c r="F141" s="49">
        <v>45110.0</v>
      </c>
      <c r="G141" s="20" t="s">
        <v>35</v>
      </c>
      <c r="H141" s="20">
        <v>496.0</v>
      </c>
      <c r="I141" s="20" t="str">
        <f>VLOOKUP(B141,'товар'!$A$1:$C$433,2,FALSE)</f>
        <v>Мясо</v>
      </c>
      <c r="J141" s="50">
        <f t="shared" si="2"/>
        <v>271.7454545</v>
      </c>
      <c r="K141" s="51">
        <f t="shared" si="3"/>
        <v>0.7295597484</v>
      </c>
      <c r="L141" s="20" t="str">
        <f>VLOOKUP(B141,'товар'!$A$1:$C$433,3,FALSE)</f>
        <v>Агрокомплекс</v>
      </c>
      <c r="M141" s="52">
        <f t="shared" si="4"/>
        <v>311.2</v>
      </c>
      <c r="N141" s="53">
        <f>VLOOKUP(H141,'клиенты'!$A$1:$F$435,5,FALSE)</f>
        <v>44867</v>
      </c>
      <c r="O141" s="20">
        <f t="shared" si="5"/>
        <v>243</v>
      </c>
      <c r="P141" s="20" t="str">
        <f>VLOOKUP(H141,'клиенты'!$A$2:$J$435,10,FALSE)</f>
        <v>Украина</v>
      </c>
      <c r="Q141" s="54">
        <f t="shared" si="6"/>
        <v>46078.45901</v>
      </c>
      <c r="R141" s="55">
        <f t="shared" si="7"/>
        <v>40.38196706</v>
      </c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41">
        <v>141.0</v>
      </c>
      <c r="B142" s="41">
        <v>309.0</v>
      </c>
      <c r="C142" s="41">
        <v>498.0</v>
      </c>
      <c r="D142" s="41">
        <v>1.0</v>
      </c>
      <c r="E142" s="41">
        <f t="shared" si="1"/>
        <v>498</v>
      </c>
      <c r="F142" s="42">
        <v>45372.0</v>
      </c>
      <c r="G142" s="41" t="s">
        <v>35</v>
      </c>
      <c r="H142" s="41">
        <v>464.0</v>
      </c>
      <c r="I142" s="41" t="str">
        <f>VLOOKUP(B142,'товар'!$A$1:$C$433,2,FALSE)</f>
        <v>Конфеты</v>
      </c>
      <c r="J142" s="43">
        <f t="shared" si="2"/>
        <v>267.8548387</v>
      </c>
      <c r="K142" s="44">
        <f t="shared" si="3"/>
        <v>0.8592159933</v>
      </c>
      <c r="L142" s="41" t="str">
        <f>VLOOKUP(B142,'товар'!$A$1:$C$433,3,FALSE)</f>
        <v>Рот Фронт</v>
      </c>
      <c r="M142" s="45">
        <f t="shared" si="4"/>
        <v>288.2380952</v>
      </c>
      <c r="N142" s="46">
        <f>VLOOKUP(H142,'клиенты'!$A$1:$F$435,5,FALSE)</f>
        <v>44827</v>
      </c>
      <c r="O142" s="41">
        <f t="shared" si="5"/>
        <v>545</v>
      </c>
      <c r="P142" s="41" t="str">
        <f>VLOOKUP(H142,'клиенты'!$A$2:$J$435,10,FALSE)</f>
        <v>Россия</v>
      </c>
      <c r="Q142" s="47">
        <f t="shared" si="6"/>
        <v>46078.45901</v>
      </c>
      <c r="R142" s="48">
        <f t="shared" si="7"/>
        <v>41.71530039</v>
      </c>
      <c r="S142" s="41"/>
      <c r="T142" s="41"/>
      <c r="U142" s="41"/>
      <c r="V142" s="41"/>
      <c r="W142" s="41"/>
      <c r="X142" s="41"/>
      <c r="Y142" s="41"/>
      <c r="Z142" s="41"/>
    </row>
    <row r="143" ht="14.25" customHeight="1">
      <c r="A143" s="20">
        <v>142.0</v>
      </c>
      <c r="B143" s="20">
        <v>112.0</v>
      </c>
      <c r="C143" s="20">
        <v>351.0</v>
      </c>
      <c r="D143" s="20">
        <v>3.0</v>
      </c>
      <c r="E143" s="20">
        <f t="shared" si="1"/>
        <v>1053</v>
      </c>
      <c r="F143" s="49">
        <v>45368.0</v>
      </c>
      <c r="G143" s="20" t="s">
        <v>35</v>
      </c>
      <c r="H143" s="20">
        <v>419.0</v>
      </c>
      <c r="I143" s="20" t="str">
        <f>VLOOKUP(B143,'товар'!$A$1:$C$433,2,FALSE)</f>
        <v>Молоко</v>
      </c>
      <c r="J143" s="50">
        <f t="shared" si="2"/>
        <v>294.952381</v>
      </c>
      <c r="K143" s="51">
        <f t="shared" si="3"/>
        <v>0.1900226025</v>
      </c>
      <c r="L143" s="20" t="str">
        <f>VLOOKUP(B143,'товар'!$A$1:$C$433,3,FALSE)</f>
        <v>Беллакт</v>
      </c>
      <c r="M143" s="52">
        <f t="shared" si="4"/>
        <v>322.5454545</v>
      </c>
      <c r="N143" s="53">
        <f>VLOOKUP(H143,'клиенты'!$A$1:$F$435,5,FALSE)</f>
        <v>44869</v>
      </c>
      <c r="O143" s="20">
        <f t="shared" si="5"/>
        <v>499</v>
      </c>
      <c r="P143" s="20" t="str">
        <f>VLOOKUP(H143,'клиенты'!$A$2:$J$435,10,FALSE)</f>
        <v>Таджикистан</v>
      </c>
      <c r="Q143" s="54">
        <f t="shared" si="6"/>
        <v>46078.45901</v>
      </c>
      <c r="R143" s="55">
        <f t="shared" si="7"/>
        <v>40.31530039</v>
      </c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41">
        <v>143.0</v>
      </c>
      <c r="B144" s="41">
        <v>81.0</v>
      </c>
      <c r="C144" s="41">
        <v>116.0</v>
      </c>
      <c r="D144" s="41">
        <v>1.0</v>
      </c>
      <c r="E144" s="41">
        <f t="shared" si="1"/>
        <v>116</v>
      </c>
      <c r="F144" s="42">
        <v>45356.0</v>
      </c>
      <c r="G144" s="41" t="s">
        <v>40</v>
      </c>
      <c r="H144" s="41">
        <v>247.0</v>
      </c>
      <c r="I144" s="41" t="str">
        <f>VLOOKUP(B144,'товар'!$A$1:$C$433,2,FALSE)</f>
        <v>Чай</v>
      </c>
      <c r="J144" s="43">
        <f t="shared" si="2"/>
        <v>271.1818182</v>
      </c>
      <c r="K144" s="44">
        <f t="shared" si="3"/>
        <v>-0.5722427087</v>
      </c>
      <c r="L144" s="41" t="str">
        <f>VLOOKUP(B144,'товар'!$A$1:$C$433,3,FALSE)</f>
        <v>Тесс</v>
      </c>
      <c r="M144" s="45">
        <f t="shared" si="4"/>
        <v>281.75</v>
      </c>
      <c r="N144" s="46">
        <f>VLOOKUP(H144,'клиенты'!$A$1:$F$435,5,FALSE)</f>
        <v>44762</v>
      </c>
      <c r="O144" s="41">
        <f t="shared" si="5"/>
        <v>594</v>
      </c>
      <c r="P144" s="41" t="str">
        <f>VLOOKUP(H144,'клиенты'!$A$2:$J$435,10,FALSE)</f>
        <v>Узбекистан</v>
      </c>
      <c r="Q144" s="47">
        <f t="shared" si="6"/>
        <v>46078.45901</v>
      </c>
      <c r="R144" s="48">
        <f t="shared" si="7"/>
        <v>43.88196706</v>
      </c>
      <c r="S144" s="41"/>
      <c r="T144" s="41"/>
      <c r="U144" s="41"/>
      <c r="V144" s="41"/>
      <c r="W144" s="41"/>
      <c r="X144" s="41"/>
      <c r="Y144" s="41"/>
      <c r="Z144" s="41"/>
    </row>
    <row r="145" ht="14.25" customHeight="1">
      <c r="A145" s="20">
        <v>144.0</v>
      </c>
      <c r="B145" s="20">
        <v>4.0</v>
      </c>
      <c r="C145" s="20">
        <v>314.0</v>
      </c>
      <c r="D145" s="20">
        <v>4.0</v>
      </c>
      <c r="E145" s="20">
        <f t="shared" si="1"/>
        <v>1256</v>
      </c>
      <c r="F145" s="49">
        <v>45336.0</v>
      </c>
      <c r="G145" s="20" t="s">
        <v>42</v>
      </c>
      <c r="H145" s="20">
        <v>380.0</v>
      </c>
      <c r="I145" s="20" t="str">
        <f>VLOOKUP(B145,'товар'!$A$1:$C$433,2,FALSE)</f>
        <v>Рис</v>
      </c>
      <c r="J145" s="50">
        <f t="shared" si="2"/>
        <v>258.375</v>
      </c>
      <c r="K145" s="51">
        <f t="shared" si="3"/>
        <v>0.2152878568</v>
      </c>
      <c r="L145" s="20" t="str">
        <f>VLOOKUP(B145,'товар'!$A$1:$C$433,3,FALSE)</f>
        <v>Белый Злат</v>
      </c>
      <c r="M145" s="52">
        <f t="shared" si="4"/>
        <v>269.7058824</v>
      </c>
      <c r="N145" s="53">
        <f>VLOOKUP(H145,'клиенты'!$A$1:$F$435,5,FALSE)</f>
        <v>44563</v>
      </c>
      <c r="O145" s="20">
        <f t="shared" si="5"/>
        <v>773</v>
      </c>
      <c r="P145" s="20" t="str">
        <f>VLOOKUP(H145,'клиенты'!$A$2:$J$435,10,FALSE)</f>
        <v>Россия</v>
      </c>
      <c r="Q145" s="54">
        <f t="shared" si="6"/>
        <v>46078.45901</v>
      </c>
      <c r="R145" s="55">
        <f t="shared" si="7"/>
        <v>50.51530039</v>
      </c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41">
        <v>145.0</v>
      </c>
      <c r="B146" s="41">
        <v>209.0</v>
      </c>
      <c r="C146" s="41">
        <v>284.0</v>
      </c>
      <c r="D146" s="41">
        <v>5.0</v>
      </c>
      <c r="E146" s="41">
        <f t="shared" si="1"/>
        <v>1420</v>
      </c>
      <c r="F146" s="42">
        <v>45167.0</v>
      </c>
      <c r="G146" s="41" t="s">
        <v>53</v>
      </c>
      <c r="H146" s="41">
        <v>75.0</v>
      </c>
      <c r="I146" s="41" t="str">
        <f>VLOOKUP(B146,'товар'!$A$1:$C$433,2,FALSE)</f>
        <v>Хлеб</v>
      </c>
      <c r="J146" s="43">
        <f t="shared" si="2"/>
        <v>300.3181818</v>
      </c>
      <c r="K146" s="44">
        <f t="shared" si="3"/>
        <v>-0.05433630997</v>
      </c>
      <c r="L146" s="41" t="str">
        <f>VLOOKUP(B146,'товар'!$A$1:$C$433,3,FALSE)</f>
        <v>Русский Хлеб</v>
      </c>
      <c r="M146" s="45">
        <f t="shared" si="4"/>
        <v>316.6</v>
      </c>
      <c r="N146" s="46">
        <f>VLOOKUP(H146,'клиенты'!$A$1:$F$435,5,FALSE)</f>
        <v>44796</v>
      </c>
      <c r="O146" s="41">
        <f t="shared" si="5"/>
        <v>371</v>
      </c>
      <c r="P146" s="41" t="str">
        <f>VLOOKUP(H146,'клиенты'!$A$2:$J$435,10,FALSE)</f>
        <v>Украина</v>
      </c>
      <c r="Q146" s="47">
        <f t="shared" si="6"/>
        <v>46078.45901</v>
      </c>
      <c r="R146" s="48">
        <f t="shared" si="7"/>
        <v>42.74863372</v>
      </c>
      <c r="S146" s="41"/>
      <c r="T146" s="41"/>
      <c r="U146" s="41"/>
      <c r="V146" s="41"/>
      <c r="W146" s="41"/>
      <c r="X146" s="41"/>
      <c r="Y146" s="41"/>
      <c r="Z146" s="41"/>
    </row>
    <row r="147" ht="14.25" customHeight="1">
      <c r="A147" s="20">
        <v>146.0</v>
      </c>
      <c r="B147" s="20">
        <v>156.0</v>
      </c>
      <c r="C147" s="20">
        <v>332.0</v>
      </c>
      <c r="D147" s="20">
        <v>1.0</v>
      </c>
      <c r="E147" s="20">
        <f t="shared" si="1"/>
        <v>332</v>
      </c>
      <c r="F147" s="49">
        <v>45069.0</v>
      </c>
      <c r="G147" s="20" t="s">
        <v>48</v>
      </c>
      <c r="H147" s="20">
        <v>356.0</v>
      </c>
      <c r="I147" s="20" t="str">
        <f>VLOOKUP(B147,'товар'!$A$1:$C$433,2,FALSE)</f>
        <v>Фрукты</v>
      </c>
      <c r="J147" s="50">
        <f t="shared" si="2"/>
        <v>274.1627907</v>
      </c>
      <c r="K147" s="51">
        <f t="shared" si="3"/>
        <v>0.2109593689</v>
      </c>
      <c r="L147" s="20" t="str">
        <f>VLOOKUP(B147,'товар'!$A$1:$C$433,3,FALSE)</f>
        <v>Фрукты-Ягоды</v>
      </c>
      <c r="M147" s="52">
        <f t="shared" si="4"/>
        <v>280.6666667</v>
      </c>
      <c r="N147" s="53">
        <f>VLOOKUP(H147,'клиенты'!$A$1:$F$435,5,FALSE)</f>
        <v>44570</v>
      </c>
      <c r="O147" s="20">
        <f t="shared" si="5"/>
        <v>499</v>
      </c>
      <c r="P147" s="20" t="str">
        <f>VLOOKUP(H147,'клиенты'!$A$2:$J$435,10,FALSE)</f>
        <v>Таджикистан</v>
      </c>
      <c r="Q147" s="54">
        <f t="shared" si="6"/>
        <v>46078.45901</v>
      </c>
      <c r="R147" s="55">
        <f t="shared" si="7"/>
        <v>50.28196706</v>
      </c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41">
        <v>147.0</v>
      </c>
      <c r="B148" s="41">
        <v>441.0</v>
      </c>
      <c r="C148" s="41">
        <v>239.0</v>
      </c>
      <c r="D148" s="41">
        <v>2.0</v>
      </c>
      <c r="E148" s="41">
        <f t="shared" si="1"/>
        <v>478</v>
      </c>
      <c r="F148" s="42">
        <v>45103.0</v>
      </c>
      <c r="G148" s="41" t="s">
        <v>49</v>
      </c>
      <c r="H148" s="41">
        <v>487.0</v>
      </c>
      <c r="I148" s="41" t="str">
        <f>VLOOKUP(B148,'товар'!$A$1:$C$433,2,FALSE)</f>
        <v>Чай</v>
      </c>
      <c r="J148" s="43">
        <f t="shared" si="2"/>
        <v>271.1818182</v>
      </c>
      <c r="K148" s="44">
        <f t="shared" si="3"/>
        <v>-0.1186724774</v>
      </c>
      <c r="L148" s="41" t="str">
        <f>VLOOKUP(B148,'товар'!$A$1:$C$433,3,FALSE)</f>
        <v>Lipton</v>
      </c>
      <c r="M148" s="45">
        <f t="shared" si="4"/>
        <v>260.1578947</v>
      </c>
      <c r="N148" s="46">
        <f>VLOOKUP(H148,'клиенты'!$A$1:$F$435,5,FALSE)</f>
        <v>44815</v>
      </c>
      <c r="O148" s="41">
        <f t="shared" si="5"/>
        <v>288</v>
      </c>
      <c r="P148" s="41" t="str">
        <f>VLOOKUP(H148,'клиенты'!$A$2:$J$435,10,FALSE)</f>
        <v>Россия</v>
      </c>
      <c r="Q148" s="47">
        <f t="shared" si="6"/>
        <v>46078.45901</v>
      </c>
      <c r="R148" s="48">
        <f t="shared" si="7"/>
        <v>42.11530039</v>
      </c>
      <c r="S148" s="41"/>
      <c r="T148" s="41"/>
      <c r="U148" s="41"/>
      <c r="V148" s="41"/>
      <c r="W148" s="41"/>
      <c r="X148" s="41"/>
      <c r="Y148" s="41"/>
      <c r="Z148" s="41"/>
    </row>
    <row r="149" ht="14.25" customHeight="1">
      <c r="A149" s="20">
        <v>148.0</v>
      </c>
      <c r="B149" s="20">
        <v>180.0</v>
      </c>
      <c r="C149" s="20">
        <v>86.0</v>
      </c>
      <c r="D149" s="20">
        <v>4.0</v>
      </c>
      <c r="E149" s="20">
        <f t="shared" si="1"/>
        <v>344</v>
      </c>
      <c r="F149" s="49">
        <v>45326.0</v>
      </c>
      <c r="G149" s="20" t="s">
        <v>48</v>
      </c>
      <c r="H149" s="20">
        <v>73.0</v>
      </c>
      <c r="I149" s="20" t="str">
        <f>VLOOKUP(B149,'товар'!$A$1:$C$433,2,FALSE)</f>
        <v>Чипсы</v>
      </c>
      <c r="J149" s="50">
        <f t="shared" si="2"/>
        <v>273.7254902</v>
      </c>
      <c r="K149" s="51">
        <f t="shared" si="3"/>
        <v>-0.6858166189</v>
      </c>
      <c r="L149" s="20" t="str">
        <f>VLOOKUP(B149,'товар'!$A$1:$C$433,3,FALSE)</f>
        <v>Русская картошка</v>
      </c>
      <c r="M149" s="52">
        <f t="shared" si="4"/>
        <v>241.8333333</v>
      </c>
      <c r="N149" s="53">
        <f>VLOOKUP(H149,'клиенты'!$A$1:$F$435,5,FALSE)</f>
        <v>44665</v>
      </c>
      <c r="O149" s="20">
        <f t="shared" si="5"/>
        <v>661</v>
      </c>
      <c r="P149" s="20" t="str">
        <f>VLOOKUP(H149,'клиенты'!$A$2:$J$435,10,FALSE)</f>
        <v>Украина</v>
      </c>
      <c r="Q149" s="54">
        <f t="shared" si="6"/>
        <v>46078.45901</v>
      </c>
      <c r="R149" s="55">
        <f t="shared" si="7"/>
        <v>47.11530039</v>
      </c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41">
        <v>149.0</v>
      </c>
      <c r="B150" s="41">
        <v>438.0</v>
      </c>
      <c r="C150" s="41">
        <v>154.0</v>
      </c>
      <c r="D150" s="41">
        <v>4.0</v>
      </c>
      <c r="E150" s="41">
        <f t="shared" si="1"/>
        <v>616</v>
      </c>
      <c r="F150" s="42">
        <v>45264.0</v>
      </c>
      <c r="G150" s="41" t="s">
        <v>53</v>
      </c>
      <c r="H150" s="41">
        <v>139.0</v>
      </c>
      <c r="I150" s="41" t="str">
        <f>VLOOKUP(B150,'товар'!$A$1:$C$433,2,FALSE)</f>
        <v>Кофе</v>
      </c>
      <c r="J150" s="43">
        <f t="shared" si="2"/>
        <v>249.0238095</v>
      </c>
      <c r="K150" s="44">
        <f t="shared" si="3"/>
        <v>-0.3815852376</v>
      </c>
      <c r="L150" s="41" t="str">
        <f>VLOOKUP(B150,'товар'!$A$1:$C$433,3,FALSE)</f>
        <v>Nescafe</v>
      </c>
      <c r="M150" s="45">
        <f t="shared" si="4"/>
        <v>256.9</v>
      </c>
      <c r="N150" s="46">
        <f>VLOOKUP(H150,'клиенты'!$A$1:$F$435,5,FALSE)</f>
        <v>44648</v>
      </c>
      <c r="O150" s="41">
        <f t="shared" si="5"/>
        <v>616</v>
      </c>
      <c r="P150" s="41" t="str">
        <f>VLOOKUP(H150,'клиенты'!$A$2:$J$435,10,FALSE)</f>
        <v>Беларусь</v>
      </c>
      <c r="Q150" s="47">
        <f t="shared" si="6"/>
        <v>46078.45901</v>
      </c>
      <c r="R150" s="48">
        <f t="shared" si="7"/>
        <v>47.68196706</v>
      </c>
      <c r="S150" s="41"/>
      <c r="T150" s="41"/>
      <c r="U150" s="41"/>
      <c r="V150" s="41"/>
      <c r="W150" s="41"/>
      <c r="X150" s="41"/>
      <c r="Y150" s="41"/>
      <c r="Z150" s="41"/>
    </row>
    <row r="151" ht="14.25" customHeight="1">
      <c r="A151" s="20">
        <v>150.0</v>
      </c>
      <c r="B151" s="20">
        <v>232.0</v>
      </c>
      <c r="C151" s="20">
        <v>109.0</v>
      </c>
      <c r="D151" s="20">
        <v>4.0</v>
      </c>
      <c r="E151" s="20">
        <f t="shared" si="1"/>
        <v>436</v>
      </c>
      <c r="F151" s="49">
        <v>45387.0</v>
      </c>
      <c r="G151" s="20" t="s">
        <v>38</v>
      </c>
      <c r="H151" s="20">
        <v>407.0</v>
      </c>
      <c r="I151" s="20" t="str">
        <f>VLOOKUP(B151,'товар'!$A$1:$C$433,2,FALSE)</f>
        <v>Молоко</v>
      </c>
      <c r="J151" s="50">
        <f t="shared" si="2"/>
        <v>294.952381</v>
      </c>
      <c r="K151" s="51">
        <f t="shared" si="3"/>
        <v>-0.6304488214</v>
      </c>
      <c r="L151" s="20" t="str">
        <f>VLOOKUP(B151,'товар'!$A$1:$C$433,3,FALSE)</f>
        <v>Простоквашино</v>
      </c>
      <c r="M151" s="52">
        <f t="shared" si="4"/>
        <v>318.8181818</v>
      </c>
      <c r="N151" s="53">
        <f>VLOOKUP(H151,'клиенты'!$A$1:$F$435,5,FALSE)</f>
        <v>44621</v>
      </c>
      <c r="O151" s="20">
        <f t="shared" si="5"/>
        <v>766</v>
      </c>
      <c r="P151" s="20" t="str">
        <f>VLOOKUP(H151,'клиенты'!$A$2:$J$435,10,FALSE)</f>
        <v>Беларусь</v>
      </c>
      <c r="Q151" s="54">
        <f t="shared" si="6"/>
        <v>46078.45901</v>
      </c>
      <c r="R151" s="55">
        <f t="shared" si="7"/>
        <v>48.58196706</v>
      </c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41">
        <v>151.0</v>
      </c>
      <c r="B152" s="41">
        <v>206.0</v>
      </c>
      <c r="C152" s="41">
        <v>73.0</v>
      </c>
      <c r="D152" s="41">
        <v>5.0</v>
      </c>
      <c r="E152" s="41">
        <f t="shared" si="1"/>
        <v>365</v>
      </c>
      <c r="F152" s="42">
        <v>45310.0</v>
      </c>
      <c r="G152" s="41" t="s">
        <v>37</v>
      </c>
      <c r="H152" s="41">
        <v>115.0</v>
      </c>
      <c r="I152" s="41" t="str">
        <f>VLOOKUP(B152,'товар'!$A$1:$C$433,2,FALSE)</f>
        <v>Молоко</v>
      </c>
      <c r="J152" s="43">
        <f t="shared" si="2"/>
        <v>294.952381</v>
      </c>
      <c r="K152" s="44">
        <f t="shared" si="3"/>
        <v>-0.7525024217</v>
      </c>
      <c r="L152" s="41" t="str">
        <f>VLOOKUP(B152,'товар'!$A$1:$C$433,3,FALSE)</f>
        <v>Домик в деревне</v>
      </c>
      <c r="M152" s="45">
        <f t="shared" si="4"/>
        <v>274.7777778</v>
      </c>
      <c r="N152" s="46">
        <f>VLOOKUP(H152,'клиенты'!$A$1:$F$435,5,FALSE)</f>
        <v>44832</v>
      </c>
      <c r="O152" s="41">
        <f t="shared" si="5"/>
        <v>478</v>
      </c>
      <c r="P152" s="41" t="str">
        <f>VLOOKUP(H152,'клиенты'!$A$2:$J$435,10,FALSE)</f>
        <v>Беларусь</v>
      </c>
      <c r="Q152" s="47">
        <f t="shared" si="6"/>
        <v>46078.45901</v>
      </c>
      <c r="R152" s="48">
        <f t="shared" si="7"/>
        <v>41.54863372</v>
      </c>
      <c r="S152" s="41"/>
      <c r="T152" s="41"/>
      <c r="U152" s="41"/>
      <c r="V152" s="41"/>
      <c r="W152" s="41"/>
      <c r="X152" s="41"/>
      <c r="Y152" s="41"/>
      <c r="Z152" s="41"/>
    </row>
    <row r="153" ht="14.25" customHeight="1">
      <c r="A153" s="20">
        <v>152.0</v>
      </c>
      <c r="B153" s="20">
        <v>295.0</v>
      </c>
      <c r="C153" s="20">
        <v>230.0</v>
      </c>
      <c r="D153" s="20">
        <v>4.0</v>
      </c>
      <c r="E153" s="20">
        <f t="shared" si="1"/>
        <v>920</v>
      </c>
      <c r="F153" s="49">
        <v>44990.0</v>
      </c>
      <c r="G153" s="20" t="s">
        <v>53</v>
      </c>
      <c r="H153" s="20">
        <v>258.0</v>
      </c>
      <c r="I153" s="20" t="str">
        <f>VLOOKUP(B153,'товар'!$A$1:$C$433,2,FALSE)</f>
        <v>Печенье</v>
      </c>
      <c r="J153" s="50">
        <f t="shared" si="2"/>
        <v>283.4680851</v>
      </c>
      <c r="K153" s="51">
        <f t="shared" si="3"/>
        <v>-0.1886211814</v>
      </c>
      <c r="L153" s="20" t="str">
        <f>VLOOKUP(B153,'товар'!$A$1:$C$433,3,FALSE)</f>
        <v>Белогорье</v>
      </c>
      <c r="M153" s="52">
        <f t="shared" si="4"/>
        <v>249.5</v>
      </c>
      <c r="N153" s="53">
        <f>VLOOKUP(H153,'клиенты'!$A$1:$F$435,5,FALSE)</f>
        <v>44717</v>
      </c>
      <c r="O153" s="20">
        <f t="shared" si="5"/>
        <v>273</v>
      </c>
      <c r="P153" s="20" t="str">
        <f>VLOOKUP(H153,'клиенты'!$A$2:$J$435,10,FALSE)</f>
        <v>Украина</v>
      </c>
      <c r="Q153" s="54">
        <f t="shared" si="6"/>
        <v>46078.45901</v>
      </c>
      <c r="R153" s="55">
        <f t="shared" si="7"/>
        <v>45.38196706</v>
      </c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41">
        <v>153.0</v>
      </c>
      <c r="B154" s="41">
        <v>204.0</v>
      </c>
      <c r="C154" s="41">
        <v>88.0</v>
      </c>
      <c r="D154" s="41">
        <v>4.0</v>
      </c>
      <c r="E154" s="41">
        <f t="shared" si="1"/>
        <v>352</v>
      </c>
      <c r="F154" s="42">
        <v>44990.0</v>
      </c>
      <c r="G154" s="41" t="s">
        <v>49</v>
      </c>
      <c r="H154" s="41">
        <v>349.0</v>
      </c>
      <c r="I154" s="41" t="str">
        <f>VLOOKUP(B154,'товар'!$A$1:$C$433,2,FALSE)</f>
        <v>Печенье</v>
      </c>
      <c r="J154" s="43">
        <f t="shared" si="2"/>
        <v>283.4680851</v>
      </c>
      <c r="K154" s="44">
        <f t="shared" si="3"/>
        <v>-0.6895594085</v>
      </c>
      <c r="L154" s="41" t="str">
        <f>VLOOKUP(B154,'товар'!$A$1:$C$433,3,FALSE)</f>
        <v>Юбилейное</v>
      </c>
      <c r="M154" s="45">
        <f t="shared" si="4"/>
        <v>232.4444444</v>
      </c>
      <c r="N154" s="46">
        <f>VLOOKUP(H154,'клиенты'!$A$1:$F$435,5,FALSE)</f>
        <v>44673</v>
      </c>
      <c r="O154" s="41">
        <f t="shared" si="5"/>
        <v>317</v>
      </c>
      <c r="P154" s="41" t="str">
        <f>VLOOKUP(H154,'клиенты'!$A$2:$J$435,10,FALSE)</f>
        <v>Россия</v>
      </c>
      <c r="Q154" s="47">
        <f t="shared" si="6"/>
        <v>46078.45901</v>
      </c>
      <c r="R154" s="48">
        <f t="shared" si="7"/>
        <v>46.84863372</v>
      </c>
      <c r="S154" s="41"/>
      <c r="T154" s="41"/>
      <c r="U154" s="41"/>
      <c r="V154" s="41"/>
      <c r="W154" s="41"/>
      <c r="X154" s="41"/>
      <c r="Y154" s="41"/>
      <c r="Z154" s="41"/>
    </row>
    <row r="155" ht="14.25" customHeight="1">
      <c r="A155" s="20">
        <v>154.0</v>
      </c>
      <c r="B155" s="20">
        <v>399.0</v>
      </c>
      <c r="C155" s="20">
        <v>231.0</v>
      </c>
      <c r="D155" s="20">
        <v>2.0</v>
      </c>
      <c r="E155" s="20">
        <f t="shared" si="1"/>
        <v>462</v>
      </c>
      <c r="F155" s="49">
        <v>45290.0</v>
      </c>
      <c r="G155" s="20" t="s">
        <v>44</v>
      </c>
      <c r="H155" s="20">
        <v>325.0</v>
      </c>
      <c r="I155" s="20" t="str">
        <f>VLOOKUP(B155,'товар'!$A$1:$C$433,2,FALSE)</f>
        <v>Хлеб</v>
      </c>
      <c r="J155" s="50">
        <f t="shared" si="2"/>
        <v>300.3181818</v>
      </c>
      <c r="K155" s="51">
        <f t="shared" si="3"/>
        <v>-0.2308158014</v>
      </c>
      <c r="L155" s="20" t="str">
        <f>VLOOKUP(B155,'товар'!$A$1:$C$433,3,FALSE)</f>
        <v>Хлебный Дом</v>
      </c>
      <c r="M155" s="52">
        <f t="shared" si="4"/>
        <v>281.7333333</v>
      </c>
      <c r="N155" s="53">
        <f>VLOOKUP(H155,'клиенты'!$A$1:$F$435,5,FALSE)</f>
        <v>44875</v>
      </c>
      <c r="O155" s="20">
        <f t="shared" si="5"/>
        <v>415</v>
      </c>
      <c r="P155" s="20" t="str">
        <f>VLOOKUP(H155,'клиенты'!$A$2:$J$435,10,FALSE)</f>
        <v>Таджикистан</v>
      </c>
      <c r="Q155" s="54">
        <f t="shared" si="6"/>
        <v>46078.45901</v>
      </c>
      <c r="R155" s="55">
        <f t="shared" si="7"/>
        <v>40.11530039</v>
      </c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41">
        <v>155.0</v>
      </c>
      <c r="B156" s="41">
        <v>221.0</v>
      </c>
      <c r="C156" s="41">
        <v>477.0</v>
      </c>
      <c r="D156" s="41">
        <v>4.0</v>
      </c>
      <c r="E156" s="41">
        <f t="shared" si="1"/>
        <v>1908</v>
      </c>
      <c r="F156" s="42">
        <v>45185.0</v>
      </c>
      <c r="G156" s="41" t="s">
        <v>41</v>
      </c>
      <c r="H156" s="41">
        <v>276.0</v>
      </c>
      <c r="I156" s="41" t="str">
        <f>VLOOKUP(B156,'товар'!$A$1:$C$433,2,FALSE)</f>
        <v>Чипсы</v>
      </c>
      <c r="J156" s="43">
        <f t="shared" si="2"/>
        <v>273.7254902</v>
      </c>
      <c r="K156" s="44">
        <f t="shared" si="3"/>
        <v>0.7426217765</v>
      </c>
      <c r="L156" s="41" t="str">
        <f>VLOOKUP(B156,'товар'!$A$1:$C$433,3,FALSE)</f>
        <v>Pringles</v>
      </c>
      <c r="M156" s="45">
        <f t="shared" si="4"/>
        <v>280.2380952</v>
      </c>
      <c r="N156" s="46">
        <f>VLOOKUP(H156,'клиенты'!$A$1:$F$435,5,FALSE)</f>
        <v>44632</v>
      </c>
      <c r="O156" s="41">
        <f t="shared" si="5"/>
        <v>553</v>
      </c>
      <c r="P156" s="41" t="str">
        <f>VLOOKUP(H156,'клиенты'!$A$2:$J$435,10,FALSE)</f>
        <v>Таджикистан</v>
      </c>
      <c r="Q156" s="47">
        <f t="shared" si="6"/>
        <v>46078.45901</v>
      </c>
      <c r="R156" s="48">
        <f t="shared" si="7"/>
        <v>48.21530039</v>
      </c>
      <c r="S156" s="41"/>
      <c r="T156" s="41"/>
      <c r="U156" s="41"/>
      <c r="V156" s="41"/>
      <c r="W156" s="41"/>
      <c r="X156" s="41"/>
      <c r="Y156" s="41"/>
      <c r="Z156" s="41"/>
    </row>
    <row r="157" ht="14.25" customHeight="1">
      <c r="A157" s="20">
        <v>156.0</v>
      </c>
      <c r="B157" s="20">
        <v>333.0</v>
      </c>
      <c r="C157" s="20">
        <v>74.0</v>
      </c>
      <c r="D157" s="20">
        <v>2.0</v>
      </c>
      <c r="E157" s="20">
        <f t="shared" si="1"/>
        <v>148</v>
      </c>
      <c r="F157" s="49">
        <v>45153.0</v>
      </c>
      <c r="G157" s="20" t="s">
        <v>51</v>
      </c>
      <c r="H157" s="20">
        <v>328.0</v>
      </c>
      <c r="I157" s="20" t="str">
        <f>VLOOKUP(B157,'товар'!$A$1:$C$433,2,FALSE)</f>
        <v>Рыба</v>
      </c>
      <c r="J157" s="50">
        <f t="shared" si="2"/>
        <v>258.5128205</v>
      </c>
      <c r="K157" s="51">
        <f t="shared" si="3"/>
        <v>-0.7137472724</v>
      </c>
      <c r="L157" s="20" t="str">
        <f>VLOOKUP(B157,'товар'!$A$1:$C$433,3,FALSE)</f>
        <v>Санта Бремор</v>
      </c>
      <c r="M157" s="52">
        <f t="shared" si="4"/>
        <v>216.4</v>
      </c>
      <c r="N157" s="53">
        <f>VLOOKUP(H157,'клиенты'!$A$1:$F$435,5,FALSE)</f>
        <v>44568</v>
      </c>
      <c r="O157" s="20">
        <f t="shared" si="5"/>
        <v>585</v>
      </c>
      <c r="P157" s="20" t="str">
        <f>VLOOKUP(H157,'клиенты'!$A$2:$J$435,10,FALSE)</f>
        <v>Россия</v>
      </c>
      <c r="Q157" s="54">
        <f t="shared" si="6"/>
        <v>46078.45901</v>
      </c>
      <c r="R157" s="55">
        <f t="shared" si="7"/>
        <v>50.34863372</v>
      </c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41">
        <v>157.0</v>
      </c>
      <c r="B158" s="41">
        <v>498.0</v>
      </c>
      <c r="C158" s="41">
        <v>430.0</v>
      </c>
      <c r="D158" s="41">
        <v>5.0</v>
      </c>
      <c r="E158" s="41">
        <f t="shared" si="1"/>
        <v>2150</v>
      </c>
      <c r="F158" s="42">
        <v>45106.0</v>
      </c>
      <c r="G158" s="41" t="s">
        <v>36</v>
      </c>
      <c r="H158" s="41">
        <v>250.0</v>
      </c>
      <c r="I158" s="41" t="str">
        <f>VLOOKUP(B158,'товар'!$A$1:$C$433,2,FALSE)</f>
        <v>Молоко</v>
      </c>
      <c r="J158" s="43">
        <f t="shared" si="2"/>
        <v>294.952381</v>
      </c>
      <c r="K158" s="44">
        <f t="shared" si="3"/>
        <v>0.4578624475</v>
      </c>
      <c r="L158" s="41" t="str">
        <f>VLOOKUP(B158,'товар'!$A$1:$C$433,3,FALSE)</f>
        <v>Домик в деревне</v>
      </c>
      <c r="M158" s="45">
        <f t="shared" si="4"/>
        <v>274.7777778</v>
      </c>
      <c r="N158" s="46">
        <f>VLOOKUP(H158,'клиенты'!$A$1:$F$435,5,FALSE)</f>
        <v>44856</v>
      </c>
      <c r="O158" s="41">
        <f t="shared" si="5"/>
        <v>250</v>
      </c>
      <c r="P158" s="41" t="str">
        <f>VLOOKUP(H158,'клиенты'!$A$2:$J$435,10,FALSE)</f>
        <v>Россия</v>
      </c>
      <c r="Q158" s="47">
        <f t="shared" si="6"/>
        <v>46078.45901</v>
      </c>
      <c r="R158" s="48">
        <f t="shared" si="7"/>
        <v>40.74863372</v>
      </c>
      <c r="S158" s="41"/>
      <c r="T158" s="41"/>
      <c r="U158" s="41"/>
      <c r="V158" s="41"/>
      <c r="W158" s="41"/>
      <c r="X158" s="41"/>
      <c r="Y158" s="41"/>
      <c r="Z158" s="41"/>
    </row>
    <row r="159" ht="14.25" customHeight="1">
      <c r="A159" s="20">
        <v>158.0</v>
      </c>
      <c r="B159" s="20">
        <v>476.0</v>
      </c>
      <c r="C159" s="20">
        <v>286.0</v>
      </c>
      <c r="D159" s="20">
        <v>2.0</v>
      </c>
      <c r="E159" s="20">
        <f t="shared" si="1"/>
        <v>572</v>
      </c>
      <c r="F159" s="49">
        <v>44973.0</v>
      </c>
      <c r="G159" s="20" t="s">
        <v>39</v>
      </c>
      <c r="H159" s="20">
        <v>397.0</v>
      </c>
      <c r="I159" s="20" t="str">
        <f>VLOOKUP(B159,'товар'!$A$1:$C$433,2,FALSE)</f>
        <v>Рыба</v>
      </c>
      <c r="J159" s="50">
        <f t="shared" si="2"/>
        <v>258.5128205</v>
      </c>
      <c r="K159" s="51">
        <f t="shared" si="3"/>
        <v>0.1063281095</v>
      </c>
      <c r="L159" s="20" t="str">
        <f>VLOOKUP(B159,'товар'!$A$1:$C$433,3,FALSE)</f>
        <v>Балтийский берег</v>
      </c>
      <c r="M159" s="52">
        <f t="shared" si="4"/>
        <v>289.8888889</v>
      </c>
      <c r="N159" s="53">
        <f>VLOOKUP(H159,'клиенты'!$A$1:$F$435,5,FALSE)</f>
        <v>44728</v>
      </c>
      <c r="O159" s="20">
        <f t="shared" si="5"/>
        <v>245</v>
      </c>
      <c r="P159" s="20" t="str">
        <f>VLOOKUP(H159,'клиенты'!$A$2:$J$435,10,FALSE)</f>
        <v>Беларусь</v>
      </c>
      <c r="Q159" s="54">
        <f t="shared" si="6"/>
        <v>46078.45901</v>
      </c>
      <c r="R159" s="55">
        <f t="shared" si="7"/>
        <v>45.01530039</v>
      </c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41">
        <v>159.0</v>
      </c>
      <c r="B160" s="41">
        <v>126.0</v>
      </c>
      <c r="C160" s="41">
        <v>273.0</v>
      </c>
      <c r="D160" s="41">
        <v>3.0</v>
      </c>
      <c r="E160" s="41">
        <f t="shared" si="1"/>
        <v>819</v>
      </c>
      <c r="F160" s="42">
        <v>45051.0</v>
      </c>
      <c r="G160" s="41" t="s">
        <v>51</v>
      </c>
      <c r="H160" s="41">
        <v>153.0</v>
      </c>
      <c r="I160" s="41" t="str">
        <f>VLOOKUP(B160,'товар'!$A$1:$C$433,2,FALSE)</f>
        <v>Сахар</v>
      </c>
      <c r="J160" s="43">
        <f t="shared" si="2"/>
        <v>252.7627119</v>
      </c>
      <c r="K160" s="44">
        <f t="shared" si="3"/>
        <v>0.08006437337</v>
      </c>
      <c r="L160" s="41" t="str">
        <f>VLOOKUP(B160,'товар'!$A$1:$C$433,3,FALSE)</f>
        <v>Русский сахар</v>
      </c>
      <c r="M160" s="45">
        <f t="shared" si="4"/>
        <v>293.4117647</v>
      </c>
      <c r="N160" s="46">
        <f>VLOOKUP(H160,'клиенты'!$A$1:$F$435,5,FALSE)</f>
        <v>44802</v>
      </c>
      <c r="O160" s="41">
        <f t="shared" si="5"/>
        <v>249</v>
      </c>
      <c r="P160" s="41" t="str">
        <f>VLOOKUP(H160,'клиенты'!$A$2:$J$435,10,FALSE)</f>
        <v>Россия</v>
      </c>
      <c r="Q160" s="47">
        <f t="shared" si="6"/>
        <v>46078.45901</v>
      </c>
      <c r="R160" s="48">
        <f t="shared" si="7"/>
        <v>42.54863372</v>
      </c>
      <c r="S160" s="41"/>
      <c r="T160" s="41"/>
      <c r="U160" s="41"/>
      <c r="V160" s="41"/>
      <c r="W160" s="41"/>
      <c r="X160" s="41"/>
      <c r="Y160" s="41"/>
      <c r="Z160" s="41"/>
    </row>
    <row r="161" ht="14.25" customHeight="1">
      <c r="A161" s="20">
        <v>160.0</v>
      </c>
      <c r="B161" s="20">
        <v>255.0</v>
      </c>
      <c r="C161" s="20">
        <v>279.0</v>
      </c>
      <c r="D161" s="20">
        <v>3.0</v>
      </c>
      <c r="E161" s="20">
        <f t="shared" si="1"/>
        <v>837</v>
      </c>
      <c r="F161" s="49">
        <v>45081.0</v>
      </c>
      <c r="G161" s="20" t="s">
        <v>37</v>
      </c>
      <c r="H161" s="20">
        <v>286.0</v>
      </c>
      <c r="I161" s="20" t="str">
        <f>VLOOKUP(B161,'товар'!$A$1:$C$433,2,FALSE)</f>
        <v>Кофе</v>
      </c>
      <c r="J161" s="50">
        <f t="shared" si="2"/>
        <v>249.0238095</v>
      </c>
      <c r="K161" s="51">
        <f t="shared" si="3"/>
        <v>0.1203747968</v>
      </c>
      <c r="L161" s="20" t="str">
        <f>VLOOKUP(B161,'товар'!$A$1:$C$433,3,FALSE)</f>
        <v>Nescafe</v>
      </c>
      <c r="M161" s="52">
        <f t="shared" si="4"/>
        <v>256.9</v>
      </c>
      <c r="N161" s="53">
        <f>VLOOKUP(H161,'клиенты'!$A$1:$F$435,5,FALSE)</f>
        <v>44563</v>
      </c>
      <c r="O161" s="20">
        <f t="shared" si="5"/>
        <v>518</v>
      </c>
      <c r="P161" s="20" t="str">
        <f>VLOOKUP(H161,'клиенты'!$A$2:$J$435,10,FALSE)</f>
        <v>Таджикистан</v>
      </c>
      <c r="Q161" s="54">
        <f t="shared" si="6"/>
        <v>46078.45901</v>
      </c>
      <c r="R161" s="55">
        <f t="shared" si="7"/>
        <v>50.51530039</v>
      </c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41">
        <v>161.0</v>
      </c>
      <c r="B162" s="41">
        <v>138.0</v>
      </c>
      <c r="C162" s="41">
        <v>210.0</v>
      </c>
      <c r="D162" s="41">
        <v>2.0</v>
      </c>
      <c r="E162" s="41">
        <f t="shared" si="1"/>
        <v>420</v>
      </c>
      <c r="F162" s="42">
        <v>45012.0</v>
      </c>
      <c r="G162" s="41" t="s">
        <v>43</v>
      </c>
      <c r="H162" s="41">
        <v>14.0</v>
      </c>
      <c r="I162" s="41" t="str">
        <f>VLOOKUP(B162,'товар'!$A$1:$C$433,2,FALSE)</f>
        <v>Сыр</v>
      </c>
      <c r="J162" s="43">
        <f t="shared" si="2"/>
        <v>262.6349206</v>
      </c>
      <c r="K162" s="44">
        <f t="shared" si="3"/>
        <v>-0.2004109755</v>
      </c>
      <c r="L162" s="41" t="str">
        <f>VLOOKUP(B162,'товар'!$A$1:$C$433,3,FALSE)</f>
        <v>Сырная долина</v>
      </c>
      <c r="M162" s="45">
        <f t="shared" si="4"/>
        <v>271</v>
      </c>
      <c r="N162" s="46">
        <f>VLOOKUP(H162,'клиенты'!$A$1:$F$435,5,FALSE)</f>
        <v>44775</v>
      </c>
      <c r="O162" s="41">
        <f t="shared" si="5"/>
        <v>237</v>
      </c>
      <c r="P162" s="41" t="str">
        <f>VLOOKUP(H162,'клиенты'!$A$2:$J$435,10,FALSE)</f>
        <v>Таджикистан</v>
      </c>
      <c r="Q162" s="47">
        <f t="shared" si="6"/>
        <v>46078.45901</v>
      </c>
      <c r="R162" s="48">
        <f t="shared" si="7"/>
        <v>43.44863372</v>
      </c>
      <c r="S162" s="41"/>
      <c r="T162" s="41"/>
      <c r="U162" s="41"/>
      <c r="V162" s="41"/>
      <c r="W162" s="41"/>
      <c r="X162" s="41"/>
      <c r="Y162" s="41"/>
      <c r="Z162" s="41"/>
    </row>
    <row r="163" ht="14.25" customHeight="1">
      <c r="A163" s="20">
        <v>162.0</v>
      </c>
      <c r="B163" s="20">
        <v>403.0</v>
      </c>
      <c r="C163" s="20">
        <v>229.0</v>
      </c>
      <c r="D163" s="20">
        <v>1.0</v>
      </c>
      <c r="E163" s="20">
        <f t="shared" si="1"/>
        <v>229</v>
      </c>
      <c r="F163" s="49">
        <v>44991.0</v>
      </c>
      <c r="G163" s="20" t="s">
        <v>48</v>
      </c>
      <c r="H163" s="20">
        <v>32.0</v>
      </c>
      <c r="I163" s="20" t="str">
        <f>VLOOKUP(B163,'товар'!$A$1:$C$433,2,FALSE)</f>
        <v>Чай</v>
      </c>
      <c r="J163" s="50">
        <f t="shared" si="2"/>
        <v>271.1818182</v>
      </c>
      <c r="K163" s="51">
        <f t="shared" si="3"/>
        <v>-0.1555481059</v>
      </c>
      <c r="L163" s="20" t="str">
        <f>VLOOKUP(B163,'товар'!$A$1:$C$433,3,FALSE)</f>
        <v>Ахмад</v>
      </c>
      <c r="M163" s="52">
        <f t="shared" si="4"/>
        <v>243.3</v>
      </c>
      <c r="N163" s="53">
        <f>VLOOKUP(H163,'клиенты'!$A$1:$F$435,5,FALSE)</f>
        <v>44922</v>
      </c>
      <c r="O163" s="20">
        <f t="shared" si="5"/>
        <v>69</v>
      </c>
      <c r="P163" s="20" t="str">
        <f>VLOOKUP(H163,'клиенты'!$A$2:$J$435,10,FALSE)</f>
        <v>Узбекистан</v>
      </c>
      <c r="Q163" s="54">
        <f t="shared" si="6"/>
        <v>46078.45901</v>
      </c>
      <c r="R163" s="55">
        <f t="shared" si="7"/>
        <v>38.54863372</v>
      </c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41">
        <v>163.0</v>
      </c>
      <c r="B164" s="41">
        <v>280.0</v>
      </c>
      <c r="C164" s="41">
        <v>192.0</v>
      </c>
      <c r="D164" s="41">
        <v>2.0</v>
      </c>
      <c r="E164" s="41">
        <f t="shared" si="1"/>
        <v>384</v>
      </c>
      <c r="F164" s="42">
        <v>45283.0</v>
      </c>
      <c r="G164" s="41" t="s">
        <v>45</v>
      </c>
      <c r="H164" s="41">
        <v>49.0</v>
      </c>
      <c r="I164" s="41" t="str">
        <f>VLOOKUP(B164,'товар'!$A$1:$C$433,2,FALSE)</f>
        <v>Сыр</v>
      </c>
      <c r="J164" s="43">
        <f t="shared" si="2"/>
        <v>262.6349206</v>
      </c>
      <c r="K164" s="44">
        <f t="shared" si="3"/>
        <v>-0.2689471776</v>
      </c>
      <c r="L164" s="41" t="str">
        <f>VLOOKUP(B164,'товар'!$A$1:$C$433,3,FALSE)</f>
        <v>President</v>
      </c>
      <c r="M164" s="45">
        <f t="shared" si="4"/>
        <v>238.7222222</v>
      </c>
      <c r="N164" s="46">
        <f>VLOOKUP(H164,'клиенты'!$A$1:$F$435,5,FALSE)</f>
        <v>44672</v>
      </c>
      <c r="O164" s="41">
        <f t="shared" si="5"/>
        <v>611</v>
      </c>
      <c r="P164" s="41" t="str">
        <f>VLOOKUP(H164,'клиенты'!$A$2:$J$435,10,FALSE)</f>
        <v>Таджикистан</v>
      </c>
      <c r="Q164" s="47">
        <f t="shared" si="6"/>
        <v>46078.45901</v>
      </c>
      <c r="R164" s="48">
        <f t="shared" si="7"/>
        <v>46.88196706</v>
      </c>
      <c r="S164" s="41"/>
      <c r="T164" s="41"/>
      <c r="U164" s="41"/>
      <c r="V164" s="41"/>
      <c r="W164" s="41"/>
      <c r="X164" s="41"/>
      <c r="Y164" s="41"/>
      <c r="Z164" s="41"/>
    </row>
    <row r="165" ht="14.25" customHeight="1">
      <c r="A165" s="20">
        <v>164.0</v>
      </c>
      <c r="B165" s="20">
        <v>356.0</v>
      </c>
      <c r="C165" s="20">
        <v>373.0</v>
      </c>
      <c r="D165" s="20">
        <v>1.0</v>
      </c>
      <c r="E165" s="20">
        <f t="shared" si="1"/>
        <v>373</v>
      </c>
      <c r="F165" s="49">
        <v>45291.0</v>
      </c>
      <c r="G165" s="20" t="s">
        <v>37</v>
      </c>
      <c r="H165" s="20">
        <v>115.0</v>
      </c>
      <c r="I165" s="20" t="str">
        <f>VLOOKUP(B165,'товар'!$A$1:$C$433,2,FALSE)</f>
        <v>Печенье</v>
      </c>
      <c r="J165" s="50">
        <f t="shared" si="2"/>
        <v>283.4680851</v>
      </c>
      <c r="K165" s="51">
        <f t="shared" si="3"/>
        <v>0.3158447797</v>
      </c>
      <c r="L165" s="20" t="str">
        <f>VLOOKUP(B165,'товар'!$A$1:$C$433,3,FALSE)</f>
        <v>Посиделкино</v>
      </c>
      <c r="M165" s="52">
        <f t="shared" si="4"/>
        <v>321.6363636</v>
      </c>
      <c r="N165" s="53">
        <f>VLOOKUP(H165,'клиенты'!$A$1:$F$435,5,FALSE)</f>
        <v>44832</v>
      </c>
      <c r="O165" s="20">
        <f t="shared" si="5"/>
        <v>459</v>
      </c>
      <c r="P165" s="20" t="str">
        <f>VLOOKUP(H165,'клиенты'!$A$2:$J$435,10,FALSE)</f>
        <v>Беларусь</v>
      </c>
      <c r="Q165" s="54">
        <f t="shared" si="6"/>
        <v>46078.45901</v>
      </c>
      <c r="R165" s="55">
        <f t="shared" si="7"/>
        <v>41.54863372</v>
      </c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41">
        <v>165.0</v>
      </c>
      <c r="B166" s="41">
        <v>41.0</v>
      </c>
      <c r="C166" s="41">
        <v>315.0</v>
      </c>
      <c r="D166" s="41">
        <v>3.0</v>
      </c>
      <c r="E166" s="41">
        <f t="shared" si="1"/>
        <v>945</v>
      </c>
      <c r="F166" s="42">
        <v>45202.0</v>
      </c>
      <c r="G166" s="41" t="s">
        <v>54</v>
      </c>
      <c r="H166" s="41">
        <v>420.0</v>
      </c>
      <c r="I166" s="41" t="str">
        <f>VLOOKUP(B166,'товар'!$A$1:$C$433,2,FALSE)</f>
        <v>Рис</v>
      </c>
      <c r="J166" s="43">
        <f t="shared" si="2"/>
        <v>258.375</v>
      </c>
      <c r="K166" s="44">
        <f t="shared" si="3"/>
        <v>0.2191582003</v>
      </c>
      <c r="L166" s="41" t="str">
        <f>VLOOKUP(B166,'товар'!$A$1:$C$433,3,FALSE)</f>
        <v>Агро-Альянс</v>
      </c>
      <c r="M166" s="45">
        <f t="shared" si="4"/>
        <v>317.8571429</v>
      </c>
      <c r="N166" s="46">
        <f>VLOOKUP(H166,'клиенты'!$A$1:$F$435,5,FALSE)</f>
        <v>44698</v>
      </c>
      <c r="O166" s="41">
        <f t="shared" si="5"/>
        <v>504</v>
      </c>
      <c r="P166" s="41" t="str">
        <f>VLOOKUP(H166,'клиенты'!$A$2:$J$435,10,FALSE)</f>
        <v>Украина</v>
      </c>
      <c r="Q166" s="47">
        <f t="shared" si="6"/>
        <v>46078.45901</v>
      </c>
      <c r="R166" s="48">
        <f t="shared" si="7"/>
        <v>46.01530039</v>
      </c>
      <c r="S166" s="41"/>
      <c r="T166" s="41"/>
      <c r="U166" s="41"/>
      <c r="V166" s="41"/>
      <c r="W166" s="41"/>
      <c r="X166" s="41"/>
      <c r="Y166" s="41"/>
      <c r="Z166" s="41"/>
    </row>
    <row r="167" ht="14.25" customHeight="1">
      <c r="A167" s="20">
        <v>166.0</v>
      </c>
      <c r="B167" s="20">
        <v>379.0</v>
      </c>
      <c r="C167" s="20">
        <v>321.0</v>
      </c>
      <c r="D167" s="20">
        <v>5.0</v>
      </c>
      <c r="E167" s="20">
        <f t="shared" si="1"/>
        <v>1605</v>
      </c>
      <c r="F167" s="49">
        <v>45032.0</v>
      </c>
      <c r="G167" s="20" t="s">
        <v>48</v>
      </c>
      <c r="H167" s="20">
        <v>47.0</v>
      </c>
      <c r="I167" s="20" t="str">
        <f>VLOOKUP(B167,'товар'!$A$1:$C$433,2,FALSE)</f>
        <v>Йогурт</v>
      </c>
      <c r="J167" s="50">
        <f t="shared" si="2"/>
        <v>263.2542373</v>
      </c>
      <c r="K167" s="51">
        <f t="shared" si="3"/>
        <v>0.2193535926</v>
      </c>
      <c r="L167" s="20" t="str">
        <f>VLOOKUP(B167,'товар'!$A$1:$C$433,3,FALSE)</f>
        <v>Активиа</v>
      </c>
      <c r="M167" s="52">
        <f t="shared" si="4"/>
        <v>293.6666667</v>
      </c>
      <c r="N167" s="53">
        <f>VLOOKUP(H167,'клиенты'!$A$1:$F$435,5,FALSE)</f>
        <v>44693</v>
      </c>
      <c r="O167" s="20">
        <f t="shared" si="5"/>
        <v>339</v>
      </c>
      <c r="P167" s="20" t="str">
        <f>VLOOKUP(H167,'клиенты'!$A$2:$J$435,10,FALSE)</f>
        <v>Беларусь</v>
      </c>
      <c r="Q167" s="54">
        <f t="shared" si="6"/>
        <v>46078.45901</v>
      </c>
      <c r="R167" s="55">
        <f t="shared" si="7"/>
        <v>46.18196706</v>
      </c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41">
        <v>167.0</v>
      </c>
      <c r="B168" s="41">
        <v>282.0</v>
      </c>
      <c r="C168" s="41">
        <v>189.0</v>
      </c>
      <c r="D168" s="41">
        <v>2.0</v>
      </c>
      <c r="E168" s="41">
        <f t="shared" si="1"/>
        <v>378</v>
      </c>
      <c r="F168" s="42">
        <v>45158.0</v>
      </c>
      <c r="G168" s="41" t="s">
        <v>48</v>
      </c>
      <c r="H168" s="41">
        <v>202.0</v>
      </c>
      <c r="I168" s="41" t="str">
        <f>VLOOKUP(B168,'товар'!$A$1:$C$433,2,FALSE)</f>
        <v>Рис</v>
      </c>
      <c r="J168" s="43">
        <f t="shared" si="2"/>
        <v>258.375</v>
      </c>
      <c r="K168" s="44">
        <f t="shared" si="3"/>
        <v>-0.2685050798</v>
      </c>
      <c r="L168" s="41" t="str">
        <f>VLOOKUP(B168,'товар'!$A$1:$C$433,3,FALSE)</f>
        <v>Агро-Альянс</v>
      </c>
      <c r="M168" s="45">
        <f t="shared" si="4"/>
        <v>317.8571429</v>
      </c>
      <c r="N168" s="46">
        <f>VLOOKUP(H168,'клиенты'!$A$1:$F$435,5,FALSE)</f>
        <v>44766</v>
      </c>
      <c r="O168" s="41">
        <f t="shared" si="5"/>
        <v>392</v>
      </c>
      <c r="P168" s="41" t="str">
        <f>VLOOKUP(H168,'клиенты'!$A$2:$J$435,10,FALSE)</f>
        <v>Беларусь</v>
      </c>
      <c r="Q168" s="47">
        <f t="shared" si="6"/>
        <v>46078.45901</v>
      </c>
      <c r="R168" s="48">
        <f t="shared" si="7"/>
        <v>43.74863372</v>
      </c>
      <c r="S168" s="41"/>
      <c r="T168" s="41"/>
      <c r="U168" s="41"/>
      <c r="V168" s="41"/>
      <c r="W168" s="41"/>
      <c r="X168" s="41"/>
      <c r="Y168" s="41"/>
      <c r="Z168" s="41"/>
    </row>
    <row r="169" ht="14.25" customHeight="1">
      <c r="A169" s="20">
        <v>168.0</v>
      </c>
      <c r="B169" s="20">
        <v>459.0</v>
      </c>
      <c r="C169" s="20">
        <v>405.0</v>
      </c>
      <c r="D169" s="20">
        <v>3.0</v>
      </c>
      <c r="E169" s="20">
        <f t="shared" si="1"/>
        <v>1215</v>
      </c>
      <c r="F169" s="49">
        <v>44949.0</v>
      </c>
      <c r="G169" s="20" t="s">
        <v>37</v>
      </c>
      <c r="H169" s="20">
        <v>37.0</v>
      </c>
      <c r="I169" s="20" t="str">
        <f>VLOOKUP(B169,'товар'!$A$1:$C$433,2,FALSE)</f>
        <v>Крупа</v>
      </c>
      <c r="J169" s="50">
        <f t="shared" si="2"/>
        <v>255.1162791</v>
      </c>
      <c r="K169" s="51">
        <f t="shared" si="3"/>
        <v>0.5875113947</v>
      </c>
      <c r="L169" s="20" t="str">
        <f>VLOOKUP(B169,'товар'!$A$1:$C$433,3,FALSE)</f>
        <v>Националь</v>
      </c>
      <c r="M169" s="52">
        <f t="shared" si="4"/>
        <v>274.2857143</v>
      </c>
      <c r="N169" s="53">
        <f>VLOOKUP(H169,'клиенты'!$A$1:$F$435,5,FALSE)</f>
        <v>44728</v>
      </c>
      <c r="O169" s="20">
        <f t="shared" si="5"/>
        <v>221</v>
      </c>
      <c r="P169" s="20" t="str">
        <f>VLOOKUP(H169,'клиенты'!$A$2:$J$435,10,FALSE)</f>
        <v>Украина</v>
      </c>
      <c r="Q169" s="54">
        <f t="shared" si="6"/>
        <v>46078.45901</v>
      </c>
      <c r="R169" s="55">
        <f t="shared" si="7"/>
        <v>45.01530039</v>
      </c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41">
        <v>169.0</v>
      </c>
      <c r="B170" s="41">
        <v>402.0</v>
      </c>
      <c r="C170" s="41">
        <v>426.0</v>
      </c>
      <c r="D170" s="41">
        <v>2.0</v>
      </c>
      <c r="E170" s="41">
        <f t="shared" si="1"/>
        <v>852</v>
      </c>
      <c r="F170" s="42">
        <v>45099.0</v>
      </c>
      <c r="G170" s="41" t="s">
        <v>36</v>
      </c>
      <c r="H170" s="41">
        <v>366.0</v>
      </c>
      <c r="I170" s="41" t="str">
        <f>VLOOKUP(B170,'товар'!$A$1:$C$433,2,FALSE)</f>
        <v>Хлеб</v>
      </c>
      <c r="J170" s="43">
        <f t="shared" si="2"/>
        <v>300.3181818</v>
      </c>
      <c r="K170" s="44">
        <f t="shared" si="3"/>
        <v>0.418495535</v>
      </c>
      <c r="L170" s="41" t="str">
        <f>VLOOKUP(B170,'товар'!$A$1:$C$433,3,FALSE)</f>
        <v>Каравай</v>
      </c>
      <c r="M170" s="45">
        <f t="shared" si="4"/>
        <v>331.1666667</v>
      </c>
      <c r="N170" s="46">
        <f>VLOOKUP(H170,'клиенты'!$A$1:$F$435,5,FALSE)</f>
        <v>44827</v>
      </c>
      <c r="O170" s="41">
        <f t="shared" si="5"/>
        <v>272</v>
      </c>
      <c r="P170" s="41" t="str">
        <f>VLOOKUP(H170,'клиенты'!$A$2:$J$435,10,FALSE)</f>
        <v>Узбекистан</v>
      </c>
      <c r="Q170" s="47">
        <f t="shared" si="6"/>
        <v>46078.45901</v>
      </c>
      <c r="R170" s="48">
        <f t="shared" si="7"/>
        <v>41.71530039</v>
      </c>
      <c r="S170" s="41"/>
      <c r="T170" s="41"/>
      <c r="U170" s="41"/>
      <c r="V170" s="41"/>
      <c r="W170" s="41"/>
      <c r="X170" s="41"/>
      <c r="Y170" s="41"/>
      <c r="Z170" s="41"/>
    </row>
    <row r="171" ht="14.25" customHeight="1">
      <c r="A171" s="20">
        <v>170.0</v>
      </c>
      <c r="B171" s="20">
        <v>320.0</v>
      </c>
      <c r="C171" s="20">
        <v>271.0</v>
      </c>
      <c r="D171" s="20">
        <v>1.0</v>
      </c>
      <c r="E171" s="20">
        <f t="shared" si="1"/>
        <v>271</v>
      </c>
      <c r="F171" s="49">
        <v>45412.0</v>
      </c>
      <c r="G171" s="20" t="s">
        <v>40</v>
      </c>
      <c r="H171" s="20">
        <v>434.0</v>
      </c>
      <c r="I171" s="20" t="str">
        <f>VLOOKUP(B171,'товар'!$A$1:$C$433,2,FALSE)</f>
        <v>Конфеты</v>
      </c>
      <c r="J171" s="50">
        <f t="shared" si="2"/>
        <v>267.8548387</v>
      </c>
      <c r="K171" s="51">
        <f t="shared" si="3"/>
        <v>0.01174203649</v>
      </c>
      <c r="L171" s="20" t="str">
        <f>VLOOKUP(B171,'товар'!$A$1:$C$433,3,FALSE)</f>
        <v>Бабаевский</v>
      </c>
      <c r="M171" s="52">
        <f t="shared" si="4"/>
        <v>250.2592593</v>
      </c>
      <c r="N171" s="53">
        <f>VLOOKUP(H171,'клиенты'!$A$1:$F$435,5,FALSE)</f>
        <v>44730</v>
      </c>
      <c r="O171" s="20">
        <f t="shared" si="5"/>
        <v>682</v>
      </c>
      <c r="P171" s="20" t="str">
        <f>VLOOKUP(H171,'клиенты'!$A$2:$J$435,10,FALSE)</f>
        <v>Украина</v>
      </c>
      <c r="Q171" s="54">
        <f t="shared" si="6"/>
        <v>46078.45901</v>
      </c>
      <c r="R171" s="55">
        <f t="shared" si="7"/>
        <v>44.94863372</v>
      </c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41">
        <v>171.0</v>
      </c>
      <c r="B172" s="41">
        <v>19.0</v>
      </c>
      <c r="C172" s="41">
        <v>96.0</v>
      </c>
      <c r="D172" s="41">
        <v>4.0</v>
      </c>
      <c r="E172" s="41">
        <f t="shared" si="1"/>
        <v>384</v>
      </c>
      <c r="F172" s="42">
        <v>45041.0</v>
      </c>
      <c r="G172" s="41" t="s">
        <v>46</v>
      </c>
      <c r="H172" s="41">
        <v>172.0</v>
      </c>
      <c r="I172" s="41" t="str">
        <f>VLOOKUP(B172,'товар'!$A$1:$C$433,2,FALSE)</f>
        <v>Мясо</v>
      </c>
      <c r="J172" s="43">
        <f t="shared" si="2"/>
        <v>271.7454545</v>
      </c>
      <c r="K172" s="44">
        <f t="shared" si="3"/>
        <v>-0.6467282216</v>
      </c>
      <c r="L172" s="41" t="str">
        <f>VLOOKUP(B172,'товар'!$A$1:$C$433,3,FALSE)</f>
        <v>Снежана</v>
      </c>
      <c r="M172" s="45">
        <f t="shared" si="4"/>
        <v>272.3529412</v>
      </c>
      <c r="N172" s="46">
        <f>VLOOKUP(H172,'клиенты'!$A$1:$F$435,5,FALSE)</f>
        <v>44737</v>
      </c>
      <c r="O172" s="41">
        <f t="shared" si="5"/>
        <v>304</v>
      </c>
      <c r="P172" s="41" t="str">
        <f>VLOOKUP(H172,'клиенты'!$A$2:$J$435,10,FALSE)</f>
        <v>Россия</v>
      </c>
      <c r="Q172" s="47">
        <f t="shared" si="6"/>
        <v>46078.45901</v>
      </c>
      <c r="R172" s="48">
        <f t="shared" si="7"/>
        <v>44.71530039</v>
      </c>
      <c r="S172" s="41"/>
      <c r="T172" s="41"/>
      <c r="U172" s="41"/>
      <c r="V172" s="41"/>
      <c r="W172" s="41"/>
      <c r="X172" s="41"/>
      <c r="Y172" s="41"/>
      <c r="Z172" s="41"/>
    </row>
    <row r="173" ht="14.25" customHeight="1">
      <c r="A173" s="20">
        <v>172.0</v>
      </c>
      <c r="B173" s="20">
        <v>447.0</v>
      </c>
      <c r="C173" s="20">
        <v>65.0</v>
      </c>
      <c r="D173" s="20">
        <v>1.0</v>
      </c>
      <c r="E173" s="20">
        <f t="shared" si="1"/>
        <v>65</v>
      </c>
      <c r="F173" s="49">
        <v>45341.0</v>
      </c>
      <c r="G173" s="20" t="s">
        <v>52</v>
      </c>
      <c r="H173" s="20">
        <v>52.0</v>
      </c>
      <c r="I173" s="20" t="str">
        <f>VLOOKUP(B173,'товар'!$A$1:$C$433,2,FALSE)</f>
        <v>Йогурт</v>
      </c>
      <c r="J173" s="50">
        <f t="shared" si="2"/>
        <v>263.2542373</v>
      </c>
      <c r="K173" s="51">
        <f t="shared" si="3"/>
        <v>-0.753090394</v>
      </c>
      <c r="L173" s="20" t="str">
        <f>VLOOKUP(B173,'товар'!$A$1:$C$433,3,FALSE)</f>
        <v>Эрманн</v>
      </c>
      <c r="M173" s="52">
        <f t="shared" si="4"/>
        <v>248.5</v>
      </c>
      <c r="N173" s="53">
        <f>VLOOKUP(H173,'клиенты'!$A$1:$F$435,5,FALSE)</f>
        <v>44917</v>
      </c>
      <c r="O173" s="20">
        <f t="shared" si="5"/>
        <v>424</v>
      </c>
      <c r="P173" s="20" t="str">
        <f>VLOOKUP(H173,'клиенты'!$A$2:$J$435,10,FALSE)</f>
        <v>Россия</v>
      </c>
      <c r="Q173" s="54">
        <f t="shared" si="6"/>
        <v>46078.45901</v>
      </c>
      <c r="R173" s="55">
        <f t="shared" si="7"/>
        <v>38.71530039</v>
      </c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41">
        <v>173.0</v>
      </c>
      <c r="B174" s="41">
        <v>406.0</v>
      </c>
      <c r="C174" s="41">
        <v>426.0</v>
      </c>
      <c r="D174" s="41">
        <v>1.0</v>
      </c>
      <c r="E174" s="41">
        <f t="shared" si="1"/>
        <v>426</v>
      </c>
      <c r="F174" s="42">
        <v>45289.0</v>
      </c>
      <c r="G174" s="41" t="s">
        <v>53</v>
      </c>
      <c r="H174" s="41">
        <v>395.0</v>
      </c>
      <c r="I174" s="41" t="str">
        <f>VLOOKUP(B174,'товар'!$A$1:$C$433,2,FALSE)</f>
        <v>Сок</v>
      </c>
      <c r="J174" s="43">
        <f t="shared" si="2"/>
        <v>268.6034483</v>
      </c>
      <c r="K174" s="44">
        <f t="shared" si="3"/>
        <v>0.5859811284</v>
      </c>
      <c r="L174" s="41" t="str">
        <f>VLOOKUP(B174,'товар'!$A$1:$C$433,3,FALSE)</f>
        <v>Фруктовый сад</v>
      </c>
      <c r="M174" s="45">
        <f t="shared" si="4"/>
        <v>281.96875</v>
      </c>
      <c r="N174" s="46">
        <f>VLOOKUP(H174,'клиенты'!$A$1:$F$435,5,FALSE)</f>
        <v>44890</v>
      </c>
      <c r="O174" s="41">
        <f t="shared" si="5"/>
        <v>399</v>
      </c>
      <c r="P174" s="41" t="str">
        <f>VLOOKUP(H174,'клиенты'!$A$2:$J$435,10,FALSE)</f>
        <v>Узбекистан</v>
      </c>
      <c r="Q174" s="47">
        <f t="shared" si="6"/>
        <v>46078.45901</v>
      </c>
      <c r="R174" s="48">
        <f t="shared" si="7"/>
        <v>39.61530039</v>
      </c>
      <c r="S174" s="41"/>
      <c r="T174" s="41"/>
      <c r="U174" s="41"/>
      <c r="V174" s="41"/>
      <c r="W174" s="41"/>
      <c r="X174" s="41"/>
      <c r="Y174" s="41"/>
      <c r="Z174" s="41"/>
    </row>
    <row r="175" ht="14.25" customHeight="1">
      <c r="A175" s="20">
        <v>174.0</v>
      </c>
      <c r="B175" s="20">
        <v>391.0</v>
      </c>
      <c r="C175" s="20">
        <v>356.0</v>
      </c>
      <c r="D175" s="20">
        <v>2.0</v>
      </c>
      <c r="E175" s="20">
        <f t="shared" si="1"/>
        <v>712</v>
      </c>
      <c r="F175" s="49">
        <v>45175.0</v>
      </c>
      <c r="G175" s="20" t="s">
        <v>53</v>
      </c>
      <c r="H175" s="20">
        <v>46.0</v>
      </c>
      <c r="I175" s="20" t="str">
        <f>VLOOKUP(B175,'товар'!$A$1:$C$433,2,FALSE)</f>
        <v>Рыба</v>
      </c>
      <c r="J175" s="50">
        <f t="shared" si="2"/>
        <v>258.5128205</v>
      </c>
      <c r="K175" s="51">
        <f t="shared" si="3"/>
        <v>0.3771077167</v>
      </c>
      <c r="L175" s="20" t="str">
        <f>VLOOKUP(B175,'товар'!$A$1:$C$433,3,FALSE)</f>
        <v>Балтийский берег</v>
      </c>
      <c r="M175" s="52">
        <f t="shared" si="4"/>
        <v>289.8888889</v>
      </c>
      <c r="N175" s="53">
        <f>VLOOKUP(H175,'клиенты'!$A$1:$F$435,5,FALSE)</f>
        <v>44636</v>
      </c>
      <c r="O175" s="20">
        <f t="shared" si="5"/>
        <v>539</v>
      </c>
      <c r="P175" s="20" t="str">
        <f>VLOOKUP(H175,'клиенты'!$A$2:$J$435,10,FALSE)</f>
        <v>Таджикистан</v>
      </c>
      <c r="Q175" s="54">
        <f t="shared" si="6"/>
        <v>46078.45901</v>
      </c>
      <c r="R175" s="55">
        <f t="shared" si="7"/>
        <v>48.08196706</v>
      </c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41">
        <v>175.0</v>
      </c>
      <c r="B176" s="41">
        <v>82.0</v>
      </c>
      <c r="C176" s="41">
        <v>233.0</v>
      </c>
      <c r="D176" s="41">
        <v>2.0</v>
      </c>
      <c r="E176" s="41">
        <f t="shared" si="1"/>
        <v>466</v>
      </c>
      <c r="F176" s="42">
        <v>45369.0</v>
      </c>
      <c r="G176" s="41" t="s">
        <v>49</v>
      </c>
      <c r="H176" s="41">
        <v>361.0</v>
      </c>
      <c r="I176" s="41" t="str">
        <f>VLOOKUP(B176,'товар'!$A$1:$C$433,2,FALSE)</f>
        <v>Сыр</v>
      </c>
      <c r="J176" s="43">
        <f t="shared" si="2"/>
        <v>262.6349206</v>
      </c>
      <c r="K176" s="44">
        <f t="shared" si="3"/>
        <v>-0.1128369394</v>
      </c>
      <c r="L176" s="41" t="str">
        <f>VLOOKUP(B176,'товар'!$A$1:$C$433,3,FALSE)</f>
        <v>Hochland</v>
      </c>
      <c r="M176" s="45">
        <f t="shared" si="4"/>
        <v>168</v>
      </c>
      <c r="N176" s="46">
        <f>VLOOKUP(H176,'клиенты'!$A$1:$F$435,5,FALSE)</f>
        <v>44831</v>
      </c>
      <c r="O176" s="41">
        <f t="shared" si="5"/>
        <v>538</v>
      </c>
      <c r="P176" s="41" t="str">
        <f>VLOOKUP(H176,'клиенты'!$A$2:$J$435,10,FALSE)</f>
        <v>Узбекистан</v>
      </c>
      <c r="Q176" s="47">
        <f t="shared" si="6"/>
        <v>46078.45901</v>
      </c>
      <c r="R176" s="48">
        <f t="shared" si="7"/>
        <v>41.58196706</v>
      </c>
      <c r="S176" s="41"/>
      <c r="T176" s="41"/>
      <c r="U176" s="41"/>
      <c r="V176" s="41"/>
      <c r="W176" s="41"/>
      <c r="X176" s="41"/>
      <c r="Y176" s="41"/>
      <c r="Z176" s="41"/>
    </row>
    <row r="177" ht="14.25" customHeight="1">
      <c r="A177" s="20">
        <v>176.0</v>
      </c>
      <c r="B177" s="20">
        <v>243.0</v>
      </c>
      <c r="C177" s="20">
        <v>494.0</v>
      </c>
      <c r="D177" s="20">
        <v>5.0</v>
      </c>
      <c r="E177" s="20">
        <f t="shared" si="1"/>
        <v>2470</v>
      </c>
      <c r="F177" s="49">
        <v>45353.0</v>
      </c>
      <c r="G177" s="20" t="s">
        <v>40</v>
      </c>
      <c r="H177" s="20">
        <v>358.0</v>
      </c>
      <c r="I177" s="20" t="str">
        <f>VLOOKUP(B177,'товар'!$A$1:$C$433,2,FALSE)</f>
        <v>Рис</v>
      </c>
      <c r="J177" s="50">
        <f t="shared" si="2"/>
        <v>258.375</v>
      </c>
      <c r="K177" s="51">
        <f t="shared" si="3"/>
        <v>0.9119496855</v>
      </c>
      <c r="L177" s="20" t="str">
        <f>VLOOKUP(B177,'товар'!$A$1:$C$433,3,FALSE)</f>
        <v>Белый Злат</v>
      </c>
      <c r="M177" s="52">
        <f t="shared" si="4"/>
        <v>269.7058824</v>
      </c>
      <c r="N177" s="53">
        <f>VLOOKUP(H177,'клиенты'!$A$1:$F$435,5,FALSE)</f>
        <v>44771</v>
      </c>
      <c r="O177" s="20">
        <f t="shared" si="5"/>
        <v>582</v>
      </c>
      <c r="P177" s="20" t="str">
        <f>VLOOKUP(H177,'клиенты'!$A$2:$J$435,10,FALSE)</f>
        <v>Украина</v>
      </c>
      <c r="Q177" s="54">
        <f t="shared" si="6"/>
        <v>46078.45901</v>
      </c>
      <c r="R177" s="55">
        <f t="shared" si="7"/>
        <v>43.58196706</v>
      </c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41">
        <v>177.0</v>
      </c>
      <c r="B178" s="41">
        <v>432.0</v>
      </c>
      <c r="C178" s="41">
        <v>305.0</v>
      </c>
      <c r="D178" s="41">
        <v>3.0</v>
      </c>
      <c r="E178" s="41">
        <f t="shared" si="1"/>
        <v>915</v>
      </c>
      <c r="F178" s="42">
        <v>45413.0</v>
      </c>
      <c r="G178" s="41" t="s">
        <v>50</v>
      </c>
      <c r="H178" s="41">
        <v>44.0</v>
      </c>
      <c r="I178" s="41" t="str">
        <f>VLOOKUP(B178,'товар'!$A$1:$C$433,2,FALSE)</f>
        <v>Макароны</v>
      </c>
      <c r="J178" s="43">
        <f t="shared" si="2"/>
        <v>265.4767442</v>
      </c>
      <c r="K178" s="44">
        <f t="shared" si="3"/>
        <v>0.1488765275</v>
      </c>
      <c r="L178" s="41" t="str">
        <f>VLOOKUP(B178,'товар'!$A$1:$C$433,3,FALSE)</f>
        <v>Борилла</v>
      </c>
      <c r="M178" s="45">
        <f t="shared" si="4"/>
        <v>236.2758621</v>
      </c>
      <c r="N178" s="46">
        <f>VLOOKUP(H178,'клиенты'!$A$1:$F$435,5,FALSE)</f>
        <v>44701</v>
      </c>
      <c r="O178" s="41">
        <f t="shared" si="5"/>
        <v>712</v>
      </c>
      <c r="P178" s="41" t="str">
        <f>VLOOKUP(H178,'клиенты'!$A$2:$J$435,10,FALSE)</f>
        <v>Беларусь</v>
      </c>
      <c r="Q178" s="47">
        <f t="shared" si="6"/>
        <v>46078.45901</v>
      </c>
      <c r="R178" s="48">
        <f t="shared" si="7"/>
        <v>45.91530039</v>
      </c>
      <c r="S178" s="41"/>
      <c r="T178" s="41"/>
      <c r="U178" s="41"/>
      <c r="V178" s="41"/>
      <c r="W178" s="41"/>
      <c r="X178" s="41"/>
      <c r="Y178" s="41"/>
      <c r="Z178" s="41"/>
    </row>
    <row r="179" ht="14.25" customHeight="1">
      <c r="A179" s="20">
        <v>178.0</v>
      </c>
      <c r="B179" s="20">
        <v>159.0</v>
      </c>
      <c r="C179" s="20">
        <v>173.0</v>
      </c>
      <c r="D179" s="20">
        <v>4.0</v>
      </c>
      <c r="E179" s="20">
        <f t="shared" si="1"/>
        <v>692</v>
      </c>
      <c r="F179" s="49">
        <v>45175.0</v>
      </c>
      <c r="G179" s="20" t="s">
        <v>37</v>
      </c>
      <c r="H179" s="20">
        <v>416.0</v>
      </c>
      <c r="I179" s="20" t="str">
        <f>VLOOKUP(B179,'товар'!$A$1:$C$433,2,FALSE)</f>
        <v>Крупа</v>
      </c>
      <c r="J179" s="50">
        <f t="shared" si="2"/>
        <v>255.1162791</v>
      </c>
      <c r="K179" s="51">
        <f t="shared" si="3"/>
        <v>-0.3218778487</v>
      </c>
      <c r="L179" s="20" t="str">
        <f>VLOOKUP(B179,'товар'!$A$1:$C$433,3,FALSE)</f>
        <v>Националь</v>
      </c>
      <c r="M179" s="52">
        <f t="shared" si="4"/>
        <v>274.2857143</v>
      </c>
      <c r="N179" s="53">
        <f>VLOOKUP(H179,'клиенты'!$A$1:$F$435,5,FALSE)</f>
        <v>44703</v>
      </c>
      <c r="O179" s="20">
        <f t="shared" si="5"/>
        <v>472</v>
      </c>
      <c r="P179" s="20" t="str">
        <f>VLOOKUP(H179,'клиенты'!$A$2:$J$435,10,FALSE)</f>
        <v>Таджикистан</v>
      </c>
      <c r="Q179" s="54">
        <f t="shared" si="6"/>
        <v>46078.45901</v>
      </c>
      <c r="R179" s="55">
        <f t="shared" si="7"/>
        <v>45.84863372</v>
      </c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41">
        <v>179.0</v>
      </c>
      <c r="B180" s="41">
        <v>197.0</v>
      </c>
      <c r="C180" s="41">
        <v>177.0</v>
      </c>
      <c r="D180" s="41">
        <v>2.0</v>
      </c>
      <c r="E180" s="41">
        <f t="shared" si="1"/>
        <v>354</v>
      </c>
      <c r="F180" s="42">
        <v>45165.0</v>
      </c>
      <c r="G180" s="41" t="s">
        <v>44</v>
      </c>
      <c r="H180" s="41">
        <v>153.0</v>
      </c>
      <c r="I180" s="41" t="str">
        <f>VLOOKUP(B180,'товар'!$A$1:$C$433,2,FALSE)</f>
        <v>Печенье</v>
      </c>
      <c r="J180" s="43">
        <f t="shared" si="2"/>
        <v>283.4680851</v>
      </c>
      <c r="K180" s="44">
        <f t="shared" si="3"/>
        <v>-0.3755910831</v>
      </c>
      <c r="L180" s="41" t="str">
        <f>VLOOKUP(B180,'товар'!$A$1:$C$433,3,FALSE)</f>
        <v>Юбилейное</v>
      </c>
      <c r="M180" s="45">
        <f t="shared" si="4"/>
        <v>232.4444444</v>
      </c>
      <c r="N180" s="46">
        <f>VLOOKUP(H180,'клиенты'!$A$1:$F$435,5,FALSE)</f>
        <v>44802</v>
      </c>
      <c r="O180" s="41">
        <f t="shared" si="5"/>
        <v>363</v>
      </c>
      <c r="P180" s="41" t="str">
        <f>VLOOKUP(H180,'клиенты'!$A$2:$J$435,10,FALSE)</f>
        <v>Россия</v>
      </c>
      <c r="Q180" s="47">
        <f t="shared" si="6"/>
        <v>46078.45901</v>
      </c>
      <c r="R180" s="48">
        <f t="shared" si="7"/>
        <v>42.54863372</v>
      </c>
      <c r="S180" s="41"/>
      <c r="T180" s="41"/>
      <c r="U180" s="41"/>
      <c r="V180" s="41"/>
      <c r="W180" s="41"/>
      <c r="X180" s="41"/>
      <c r="Y180" s="41"/>
      <c r="Z180" s="41"/>
    </row>
    <row r="181" ht="14.25" customHeight="1">
      <c r="A181" s="20">
        <v>180.0</v>
      </c>
      <c r="B181" s="20">
        <v>110.0</v>
      </c>
      <c r="C181" s="20">
        <v>261.0</v>
      </c>
      <c r="D181" s="20">
        <v>1.0</v>
      </c>
      <c r="E181" s="20">
        <f t="shared" si="1"/>
        <v>261</v>
      </c>
      <c r="F181" s="49">
        <v>45325.0</v>
      </c>
      <c r="G181" s="20" t="s">
        <v>54</v>
      </c>
      <c r="H181" s="20">
        <v>223.0</v>
      </c>
      <c r="I181" s="20" t="str">
        <f>VLOOKUP(B181,'товар'!$A$1:$C$433,2,FALSE)</f>
        <v>Макароны</v>
      </c>
      <c r="J181" s="50">
        <f t="shared" si="2"/>
        <v>265.4767442</v>
      </c>
      <c r="K181" s="51">
        <f t="shared" si="3"/>
        <v>-0.0168630371</v>
      </c>
      <c r="L181" s="20" t="str">
        <f>VLOOKUP(B181,'товар'!$A$1:$C$433,3,FALSE)</f>
        <v>Паста Зара</v>
      </c>
      <c r="M181" s="52">
        <f t="shared" si="4"/>
        <v>276.6756757</v>
      </c>
      <c r="N181" s="53">
        <f>VLOOKUP(H181,'клиенты'!$A$1:$F$435,5,FALSE)</f>
        <v>44893</v>
      </c>
      <c r="O181" s="20">
        <f t="shared" si="5"/>
        <v>432</v>
      </c>
      <c r="P181" s="20" t="str">
        <f>VLOOKUP(H181,'клиенты'!$A$2:$J$435,10,FALSE)</f>
        <v>Украина</v>
      </c>
      <c r="Q181" s="54">
        <f t="shared" si="6"/>
        <v>46078.45901</v>
      </c>
      <c r="R181" s="55">
        <f t="shared" si="7"/>
        <v>39.51530039</v>
      </c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41">
        <v>181.0</v>
      </c>
      <c r="B182" s="41">
        <v>288.0</v>
      </c>
      <c r="C182" s="41">
        <v>198.0</v>
      </c>
      <c r="D182" s="41">
        <v>5.0</v>
      </c>
      <c r="E182" s="41">
        <f t="shared" si="1"/>
        <v>990</v>
      </c>
      <c r="F182" s="42">
        <v>45212.0</v>
      </c>
      <c r="G182" s="41" t="s">
        <v>47</v>
      </c>
      <c r="H182" s="41">
        <v>74.0</v>
      </c>
      <c r="I182" s="41" t="str">
        <f>VLOOKUP(B182,'товар'!$A$1:$C$433,2,FALSE)</f>
        <v>Сыр</v>
      </c>
      <c r="J182" s="43">
        <f t="shared" si="2"/>
        <v>262.6349206</v>
      </c>
      <c r="K182" s="44">
        <f t="shared" si="3"/>
        <v>-0.2461017769</v>
      </c>
      <c r="L182" s="41" t="str">
        <f>VLOOKUP(B182,'товар'!$A$1:$C$433,3,FALSE)</f>
        <v>Hochland</v>
      </c>
      <c r="M182" s="45">
        <f t="shared" si="4"/>
        <v>168</v>
      </c>
      <c r="N182" s="46">
        <f>VLOOKUP(H182,'клиенты'!$A$1:$F$435,5,FALSE)</f>
        <v>44857</v>
      </c>
      <c r="O182" s="41">
        <f t="shared" si="5"/>
        <v>355</v>
      </c>
      <c r="P182" s="41" t="str">
        <f>VLOOKUP(H182,'клиенты'!$A$2:$J$435,10,FALSE)</f>
        <v>Россия</v>
      </c>
      <c r="Q182" s="47">
        <f t="shared" si="6"/>
        <v>46078.45901</v>
      </c>
      <c r="R182" s="48">
        <f t="shared" si="7"/>
        <v>40.71530039</v>
      </c>
      <c r="S182" s="41"/>
      <c r="T182" s="41"/>
      <c r="U182" s="41"/>
      <c r="V182" s="41"/>
      <c r="W182" s="41"/>
      <c r="X182" s="41"/>
      <c r="Y182" s="41"/>
      <c r="Z182" s="41"/>
    </row>
    <row r="183" ht="14.25" customHeight="1">
      <c r="A183" s="20">
        <v>182.0</v>
      </c>
      <c r="B183" s="20">
        <v>7.0</v>
      </c>
      <c r="C183" s="20">
        <v>114.0</v>
      </c>
      <c r="D183" s="20">
        <v>3.0</v>
      </c>
      <c r="E183" s="20">
        <f t="shared" si="1"/>
        <v>342</v>
      </c>
      <c r="F183" s="49">
        <v>45244.0</v>
      </c>
      <c r="G183" s="20" t="s">
        <v>50</v>
      </c>
      <c r="H183" s="20">
        <v>180.0</v>
      </c>
      <c r="I183" s="20" t="str">
        <f>VLOOKUP(B183,'товар'!$A$1:$C$433,2,FALSE)</f>
        <v>Сыр</v>
      </c>
      <c r="J183" s="50">
        <f t="shared" si="2"/>
        <v>262.6349206</v>
      </c>
      <c r="K183" s="51">
        <f t="shared" si="3"/>
        <v>-0.5659373867</v>
      </c>
      <c r="L183" s="20" t="str">
        <f>VLOOKUP(B183,'товар'!$A$1:$C$433,3,FALSE)</f>
        <v>President</v>
      </c>
      <c r="M183" s="52">
        <f t="shared" si="4"/>
        <v>238.7222222</v>
      </c>
      <c r="N183" s="53">
        <f>VLOOKUP(H183,'клиенты'!$A$1:$F$435,5,FALSE)</f>
        <v>44616</v>
      </c>
      <c r="O183" s="20">
        <f t="shared" si="5"/>
        <v>628</v>
      </c>
      <c r="P183" s="20" t="str">
        <f>VLOOKUP(H183,'клиенты'!$A$2:$J$435,10,FALSE)</f>
        <v>Беларусь</v>
      </c>
      <c r="Q183" s="54">
        <f t="shared" si="6"/>
        <v>46078.45901</v>
      </c>
      <c r="R183" s="55">
        <f t="shared" si="7"/>
        <v>48.74863372</v>
      </c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41">
        <v>183.0</v>
      </c>
      <c r="B184" s="41">
        <v>385.0</v>
      </c>
      <c r="C184" s="41">
        <v>427.0</v>
      </c>
      <c r="D184" s="41">
        <v>3.0</v>
      </c>
      <c r="E184" s="41">
        <f t="shared" si="1"/>
        <v>1281</v>
      </c>
      <c r="F184" s="42">
        <v>44942.0</v>
      </c>
      <c r="G184" s="41" t="s">
        <v>40</v>
      </c>
      <c r="H184" s="41">
        <v>359.0</v>
      </c>
      <c r="I184" s="41" t="str">
        <f>VLOOKUP(B184,'товар'!$A$1:$C$433,2,FALSE)</f>
        <v>Макароны</v>
      </c>
      <c r="J184" s="43">
        <f t="shared" si="2"/>
        <v>265.4767442</v>
      </c>
      <c r="K184" s="44">
        <f t="shared" si="3"/>
        <v>0.6084271385</v>
      </c>
      <c r="L184" s="41" t="str">
        <f>VLOOKUP(B184,'товар'!$A$1:$C$433,3,FALSE)</f>
        <v>Макфа</v>
      </c>
      <c r="M184" s="45">
        <f t="shared" si="4"/>
        <v>329.2727273</v>
      </c>
      <c r="N184" s="46">
        <f>VLOOKUP(H184,'клиенты'!$A$1:$F$435,5,FALSE)</f>
        <v>44584</v>
      </c>
      <c r="O184" s="41">
        <f t="shared" si="5"/>
        <v>358</v>
      </c>
      <c r="P184" s="41" t="str">
        <f>VLOOKUP(H184,'клиенты'!$A$2:$J$435,10,FALSE)</f>
        <v>Россия</v>
      </c>
      <c r="Q184" s="47">
        <f t="shared" si="6"/>
        <v>46078.45901</v>
      </c>
      <c r="R184" s="48">
        <f t="shared" si="7"/>
        <v>49.81530039</v>
      </c>
      <c r="S184" s="41"/>
      <c r="T184" s="41"/>
      <c r="U184" s="41"/>
      <c r="V184" s="41"/>
      <c r="W184" s="41"/>
      <c r="X184" s="41"/>
      <c r="Y184" s="41"/>
      <c r="Z184" s="41"/>
    </row>
    <row r="185" ht="14.25" customHeight="1">
      <c r="A185" s="20">
        <v>184.0</v>
      </c>
      <c r="B185" s="20">
        <v>493.0</v>
      </c>
      <c r="C185" s="20">
        <v>376.0</v>
      </c>
      <c r="D185" s="20">
        <v>1.0</v>
      </c>
      <c r="E185" s="20">
        <f t="shared" si="1"/>
        <v>376</v>
      </c>
      <c r="F185" s="49">
        <v>45253.0</v>
      </c>
      <c r="G185" s="20" t="s">
        <v>45</v>
      </c>
      <c r="H185" s="20">
        <v>134.0</v>
      </c>
      <c r="I185" s="20" t="str">
        <f>VLOOKUP(B185,'товар'!$A$1:$C$433,2,FALSE)</f>
        <v>Овощи</v>
      </c>
      <c r="J185" s="50">
        <f t="shared" si="2"/>
        <v>250.4878049</v>
      </c>
      <c r="K185" s="51">
        <f t="shared" si="3"/>
        <v>0.5010710808</v>
      </c>
      <c r="L185" s="20" t="str">
        <f>VLOOKUP(B185,'товар'!$A$1:$C$433,3,FALSE)</f>
        <v>Овощной ряд</v>
      </c>
      <c r="M185" s="52">
        <f t="shared" si="4"/>
        <v>303.8235294</v>
      </c>
      <c r="N185" s="53">
        <f>VLOOKUP(H185,'клиенты'!$A$1:$F$435,5,FALSE)</f>
        <v>44753</v>
      </c>
      <c r="O185" s="20">
        <f t="shared" si="5"/>
        <v>500</v>
      </c>
      <c r="P185" s="20" t="str">
        <f>VLOOKUP(H185,'клиенты'!$A$2:$J$435,10,FALSE)</f>
        <v>Россия</v>
      </c>
      <c r="Q185" s="54">
        <f t="shared" si="6"/>
        <v>46078.45901</v>
      </c>
      <c r="R185" s="55">
        <f t="shared" si="7"/>
        <v>44.18196706</v>
      </c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41">
        <v>185.0</v>
      </c>
      <c r="B186" s="41">
        <v>158.0</v>
      </c>
      <c r="C186" s="41">
        <v>51.0</v>
      </c>
      <c r="D186" s="41">
        <v>2.0</v>
      </c>
      <c r="E186" s="41">
        <f t="shared" si="1"/>
        <v>102</v>
      </c>
      <c r="F186" s="42">
        <v>45325.0</v>
      </c>
      <c r="G186" s="41" t="s">
        <v>52</v>
      </c>
      <c r="H186" s="41">
        <v>159.0</v>
      </c>
      <c r="I186" s="41" t="str">
        <f>VLOOKUP(B186,'товар'!$A$1:$C$433,2,FALSE)</f>
        <v>Сахар</v>
      </c>
      <c r="J186" s="43">
        <f t="shared" si="2"/>
        <v>252.7627119</v>
      </c>
      <c r="K186" s="44">
        <f t="shared" si="3"/>
        <v>-0.7982297324</v>
      </c>
      <c r="L186" s="41" t="str">
        <f>VLOOKUP(B186,'товар'!$A$1:$C$433,3,FALSE)</f>
        <v>Сладов</v>
      </c>
      <c r="M186" s="45">
        <f t="shared" si="4"/>
        <v>240.2666667</v>
      </c>
      <c r="N186" s="46">
        <f>VLOOKUP(H186,'клиенты'!$A$1:$F$435,5,FALSE)</f>
        <v>44686</v>
      </c>
      <c r="O186" s="41">
        <f t="shared" si="5"/>
        <v>639</v>
      </c>
      <c r="P186" s="41" t="str">
        <f>VLOOKUP(H186,'клиенты'!$A$2:$J$435,10,FALSE)</f>
        <v>Узбекистан</v>
      </c>
      <c r="Q186" s="47">
        <f t="shared" si="6"/>
        <v>46078.45901</v>
      </c>
      <c r="R186" s="48">
        <f t="shared" si="7"/>
        <v>46.41530039</v>
      </c>
      <c r="S186" s="41"/>
      <c r="T186" s="41"/>
      <c r="U186" s="41"/>
      <c r="V186" s="41"/>
      <c r="W186" s="41"/>
      <c r="X186" s="41"/>
      <c r="Y186" s="41"/>
      <c r="Z186" s="41"/>
    </row>
    <row r="187" ht="14.25" customHeight="1">
      <c r="A187" s="20">
        <v>186.0</v>
      </c>
      <c r="B187" s="20">
        <v>446.0</v>
      </c>
      <c r="C187" s="20">
        <v>316.0</v>
      </c>
      <c r="D187" s="20">
        <v>2.0</v>
      </c>
      <c r="E187" s="20">
        <f t="shared" si="1"/>
        <v>632</v>
      </c>
      <c r="F187" s="49">
        <v>45029.0</v>
      </c>
      <c r="G187" s="20" t="s">
        <v>51</v>
      </c>
      <c r="H187" s="20">
        <v>328.0</v>
      </c>
      <c r="I187" s="20" t="str">
        <f>VLOOKUP(B187,'товар'!$A$1:$C$433,2,FALSE)</f>
        <v>Чипсы</v>
      </c>
      <c r="J187" s="50">
        <f t="shared" si="2"/>
        <v>273.7254902</v>
      </c>
      <c r="K187" s="51">
        <f t="shared" si="3"/>
        <v>0.1544412607</v>
      </c>
      <c r="L187" s="20" t="str">
        <f>VLOOKUP(B187,'товар'!$A$1:$C$433,3,FALSE)</f>
        <v>Lay's</v>
      </c>
      <c r="M187" s="52">
        <f t="shared" si="4"/>
        <v>320.5714286</v>
      </c>
      <c r="N187" s="53">
        <f>VLOOKUP(H187,'клиенты'!$A$1:$F$435,5,FALSE)</f>
        <v>44568</v>
      </c>
      <c r="O187" s="20">
        <f t="shared" si="5"/>
        <v>461</v>
      </c>
      <c r="P187" s="20" t="str">
        <f>VLOOKUP(H187,'клиенты'!$A$2:$J$435,10,FALSE)</f>
        <v>Россия</v>
      </c>
      <c r="Q187" s="54">
        <f t="shared" si="6"/>
        <v>46078.45901</v>
      </c>
      <c r="R187" s="55">
        <f t="shared" si="7"/>
        <v>50.34863372</v>
      </c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41">
        <v>187.0</v>
      </c>
      <c r="B188" s="41">
        <v>428.0</v>
      </c>
      <c r="C188" s="41">
        <v>156.0</v>
      </c>
      <c r="D188" s="41">
        <v>1.0</v>
      </c>
      <c r="E188" s="41">
        <f t="shared" si="1"/>
        <v>156</v>
      </c>
      <c r="F188" s="42">
        <v>45421.0</v>
      </c>
      <c r="G188" s="41" t="s">
        <v>51</v>
      </c>
      <c r="H188" s="41">
        <v>325.0</v>
      </c>
      <c r="I188" s="41" t="str">
        <f>VLOOKUP(B188,'товар'!$A$1:$C$433,2,FALSE)</f>
        <v>Конфеты</v>
      </c>
      <c r="J188" s="43">
        <f t="shared" si="2"/>
        <v>267.8548387</v>
      </c>
      <c r="K188" s="44">
        <f t="shared" si="3"/>
        <v>-0.4175949901</v>
      </c>
      <c r="L188" s="41" t="str">
        <f>VLOOKUP(B188,'товар'!$A$1:$C$433,3,FALSE)</f>
        <v>Бабаевский</v>
      </c>
      <c r="M188" s="45">
        <f t="shared" si="4"/>
        <v>250.2592593</v>
      </c>
      <c r="N188" s="46">
        <f>VLOOKUP(H188,'клиенты'!$A$1:$F$435,5,FALSE)</f>
        <v>44875</v>
      </c>
      <c r="O188" s="41">
        <f t="shared" si="5"/>
        <v>546</v>
      </c>
      <c r="P188" s="41" t="str">
        <f>VLOOKUP(H188,'клиенты'!$A$2:$J$435,10,FALSE)</f>
        <v>Таджикистан</v>
      </c>
      <c r="Q188" s="47">
        <f t="shared" si="6"/>
        <v>46078.45901</v>
      </c>
      <c r="R188" s="48">
        <f t="shared" si="7"/>
        <v>40.11530039</v>
      </c>
      <c r="S188" s="41"/>
      <c r="T188" s="41"/>
      <c r="U188" s="41"/>
      <c r="V188" s="41"/>
      <c r="W188" s="41"/>
      <c r="X188" s="41"/>
      <c r="Y188" s="41"/>
      <c r="Z188" s="41"/>
    </row>
    <row r="189" ht="14.25" customHeight="1">
      <c r="A189" s="20">
        <v>188.0</v>
      </c>
      <c r="B189" s="20">
        <v>192.0</v>
      </c>
      <c r="C189" s="20">
        <v>215.0</v>
      </c>
      <c r="D189" s="20">
        <v>1.0</v>
      </c>
      <c r="E189" s="20">
        <f t="shared" si="1"/>
        <v>215</v>
      </c>
      <c r="F189" s="49">
        <v>45411.0</v>
      </c>
      <c r="G189" s="20" t="s">
        <v>47</v>
      </c>
      <c r="H189" s="20">
        <v>106.0</v>
      </c>
      <c r="I189" s="20" t="str">
        <f>VLOOKUP(B189,'товар'!$A$1:$C$433,2,FALSE)</f>
        <v>Мясо</v>
      </c>
      <c r="J189" s="50">
        <f t="shared" si="2"/>
        <v>271.7454545</v>
      </c>
      <c r="K189" s="51">
        <f t="shared" si="3"/>
        <v>-0.208818413</v>
      </c>
      <c r="L189" s="20" t="str">
        <f>VLOOKUP(B189,'товар'!$A$1:$C$433,3,FALSE)</f>
        <v>Снежана</v>
      </c>
      <c r="M189" s="52">
        <f t="shared" si="4"/>
        <v>272.3529412</v>
      </c>
      <c r="N189" s="53">
        <f>VLOOKUP(H189,'клиенты'!$A$1:$F$435,5,FALSE)</f>
        <v>44858</v>
      </c>
      <c r="O189" s="20">
        <f t="shared" si="5"/>
        <v>553</v>
      </c>
      <c r="P189" s="20" t="str">
        <f>VLOOKUP(H189,'клиенты'!$A$2:$J$435,10,FALSE)</f>
        <v>Украина</v>
      </c>
      <c r="Q189" s="54">
        <f t="shared" si="6"/>
        <v>46078.45901</v>
      </c>
      <c r="R189" s="55">
        <f t="shared" si="7"/>
        <v>40.68196706</v>
      </c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41">
        <v>189.0</v>
      </c>
      <c r="B190" s="41">
        <v>41.0</v>
      </c>
      <c r="C190" s="41">
        <v>59.0</v>
      </c>
      <c r="D190" s="41">
        <v>1.0</v>
      </c>
      <c r="E190" s="41">
        <f t="shared" si="1"/>
        <v>59</v>
      </c>
      <c r="F190" s="42">
        <v>45000.0</v>
      </c>
      <c r="G190" s="41" t="s">
        <v>46</v>
      </c>
      <c r="H190" s="41">
        <v>65.0</v>
      </c>
      <c r="I190" s="41" t="str">
        <f>VLOOKUP(B190,'товар'!$A$1:$C$433,2,FALSE)</f>
        <v>Рис</v>
      </c>
      <c r="J190" s="43">
        <f t="shared" si="2"/>
        <v>258.375</v>
      </c>
      <c r="K190" s="44">
        <f t="shared" si="3"/>
        <v>-0.7716497339</v>
      </c>
      <c r="L190" s="41" t="str">
        <f>VLOOKUP(B190,'товар'!$A$1:$C$433,3,FALSE)</f>
        <v>Агро-Альянс</v>
      </c>
      <c r="M190" s="45">
        <f t="shared" si="4"/>
        <v>317.8571429</v>
      </c>
      <c r="N190" s="46">
        <f>VLOOKUP(H190,'клиенты'!$A$1:$F$435,5,FALSE)</f>
        <v>44623</v>
      </c>
      <c r="O190" s="41">
        <f t="shared" si="5"/>
        <v>377</v>
      </c>
      <c r="P190" s="41" t="str">
        <f>VLOOKUP(H190,'клиенты'!$A$2:$J$435,10,FALSE)</f>
        <v>Украина</v>
      </c>
      <c r="Q190" s="47">
        <f t="shared" si="6"/>
        <v>46078.45901</v>
      </c>
      <c r="R190" s="48">
        <f t="shared" si="7"/>
        <v>48.51530039</v>
      </c>
      <c r="S190" s="41"/>
      <c r="T190" s="41"/>
      <c r="U190" s="41"/>
      <c r="V190" s="41"/>
      <c r="W190" s="41"/>
      <c r="X190" s="41"/>
      <c r="Y190" s="41"/>
      <c r="Z190" s="41"/>
    </row>
    <row r="191" ht="14.25" customHeight="1">
      <c r="A191" s="20">
        <v>190.0</v>
      </c>
      <c r="B191" s="20">
        <v>69.0</v>
      </c>
      <c r="C191" s="20">
        <v>88.0</v>
      </c>
      <c r="D191" s="20">
        <v>4.0</v>
      </c>
      <c r="E191" s="20">
        <f t="shared" si="1"/>
        <v>352</v>
      </c>
      <c r="F191" s="49">
        <v>45309.0</v>
      </c>
      <c r="G191" s="20" t="s">
        <v>53</v>
      </c>
      <c r="H191" s="20">
        <v>346.0</v>
      </c>
      <c r="I191" s="20" t="str">
        <f>VLOOKUP(B191,'товар'!$A$1:$C$433,2,FALSE)</f>
        <v>Чипсы</v>
      </c>
      <c r="J191" s="50">
        <f t="shared" si="2"/>
        <v>273.7254902</v>
      </c>
      <c r="K191" s="51">
        <f t="shared" si="3"/>
        <v>-0.6785100287</v>
      </c>
      <c r="L191" s="20" t="str">
        <f>VLOOKUP(B191,'товар'!$A$1:$C$433,3,FALSE)</f>
        <v>Estrella</v>
      </c>
      <c r="M191" s="52">
        <f t="shared" si="4"/>
        <v>266.2727273</v>
      </c>
      <c r="N191" s="53">
        <f>VLOOKUP(H191,'клиенты'!$A$1:$F$435,5,FALSE)</f>
        <v>44636</v>
      </c>
      <c r="O191" s="20">
        <f t="shared" si="5"/>
        <v>673</v>
      </c>
      <c r="P191" s="20" t="str">
        <f>VLOOKUP(H191,'клиенты'!$A$2:$J$435,10,FALSE)</f>
        <v>Россия</v>
      </c>
      <c r="Q191" s="54">
        <f t="shared" si="6"/>
        <v>46078.45901</v>
      </c>
      <c r="R191" s="55">
        <f t="shared" si="7"/>
        <v>48.08196706</v>
      </c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41">
        <v>191.0</v>
      </c>
      <c r="B192" s="41">
        <v>270.0</v>
      </c>
      <c r="C192" s="41">
        <v>484.0</v>
      </c>
      <c r="D192" s="41">
        <v>4.0</v>
      </c>
      <c r="E192" s="41">
        <f t="shared" si="1"/>
        <v>1936</v>
      </c>
      <c r="F192" s="42">
        <v>45084.0</v>
      </c>
      <c r="G192" s="41" t="s">
        <v>45</v>
      </c>
      <c r="H192" s="41">
        <v>457.0</v>
      </c>
      <c r="I192" s="41" t="str">
        <f>VLOOKUP(B192,'товар'!$A$1:$C$433,2,FALSE)</f>
        <v>Соль</v>
      </c>
      <c r="J192" s="43">
        <f t="shared" si="2"/>
        <v>264.8679245</v>
      </c>
      <c r="K192" s="44">
        <f t="shared" si="3"/>
        <v>0.8273258299</v>
      </c>
      <c r="L192" s="41" t="str">
        <f>VLOOKUP(B192,'товар'!$A$1:$C$433,3,FALSE)</f>
        <v>Славянская</v>
      </c>
      <c r="M192" s="45">
        <f t="shared" si="4"/>
        <v>236.9166667</v>
      </c>
      <c r="N192" s="46">
        <f>VLOOKUP(H192,'клиенты'!$A$1:$F$435,5,FALSE)</f>
        <v>44595</v>
      </c>
      <c r="O192" s="41">
        <f t="shared" si="5"/>
        <v>489</v>
      </c>
      <c r="P192" s="41" t="str">
        <f>VLOOKUP(H192,'клиенты'!$A$2:$J$435,10,FALSE)</f>
        <v>Таджикистан</v>
      </c>
      <c r="Q192" s="47">
        <f t="shared" si="6"/>
        <v>46078.45901</v>
      </c>
      <c r="R192" s="48">
        <f t="shared" si="7"/>
        <v>49.44863372</v>
      </c>
      <c r="S192" s="41"/>
      <c r="T192" s="41"/>
      <c r="U192" s="41"/>
      <c r="V192" s="41"/>
      <c r="W192" s="41"/>
      <c r="X192" s="41"/>
      <c r="Y192" s="41"/>
      <c r="Z192" s="41"/>
    </row>
    <row r="193" ht="14.25" customHeight="1">
      <c r="A193" s="20">
        <v>192.0</v>
      </c>
      <c r="B193" s="20">
        <v>345.0</v>
      </c>
      <c r="C193" s="20">
        <v>257.0</v>
      </c>
      <c r="D193" s="20">
        <v>1.0</v>
      </c>
      <c r="E193" s="20">
        <f t="shared" si="1"/>
        <v>257</v>
      </c>
      <c r="F193" s="49">
        <v>44969.0</v>
      </c>
      <c r="G193" s="20" t="s">
        <v>46</v>
      </c>
      <c r="H193" s="20">
        <v>255.0</v>
      </c>
      <c r="I193" s="20" t="str">
        <f>VLOOKUP(B193,'товар'!$A$1:$C$433,2,FALSE)</f>
        <v>Конфеты</v>
      </c>
      <c r="J193" s="50">
        <f t="shared" si="2"/>
        <v>267.8548387</v>
      </c>
      <c r="K193" s="51">
        <f t="shared" si="3"/>
        <v>-0.04052507979</v>
      </c>
      <c r="L193" s="20" t="str">
        <f>VLOOKUP(B193,'товар'!$A$1:$C$433,3,FALSE)</f>
        <v>Рот Фронт</v>
      </c>
      <c r="M193" s="52">
        <f t="shared" si="4"/>
        <v>288.2380952</v>
      </c>
      <c r="N193" s="53">
        <f>VLOOKUP(H193,'клиенты'!$A$1:$F$435,5,FALSE)</f>
        <v>44793</v>
      </c>
      <c r="O193" s="20">
        <f t="shared" si="5"/>
        <v>176</v>
      </c>
      <c r="P193" s="20" t="str">
        <f>VLOOKUP(H193,'клиенты'!$A$2:$J$435,10,FALSE)</f>
        <v>Украина</v>
      </c>
      <c r="Q193" s="54">
        <f t="shared" si="6"/>
        <v>46078.45901</v>
      </c>
      <c r="R193" s="55">
        <f t="shared" si="7"/>
        <v>42.84863372</v>
      </c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41">
        <v>193.0</v>
      </c>
      <c r="B194" s="41">
        <v>348.0</v>
      </c>
      <c r="C194" s="41">
        <v>497.0</v>
      </c>
      <c r="D194" s="41">
        <v>3.0</v>
      </c>
      <c r="E194" s="41">
        <f t="shared" si="1"/>
        <v>1491</v>
      </c>
      <c r="F194" s="42">
        <v>45276.0</v>
      </c>
      <c r="G194" s="41" t="s">
        <v>45</v>
      </c>
      <c r="H194" s="41">
        <v>42.0</v>
      </c>
      <c r="I194" s="41" t="str">
        <f>VLOOKUP(B194,'товар'!$A$1:$C$433,2,FALSE)</f>
        <v>Чипсы</v>
      </c>
      <c r="J194" s="43">
        <f t="shared" si="2"/>
        <v>273.7254902</v>
      </c>
      <c r="K194" s="44">
        <f t="shared" si="3"/>
        <v>0.8156876791</v>
      </c>
      <c r="L194" s="41" t="str">
        <f>VLOOKUP(B194,'товар'!$A$1:$C$433,3,FALSE)</f>
        <v>Estrella</v>
      </c>
      <c r="M194" s="45">
        <f t="shared" si="4"/>
        <v>266.2727273</v>
      </c>
      <c r="N194" s="46">
        <f>VLOOKUP(H194,'клиенты'!$A$1:$F$435,5,FALSE)</f>
        <v>44783</v>
      </c>
      <c r="O194" s="41">
        <f t="shared" si="5"/>
        <v>493</v>
      </c>
      <c r="P194" s="41" t="str">
        <f>VLOOKUP(H194,'клиенты'!$A$2:$J$435,10,FALSE)</f>
        <v>Таджикистан</v>
      </c>
      <c r="Q194" s="47">
        <f t="shared" si="6"/>
        <v>46078.45901</v>
      </c>
      <c r="R194" s="48">
        <f t="shared" si="7"/>
        <v>43.18196706</v>
      </c>
      <c r="S194" s="41"/>
      <c r="T194" s="41"/>
      <c r="U194" s="41"/>
      <c r="V194" s="41"/>
      <c r="W194" s="41"/>
      <c r="X194" s="41"/>
      <c r="Y194" s="41"/>
      <c r="Z194" s="41"/>
    </row>
    <row r="195" ht="14.25" customHeight="1">
      <c r="A195" s="20">
        <v>194.0</v>
      </c>
      <c r="B195" s="20">
        <v>102.0</v>
      </c>
      <c r="C195" s="20">
        <v>115.0</v>
      </c>
      <c r="D195" s="20">
        <v>2.0</v>
      </c>
      <c r="E195" s="20">
        <f t="shared" si="1"/>
        <v>230</v>
      </c>
      <c r="F195" s="49">
        <v>45380.0</v>
      </c>
      <c r="G195" s="20" t="s">
        <v>51</v>
      </c>
      <c r="H195" s="20">
        <v>385.0</v>
      </c>
      <c r="I195" s="20" t="str">
        <f>VLOOKUP(B195,'товар'!$A$1:$C$433,2,FALSE)</f>
        <v>Печенье</v>
      </c>
      <c r="J195" s="50">
        <f t="shared" si="2"/>
        <v>283.4680851</v>
      </c>
      <c r="K195" s="51">
        <f t="shared" si="3"/>
        <v>-0.5943105907</v>
      </c>
      <c r="L195" s="20" t="str">
        <f>VLOOKUP(B195,'товар'!$A$1:$C$433,3,FALSE)</f>
        <v>Белогорье</v>
      </c>
      <c r="M195" s="52">
        <f t="shared" si="4"/>
        <v>249.5</v>
      </c>
      <c r="N195" s="53">
        <f>VLOOKUP(H195,'клиенты'!$A$1:$F$435,5,FALSE)</f>
        <v>44753</v>
      </c>
      <c r="O195" s="20">
        <f t="shared" si="5"/>
        <v>627</v>
      </c>
      <c r="P195" s="20" t="str">
        <f>VLOOKUP(H195,'клиенты'!$A$2:$J$435,10,FALSE)</f>
        <v>Украина</v>
      </c>
      <c r="Q195" s="54">
        <f t="shared" si="6"/>
        <v>46078.45901</v>
      </c>
      <c r="R195" s="55">
        <f t="shared" si="7"/>
        <v>44.18196706</v>
      </c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41">
        <v>195.0</v>
      </c>
      <c r="B196" s="41">
        <v>321.0</v>
      </c>
      <c r="C196" s="41">
        <v>368.0</v>
      </c>
      <c r="D196" s="41">
        <v>1.0</v>
      </c>
      <c r="E196" s="41">
        <f t="shared" si="1"/>
        <v>368</v>
      </c>
      <c r="F196" s="42">
        <v>45193.0</v>
      </c>
      <c r="G196" s="41" t="s">
        <v>36</v>
      </c>
      <c r="H196" s="41">
        <v>436.0</v>
      </c>
      <c r="I196" s="41" t="str">
        <f>VLOOKUP(B196,'товар'!$A$1:$C$433,2,FALSE)</f>
        <v>Мясо</v>
      </c>
      <c r="J196" s="43">
        <f t="shared" si="2"/>
        <v>271.7454545</v>
      </c>
      <c r="K196" s="44">
        <f t="shared" si="3"/>
        <v>0.3542084839</v>
      </c>
      <c r="L196" s="41" t="str">
        <f>VLOOKUP(B196,'товар'!$A$1:$C$433,3,FALSE)</f>
        <v>Сава</v>
      </c>
      <c r="M196" s="45">
        <f t="shared" si="4"/>
        <v>212.8125</v>
      </c>
      <c r="N196" s="46">
        <f>VLOOKUP(H196,'клиенты'!$A$1:$F$435,5,FALSE)</f>
        <v>44683</v>
      </c>
      <c r="O196" s="41">
        <f t="shared" si="5"/>
        <v>510</v>
      </c>
      <c r="P196" s="41" t="str">
        <f>VLOOKUP(H196,'клиенты'!$A$2:$J$435,10,FALSE)</f>
        <v>Россия</v>
      </c>
      <c r="Q196" s="47">
        <f t="shared" si="6"/>
        <v>46078.45901</v>
      </c>
      <c r="R196" s="48">
        <f t="shared" si="7"/>
        <v>46.51530039</v>
      </c>
      <c r="S196" s="41"/>
      <c r="T196" s="41"/>
      <c r="U196" s="41"/>
      <c r="V196" s="41"/>
      <c r="W196" s="41"/>
      <c r="X196" s="41"/>
      <c r="Y196" s="41"/>
      <c r="Z196" s="41"/>
    </row>
    <row r="197" ht="14.25" customHeight="1">
      <c r="A197" s="20">
        <v>196.0</v>
      </c>
      <c r="B197" s="20">
        <v>176.0</v>
      </c>
      <c r="C197" s="20">
        <v>113.0</v>
      </c>
      <c r="D197" s="20">
        <v>4.0</v>
      </c>
      <c r="E197" s="20">
        <f t="shared" si="1"/>
        <v>452</v>
      </c>
      <c r="F197" s="49">
        <v>45335.0</v>
      </c>
      <c r="G197" s="20" t="s">
        <v>50</v>
      </c>
      <c r="H197" s="20">
        <v>175.0</v>
      </c>
      <c r="I197" s="20" t="str">
        <f>VLOOKUP(B197,'товар'!$A$1:$C$433,2,FALSE)</f>
        <v>Сахар</v>
      </c>
      <c r="J197" s="50">
        <f t="shared" si="2"/>
        <v>252.7627119</v>
      </c>
      <c r="K197" s="51">
        <f t="shared" si="3"/>
        <v>-0.5529403876</v>
      </c>
      <c r="L197" s="20" t="str">
        <f>VLOOKUP(B197,'товар'!$A$1:$C$433,3,FALSE)</f>
        <v>Продимекс</v>
      </c>
      <c r="M197" s="52">
        <f t="shared" si="4"/>
        <v>240.5</v>
      </c>
      <c r="N197" s="53">
        <f>VLOOKUP(H197,'клиенты'!$A$1:$F$435,5,FALSE)</f>
        <v>44565</v>
      </c>
      <c r="O197" s="20">
        <f t="shared" si="5"/>
        <v>770</v>
      </c>
      <c r="P197" s="20" t="str">
        <f>VLOOKUP(H197,'клиенты'!$A$2:$J$435,10,FALSE)</f>
        <v>Россия</v>
      </c>
      <c r="Q197" s="54">
        <f t="shared" si="6"/>
        <v>46078.45901</v>
      </c>
      <c r="R197" s="55">
        <f t="shared" si="7"/>
        <v>50.44863372</v>
      </c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41">
        <v>197.0</v>
      </c>
      <c r="B198" s="41">
        <v>341.0</v>
      </c>
      <c r="C198" s="41">
        <v>194.0</v>
      </c>
      <c r="D198" s="41">
        <v>3.0</v>
      </c>
      <c r="E198" s="41">
        <f t="shared" si="1"/>
        <v>582</v>
      </c>
      <c r="F198" s="42">
        <v>45255.0</v>
      </c>
      <c r="G198" s="41" t="s">
        <v>41</v>
      </c>
      <c r="H198" s="41">
        <v>274.0</v>
      </c>
      <c r="I198" s="41" t="str">
        <f>VLOOKUP(B198,'товар'!$A$1:$C$433,2,FALSE)</f>
        <v>Макароны</v>
      </c>
      <c r="J198" s="43">
        <f t="shared" si="2"/>
        <v>265.4767442</v>
      </c>
      <c r="K198" s="44">
        <f t="shared" si="3"/>
        <v>-0.2692391923</v>
      </c>
      <c r="L198" s="41" t="str">
        <f>VLOOKUP(B198,'товар'!$A$1:$C$433,3,FALSE)</f>
        <v>Макфа</v>
      </c>
      <c r="M198" s="45">
        <f t="shared" si="4"/>
        <v>329.2727273</v>
      </c>
      <c r="N198" s="46">
        <f>VLOOKUP(H198,'клиенты'!$A$1:$F$435,5,FALSE)</f>
        <v>44607</v>
      </c>
      <c r="O198" s="41">
        <f t="shared" si="5"/>
        <v>648</v>
      </c>
      <c r="P198" s="41" t="str">
        <f>VLOOKUP(H198,'клиенты'!$A$2:$J$435,10,FALSE)</f>
        <v>Россия</v>
      </c>
      <c r="Q198" s="47">
        <f t="shared" si="6"/>
        <v>46078.45901</v>
      </c>
      <c r="R198" s="48">
        <f t="shared" si="7"/>
        <v>49.04863372</v>
      </c>
      <c r="S198" s="41"/>
      <c r="T198" s="41"/>
      <c r="U198" s="41"/>
      <c r="V198" s="41"/>
      <c r="W198" s="41"/>
      <c r="X198" s="41"/>
      <c r="Y198" s="41"/>
      <c r="Z198" s="41"/>
    </row>
    <row r="199" ht="14.25" customHeight="1">
      <c r="A199" s="20">
        <v>198.0</v>
      </c>
      <c r="B199" s="20">
        <v>473.0</v>
      </c>
      <c r="C199" s="20">
        <v>171.0</v>
      </c>
      <c r="D199" s="20">
        <v>4.0</v>
      </c>
      <c r="E199" s="20">
        <f t="shared" si="1"/>
        <v>684</v>
      </c>
      <c r="F199" s="49">
        <v>45058.0</v>
      </c>
      <c r="G199" s="20" t="s">
        <v>40</v>
      </c>
      <c r="H199" s="20">
        <v>266.0</v>
      </c>
      <c r="I199" s="20" t="str">
        <f>VLOOKUP(B199,'товар'!$A$1:$C$433,2,FALSE)</f>
        <v>Хлеб</v>
      </c>
      <c r="J199" s="50">
        <f t="shared" si="2"/>
        <v>300.3181818</v>
      </c>
      <c r="K199" s="51">
        <f t="shared" si="3"/>
        <v>-0.4306039049</v>
      </c>
      <c r="L199" s="20" t="str">
        <f>VLOOKUP(B199,'товар'!$A$1:$C$433,3,FALSE)</f>
        <v>Хлебный Дом</v>
      </c>
      <c r="M199" s="52">
        <f t="shared" si="4"/>
        <v>281.7333333</v>
      </c>
      <c r="N199" s="53">
        <f>VLOOKUP(H199,'клиенты'!$A$1:$F$435,5,FALSE)</f>
        <v>44795</v>
      </c>
      <c r="O199" s="20">
        <f t="shared" si="5"/>
        <v>263</v>
      </c>
      <c r="P199" s="20" t="str">
        <f>VLOOKUP(H199,'клиенты'!$A$2:$J$435,10,FALSE)</f>
        <v>Россия</v>
      </c>
      <c r="Q199" s="54">
        <f t="shared" si="6"/>
        <v>46078.45901</v>
      </c>
      <c r="R199" s="55">
        <f t="shared" si="7"/>
        <v>42.78196706</v>
      </c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41">
        <v>199.0</v>
      </c>
      <c r="B200" s="41">
        <v>482.0</v>
      </c>
      <c r="C200" s="41">
        <v>321.0</v>
      </c>
      <c r="D200" s="41">
        <v>2.0</v>
      </c>
      <c r="E200" s="41">
        <f t="shared" si="1"/>
        <v>642</v>
      </c>
      <c r="F200" s="42">
        <v>44942.0</v>
      </c>
      <c r="G200" s="41" t="s">
        <v>37</v>
      </c>
      <c r="H200" s="41">
        <v>481.0</v>
      </c>
      <c r="I200" s="41" t="str">
        <f>VLOOKUP(B200,'товар'!$A$1:$C$433,2,FALSE)</f>
        <v>Крупа</v>
      </c>
      <c r="J200" s="43">
        <f t="shared" si="2"/>
        <v>255.1162791</v>
      </c>
      <c r="K200" s="44">
        <f t="shared" si="3"/>
        <v>0.2582497721</v>
      </c>
      <c r="L200" s="41" t="str">
        <f>VLOOKUP(B200,'товар'!$A$1:$C$433,3,FALSE)</f>
        <v>Мистраль</v>
      </c>
      <c r="M200" s="45">
        <f t="shared" si="4"/>
        <v>250.3076923</v>
      </c>
      <c r="N200" s="46">
        <f>VLOOKUP(H200,'клиенты'!$A$1:$F$435,5,FALSE)</f>
        <v>44756</v>
      </c>
      <c r="O200" s="41">
        <f t="shared" si="5"/>
        <v>186</v>
      </c>
      <c r="P200" s="41" t="str">
        <f>VLOOKUP(H200,'клиенты'!$A$2:$J$435,10,FALSE)</f>
        <v>Беларусь</v>
      </c>
      <c r="Q200" s="47">
        <f t="shared" si="6"/>
        <v>46078.45901</v>
      </c>
      <c r="R200" s="48">
        <f t="shared" si="7"/>
        <v>44.08196706</v>
      </c>
      <c r="S200" s="41"/>
      <c r="T200" s="41"/>
      <c r="U200" s="41"/>
      <c r="V200" s="41"/>
      <c r="W200" s="41"/>
      <c r="X200" s="41"/>
      <c r="Y200" s="41"/>
      <c r="Z200" s="41"/>
    </row>
    <row r="201" ht="14.25" customHeight="1">
      <c r="A201" s="20">
        <v>200.0</v>
      </c>
      <c r="B201" s="20">
        <v>169.0</v>
      </c>
      <c r="C201" s="20">
        <v>386.0</v>
      </c>
      <c r="D201" s="20">
        <v>5.0</v>
      </c>
      <c r="E201" s="20">
        <f t="shared" si="1"/>
        <v>1930</v>
      </c>
      <c r="F201" s="49">
        <v>44967.0</v>
      </c>
      <c r="G201" s="20" t="s">
        <v>35</v>
      </c>
      <c r="H201" s="20">
        <v>59.0</v>
      </c>
      <c r="I201" s="20" t="str">
        <f>VLOOKUP(B201,'товар'!$A$1:$C$433,2,FALSE)</f>
        <v>Фрукты</v>
      </c>
      <c r="J201" s="50">
        <f t="shared" si="2"/>
        <v>274.1627907</v>
      </c>
      <c r="K201" s="51">
        <f t="shared" si="3"/>
        <v>0.4079226397</v>
      </c>
      <c r="L201" s="20" t="str">
        <f>VLOOKUP(B201,'товар'!$A$1:$C$433,3,FALSE)</f>
        <v>Фруктовый Рай</v>
      </c>
      <c r="M201" s="52">
        <f t="shared" si="4"/>
        <v>258.3076923</v>
      </c>
      <c r="N201" s="53">
        <f>VLOOKUP(H201,'клиенты'!$A$1:$F$435,5,FALSE)</f>
        <v>44770</v>
      </c>
      <c r="O201" s="20">
        <f t="shared" si="5"/>
        <v>197</v>
      </c>
      <c r="P201" s="20" t="str">
        <f>VLOOKUP(H201,'клиенты'!$A$2:$J$435,10,FALSE)</f>
        <v>Россия</v>
      </c>
      <c r="Q201" s="54">
        <f t="shared" si="6"/>
        <v>46078.45901</v>
      </c>
      <c r="R201" s="55">
        <f t="shared" si="7"/>
        <v>43.61530039</v>
      </c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41">
        <v>201.0</v>
      </c>
      <c r="B202" s="41">
        <v>397.0</v>
      </c>
      <c r="C202" s="41">
        <v>148.0</v>
      </c>
      <c r="D202" s="41">
        <v>1.0</v>
      </c>
      <c r="E202" s="41">
        <f t="shared" si="1"/>
        <v>148</v>
      </c>
      <c r="F202" s="42">
        <v>45010.0</v>
      </c>
      <c r="G202" s="41" t="s">
        <v>54</v>
      </c>
      <c r="H202" s="41">
        <v>47.0</v>
      </c>
      <c r="I202" s="41" t="str">
        <f>VLOOKUP(B202,'товар'!$A$1:$C$433,2,FALSE)</f>
        <v>Йогурт</v>
      </c>
      <c r="J202" s="43">
        <f t="shared" si="2"/>
        <v>263.2542373</v>
      </c>
      <c r="K202" s="44">
        <f t="shared" si="3"/>
        <v>-0.4378058202</v>
      </c>
      <c r="L202" s="41" t="str">
        <f>VLOOKUP(B202,'товар'!$A$1:$C$433,3,FALSE)</f>
        <v>Ростагроэкспорт</v>
      </c>
      <c r="M202" s="45">
        <f t="shared" si="4"/>
        <v>257.7826087</v>
      </c>
      <c r="N202" s="46">
        <f>VLOOKUP(H202,'клиенты'!$A$1:$F$435,5,FALSE)</f>
        <v>44693</v>
      </c>
      <c r="O202" s="41">
        <f t="shared" si="5"/>
        <v>317</v>
      </c>
      <c r="P202" s="41" t="str">
        <f>VLOOKUP(H202,'клиенты'!$A$2:$J$435,10,FALSE)</f>
        <v>Беларусь</v>
      </c>
      <c r="Q202" s="47">
        <f t="shared" si="6"/>
        <v>46078.45901</v>
      </c>
      <c r="R202" s="48">
        <f t="shared" si="7"/>
        <v>46.18196706</v>
      </c>
      <c r="S202" s="41"/>
      <c r="T202" s="41"/>
      <c r="U202" s="41"/>
      <c r="V202" s="41"/>
      <c r="W202" s="41"/>
      <c r="X202" s="41"/>
      <c r="Y202" s="41"/>
      <c r="Z202" s="41"/>
    </row>
    <row r="203" ht="14.25" customHeight="1">
      <c r="A203" s="20">
        <v>202.0</v>
      </c>
      <c r="B203" s="20">
        <v>436.0</v>
      </c>
      <c r="C203" s="20">
        <v>291.0</v>
      </c>
      <c r="D203" s="20">
        <v>2.0</v>
      </c>
      <c r="E203" s="20">
        <f t="shared" si="1"/>
        <v>582</v>
      </c>
      <c r="F203" s="49">
        <v>45095.0</v>
      </c>
      <c r="G203" s="20" t="s">
        <v>54</v>
      </c>
      <c r="H203" s="20">
        <v>385.0</v>
      </c>
      <c r="I203" s="20" t="str">
        <f>VLOOKUP(B203,'товар'!$A$1:$C$433,2,FALSE)</f>
        <v>Овощи</v>
      </c>
      <c r="J203" s="50">
        <f t="shared" si="2"/>
        <v>250.4878049</v>
      </c>
      <c r="K203" s="51">
        <f t="shared" si="3"/>
        <v>0.1617332035</v>
      </c>
      <c r="L203" s="20" t="str">
        <f>VLOOKUP(B203,'товар'!$A$1:$C$433,3,FALSE)</f>
        <v>Гавриш</v>
      </c>
      <c r="M203" s="52">
        <f t="shared" si="4"/>
        <v>247.6666667</v>
      </c>
      <c r="N203" s="53">
        <f>VLOOKUP(H203,'клиенты'!$A$1:$F$435,5,FALSE)</f>
        <v>44753</v>
      </c>
      <c r="O203" s="20">
        <f t="shared" si="5"/>
        <v>342</v>
      </c>
      <c r="P203" s="20" t="str">
        <f>VLOOKUP(H203,'клиенты'!$A$2:$J$435,10,FALSE)</f>
        <v>Украина</v>
      </c>
      <c r="Q203" s="54">
        <f t="shared" si="6"/>
        <v>46078.45901</v>
      </c>
      <c r="R203" s="55">
        <f t="shared" si="7"/>
        <v>44.18196706</v>
      </c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41">
        <v>203.0</v>
      </c>
      <c r="B204" s="41">
        <v>369.0</v>
      </c>
      <c r="C204" s="41">
        <v>74.0</v>
      </c>
      <c r="D204" s="41">
        <v>1.0</v>
      </c>
      <c r="E204" s="41">
        <f t="shared" si="1"/>
        <v>74</v>
      </c>
      <c r="F204" s="42">
        <v>45208.0</v>
      </c>
      <c r="G204" s="41" t="s">
        <v>35</v>
      </c>
      <c r="H204" s="41">
        <v>411.0</v>
      </c>
      <c r="I204" s="41" t="str">
        <f>VLOOKUP(B204,'товар'!$A$1:$C$433,2,FALSE)</f>
        <v>Молоко</v>
      </c>
      <c r="J204" s="43">
        <f t="shared" si="2"/>
        <v>294.952381</v>
      </c>
      <c r="K204" s="44">
        <f t="shared" si="3"/>
        <v>-0.7491120439</v>
      </c>
      <c r="L204" s="41" t="str">
        <f>VLOOKUP(B204,'товар'!$A$1:$C$433,3,FALSE)</f>
        <v>Домик в деревне</v>
      </c>
      <c r="M204" s="45">
        <f t="shared" si="4"/>
        <v>274.7777778</v>
      </c>
      <c r="N204" s="46">
        <f>VLOOKUP(H204,'клиенты'!$A$1:$F$435,5,FALSE)</f>
        <v>44673</v>
      </c>
      <c r="O204" s="41">
        <f t="shared" si="5"/>
        <v>535</v>
      </c>
      <c r="P204" s="41" t="str">
        <f>VLOOKUP(H204,'клиенты'!$A$2:$J$435,10,FALSE)</f>
        <v>Таджикистан</v>
      </c>
      <c r="Q204" s="47">
        <f t="shared" si="6"/>
        <v>46078.45901</v>
      </c>
      <c r="R204" s="48">
        <f t="shared" si="7"/>
        <v>46.84863372</v>
      </c>
      <c r="S204" s="41"/>
      <c r="T204" s="41"/>
      <c r="U204" s="41"/>
      <c r="V204" s="41"/>
      <c r="W204" s="41"/>
      <c r="X204" s="41"/>
      <c r="Y204" s="41"/>
      <c r="Z204" s="41"/>
    </row>
    <row r="205" ht="14.25" customHeight="1">
      <c r="A205" s="20">
        <v>204.0</v>
      </c>
      <c r="B205" s="20">
        <v>361.0</v>
      </c>
      <c r="C205" s="20">
        <v>245.0</v>
      </c>
      <c r="D205" s="20">
        <v>1.0</v>
      </c>
      <c r="E205" s="20">
        <f t="shared" si="1"/>
        <v>245</v>
      </c>
      <c r="F205" s="49">
        <v>45178.0</v>
      </c>
      <c r="G205" s="20" t="s">
        <v>49</v>
      </c>
      <c r="H205" s="20">
        <v>259.0</v>
      </c>
      <c r="I205" s="20" t="str">
        <f>VLOOKUP(B205,'товар'!$A$1:$C$433,2,FALSE)</f>
        <v>Мясо</v>
      </c>
      <c r="J205" s="50">
        <f t="shared" si="2"/>
        <v>271.7454545</v>
      </c>
      <c r="K205" s="51">
        <f t="shared" si="3"/>
        <v>-0.0984209822</v>
      </c>
      <c r="L205" s="20" t="str">
        <f>VLOOKUP(B205,'товар'!$A$1:$C$433,3,FALSE)</f>
        <v>Сава</v>
      </c>
      <c r="M205" s="52">
        <f t="shared" si="4"/>
        <v>212.8125</v>
      </c>
      <c r="N205" s="53">
        <f>VLOOKUP(H205,'клиенты'!$A$1:$F$435,5,FALSE)</f>
        <v>44707</v>
      </c>
      <c r="O205" s="20">
        <f t="shared" si="5"/>
        <v>471</v>
      </c>
      <c r="P205" s="20" t="str">
        <f>VLOOKUP(H205,'клиенты'!$A$2:$J$435,10,FALSE)</f>
        <v>Беларусь</v>
      </c>
      <c r="Q205" s="54">
        <f t="shared" si="6"/>
        <v>46078.45901</v>
      </c>
      <c r="R205" s="55">
        <f t="shared" si="7"/>
        <v>45.71530039</v>
      </c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41">
        <v>205.0</v>
      </c>
      <c r="B206" s="41">
        <v>226.0</v>
      </c>
      <c r="C206" s="41">
        <v>339.0</v>
      </c>
      <c r="D206" s="41">
        <v>4.0</v>
      </c>
      <c r="E206" s="41">
        <f t="shared" si="1"/>
        <v>1356</v>
      </c>
      <c r="F206" s="42">
        <v>45251.0</v>
      </c>
      <c r="G206" s="41" t="s">
        <v>41</v>
      </c>
      <c r="H206" s="41">
        <v>337.0</v>
      </c>
      <c r="I206" s="41" t="str">
        <f>VLOOKUP(B206,'товар'!$A$1:$C$433,2,FALSE)</f>
        <v>Сыр</v>
      </c>
      <c r="J206" s="43">
        <f t="shared" si="2"/>
        <v>262.6349206</v>
      </c>
      <c r="K206" s="44">
        <f t="shared" si="3"/>
        <v>0.2907651396</v>
      </c>
      <c r="L206" s="41" t="str">
        <f>VLOOKUP(B206,'товар'!$A$1:$C$433,3,FALSE)</f>
        <v>Карат</v>
      </c>
      <c r="M206" s="45">
        <f t="shared" si="4"/>
        <v>311.3333333</v>
      </c>
      <c r="N206" s="46">
        <f>VLOOKUP(H206,'клиенты'!$A$1:$F$435,5,FALSE)</f>
        <v>44875</v>
      </c>
      <c r="O206" s="41">
        <f t="shared" si="5"/>
        <v>376</v>
      </c>
      <c r="P206" s="41" t="str">
        <f>VLOOKUP(H206,'клиенты'!$A$2:$J$435,10,FALSE)</f>
        <v>Россия</v>
      </c>
      <c r="Q206" s="47">
        <f t="shared" si="6"/>
        <v>46078.45901</v>
      </c>
      <c r="R206" s="48">
        <f t="shared" si="7"/>
        <v>40.11530039</v>
      </c>
      <c r="S206" s="41"/>
      <c r="T206" s="41"/>
      <c r="U206" s="41"/>
      <c r="V206" s="41"/>
      <c r="W206" s="41"/>
      <c r="X206" s="41"/>
      <c r="Y206" s="41"/>
      <c r="Z206" s="41"/>
    </row>
    <row r="207" ht="14.25" customHeight="1">
      <c r="A207" s="20">
        <v>206.0</v>
      </c>
      <c r="B207" s="20">
        <v>87.0</v>
      </c>
      <c r="C207" s="20">
        <v>487.0</v>
      </c>
      <c r="D207" s="20">
        <v>1.0</v>
      </c>
      <c r="E207" s="20">
        <f t="shared" si="1"/>
        <v>487</v>
      </c>
      <c r="F207" s="49">
        <v>45019.0</v>
      </c>
      <c r="G207" s="20" t="s">
        <v>48</v>
      </c>
      <c r="H207" s="20">
        <v>172.0</v>
      </c>
      <c r="I207" s="20" t="str">
        <f>VLOOKUP(B207,'товар'!$A$1:$C$433,2,FALSE)</f>
        <v>Кофе</v>
      </c>
      <c r="J207" s="50">
        <f t="shared" si="2"/>
        <v>249.0238095</v>
      </c>
      <c r="K207" s="51">
        <f t="shared" si="3"/>
        <v>0.9556362941</v>
      </c>
      <c r="L207" s="20" t="str">
        <f>VLOOKUP(B207,'товар'!$A$1:$C$433,3,FALSE)</f>
        <v>Jacobs</v>
      </c>
      <c r="M207" s="52">
        <f t="shared" si="4"/>
        <v>276.2105263</v>
      </c>
      <c r="N207" s="53">
        <f>VLOOKUP(H207,'клиенты'!$A$1:$F$435,5,FALSE)</f>
        <v>44737</v>
      </c>
      <c r="O207" s="20">
        <f t="shared" si="5"/>
        <v>282</v>
      </c>
      <c r="P207" s="20" t="str">
        <f>VLOOKUP(H207,'клиенты'!$A$2:$J$435,10,FALSE)</f>
        <v>Россия</v>
      </c>
      <c r="Q207" s="54">
        <f t="shared" si="6"/>
        <v>46078.45901</v>
      </c>
      <c r="R207" s="55">
        <f t="shared" si="7"/>
        <v>44.71530039</v>
      </c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41">
        <v>207.0</v>
      </c>
      <c r="B208" s="41">
        <v>376.0</v>
      </c>
      <c r="C208" s="41">
        <v>335.0</v>
      </c>
      <c r="D208" s="41">
        <v>5.0</v>
      </c>
      <c r="E208" s="41">
        <f t="shared" si="1"/>
        <v>1675</v>
      </c>
      <c r="F208" s="42">
        <v>44983.0</v>
      </c>
      <c r="G208" s="41" t="s">
        <v>48</v>
      </c>
      <c r="H208" s="41">
        <v>130.0</v>
      </c>
      <c r="I208" s="41" t="str">
        <f>VLOOKUP(B208,'товар'!$A$1:$C$433,2,FALSE)</f>
        <v>Конфеты</v>
      </c>
      <c r="J208" s="43">
        <f t="shared" si="2"/>
        <v>267.8548387</v>
      </c>
      <c r="K208" s="44">
        <f t="shared" si="3"/>
        <v>0.2506774252</v>
      </c>
      <c r="L208" s="41" t="str">
        <f>VLOOKUP(B208,'товар'!$A$1:$C$433,3,FALSE)</f>
        <v>Красный Октябрь</v>
      </c>
      <c r="M208" s="45">
        <f t="shared" si="4"/>
        <v>273.625</v>
      </c>
      <c r="N208" s="46">
        <f>VLOOKUP(H208,'клиенты'!$A$1:$F$435,5,FALSE)</f>
        <v>44863</v>
      </c>
      <c r="O208" s="41">
        <f t="shared" si="5"/>
        <v>120</v>
      </c>
      <c r="P208" s="41" t="str">
        <f>VLOOKUP(H208,'клиенты'!$A$2:$J$435,10,FALSE)</f>
        <v>Таджикистан</v>
      </c>
      <c r="Q208" s="47">
        <f t="shared" si="6"/>
        <v>46078.45901</v>
      </c>
      <c r="R208" s="48">
        <f t="shared" si="7"/>
        <v>40.51530039</v>
      </c>
      <c r="S208" s="41"/>
      <c r="T208" s="41"/>
      <c r="U208" s="41"/>
      <c r="V208" s="41"/>
      <c r="W208" s="41"/>
      <c r="X208" s="41"/>
      <c r="Y208" s="41"/>
      <c r="Z208" s="41"/>
    </row>
    <row r="209" ht="14.25" customHeight="1">
      <c r="A209" s="20">
        <v>208.0</v>
      </c>
      <c r="B209" s="20">
        <v>255.0</v>
      </c>
      <c r="C209" s="20">
        <v>214.0</v>
      </c>
      <c r="D209" s="20">
        <v>2.0</v>
      </c>
      <c r="E209" s="20">
        <f t="shared" si="1"/>
        <v>428</v>
      </c>
      <c r="F209" s="49">
        <v>45031.0</v>
      </c>
      <c r="G209" s="20" t="s">
        <v>53</v>
      </c>
      <c r="H209" s="20">
        <v>354.0</v>
      </c>
      <c r="I209" s="20" t="str">
        <f>VLOOKUP(B209,'товар'!$A$1:$C$433,2,FALSE)</f>
        <v>Кофе</v>
      </c>
      <c r="J209" s="50">
        <f t="shared" si="2"/>
        <v>249.0238095</v>
      </c>
      <c r="K209" s="51">
        <f t="shared" si="3"/>
        <v>-0.1406444211</v>
      </c>
      <c r="L209" s="20" t="str">
        <f>VLOOKUP(B209,'товар'!$A$1:$C$433,3,FALSE)</f>
        <v>Nescafe</v>
      </c>
      <c r="M209" s="52">
        <f t="shared" si="4"/>
        <v>256.9</v>
      </c>
      <c r="N209" s="53">
        <f>VLOOKUP(H209,'клиенты'!$A$1:$F$435,5,FALSE)</f>
        <v>44811</v>
      </c>
      <c r="O209" s="20">
        <f t="shared" si="5"/>
        <v>220</v>
      </c>
      <c r="P209" s="20" t="str">
        <f>VLOOKUP(H209,'клиенты'!$A$2:$J$435,10,FALSE)</f>
        <v>Узбекистан</v>
      </c>
      <c r="Q209" s="54">
        <f t="shared" si="6"/>
        <v>46078.45901</v>
      </c>
      <c r="R209" s="55">
        <f t="shared" si="7"/>
        <v>42.24863372</v>
      </c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41">
        <v>209.0</v>
      </c>
      <c r="B210" s="41">
        <v>111.0</v>
      </c>
      <c r="C210" s="41">
        <v>452.0</v>
      </c>
      <c r="D210" s="41">
        <v>4.0</v>
      </c>
      <c r="E210" s="41">
        <f t="shared" si="1"/>
        <v>1808</v>
      </c>
      <c r="F210" s="42">
        <v>44927.0</v>
      </c>
      <c r="G210" s="41" t="s">
        <v>41</v>
      </c>
      <c r="H210" s="41">
        <v>329.0</v>
      </c>
      <c r="I210" s="41" t="str">
        <f>VLOOKUP(B210,'товар'!$A$1:$C$433,2,FALSE)</f>
        <v>Сахар</v>
      </c>
      <c r="J210" s="43">
        <f t="shared" si="2"/>
        <v>252.7627119</v>
      </c>
      <c r="K210" s="44">
        <f t="shared" si="3"/>
        <v>0.7882384497</v>
      </c>
      <c r="L210" s="41" t="str">
        <f>VLOOKUP(B210,'товар'!$A$1:$C$433,3,FALSE)</f>
        <v>Сладов</v>
      </c>
      <c r="M210" s="45">
        <f t="shared" si="4"/>
        <v>240.2666667</v>
      </c>
      <c r="N210" s="46">
        <f>VLOOKUP(H210,'клиенты'!$A$1:$F$435,5,FALSE)</f>
        <v>44653</v>
      </c>
      <c r="O210" s="41">
        <f t="shared" si="5"/>
        <v>274</v>
      </c>
      <c r="P210" s="41" t="str">
        <f>VLOOKUP(H210,'клиенты'!$A$2:$J$435,10,FALSE)</f>
        <v>Беларусь</v>
      </c>
      <c r="Q210" s="47">
        <f t="shared" si="6"/>
        <v>46078.45901</v>
      </c>
      <c r="R210" s="48">
        <f t="shared" si="7"/>
        <v>47.51530039</v>
      </c>
      <c r="S210" s="41"/>
      <c r="T210" s="41"/>
      <c r="U210" s="41"/>
      <c r="V210" s="41"/>
      <c r="W210" s="41"/>
      <c r="X210" s="41"/>
      <c r="Y210" s="41"/>
      <c r="Z210" s="41"/>
    </row>
    <row r="211" ht="14.25" customHeight="1">
      <c r="A211" s="20">
        <v>210.0</v>
      </c>
      <c r="B211" s="20">
        <v>344.0</v>
      </c>
      <c r="C211" s="20">
        <v>172.0</v>
      </c>
      <c r="D211" s="20">
        <v>5.0</v>
      </c>
      <c r="E211" s="20">
        <f t="shared" si="1"/>
        <v>860</v>
      </c>
      <c r="F211" s="49">
        <v>45092.0</v>
      </c>
      <c r="G211" s="20" t="s">
        <v>35</v>
      </c>
      <c r="H211" s="20">
        <v>186.0</v>
      </c>
      <c r="I211" s="20" t="str">
        <f>VLOOKUP(B211,'товар'!$A$1:$C$433,2,FALSE)</f>
        <v>Сок</v>
      </c>
      <c r="J211" s="50">
        <f t="shared" si="2"/>
        <v>268.6034483</v>
      </c>
      <c r="K211" s="51">
        <f t="shared" si="3"/>
        <v>-0.359650812</v>
      </c>
      <c r="L211" s="20" t="str">
        <f>VLOOKUP(B211,'товар'!$A$1:$C$433,3,FALSE)</f>
        <v>Сады Придонья</v>
      </c>
      <c r="M211" s="52">
        <f t="shared" si="4"/>
        <v>254.1818182</v>
      </c>
      <c r="N211" s="53">
        <f>VLOOKUP(H211,'клиенты'!$A$1:$F$435,5,FALSE)</f>
        <v>44914</v>
      </c>
      <c r="O211" s="20">
        <f t="shared" si="5"/>
        <v>178</v>
      </c>
      <c r="P211" s="20" t="str">
        <f>VLOOKUP(H211,'клиенты'!$A$2:$J$435,10,FALSE)</f>
        <v>Беларусь</v>
      </c>
      <c r="Q211" s="54">
        <f t="shared" si="6"/>
        <v>46078.45901</v>
      </c>
      <c r="R211" s="55">
        <f t="shared" si="7"/>
        <v>38.81530039</v>
      </c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41">
        <v>211.0</v>
      </c>
      <c r="B212" s="41">
        <v>462.0</v>
      </c>
      <c r="C212" s="41">
        <v>104.0</v>
      </c>
      <c r="D212" s="41">
        <v>4.0</v>
      </c>
      <c r="E212" s="41">
        <f t="shared" si="1"/>
        <v>416</v>
      </c>
      <c r="F212" s="42">
        <v>45105.0</v>
      </c>
      <c r="G212" s="41" t="s">
        <v>38</v>
      </c>
      <c r="H212" s="41">
        <v>448.0</v>
      </c>
      <c r="I212" s="41" t="str">
        <f>VLOOKUP(B212,'товар'!$A$1:$C$433,2,FALSE)</f>
        <v>Рис</v>
      </c>
      <c r="J212" s="43">
        <f t="shared" si="2"/>
        <v>258.375</v>
      </c>
      <c r="K212" s="44">
        <f t="shared" si="3"/>
        <v>-0.5974842767</v>
      </c>
      <c r="L212" s="41" t="str">
        <f>VLOOKUP(B212,'товар'!$A$1:$C$433,3,FALSE)</f>
        <v>Белый Злат</v>
      </c>
      <c r="M212" s="45">
        <f t="shared" si="4"/>
        <v>269.7058824</v>
      </c>
      <c r="N212" s="46">
        <f>VLOOKUP(H212,'клиенты'!$A$1:$F$435,5,FALSE)</f>
        <v>44770</v>
      </c>
      <c r="O212" s="41">
        <f t="shared" si="5"/>
        <v>335</v>
      </c>
      <c r="P212" s="41" t="str">
        <f>VLOOKUP(H212,'клиенты'!$A$2:$J$435,10,FALSE)</f>
        <v>Россия</v>
      </c>
      <c r="Q212" s="47">
        <f t="shared" si="6"/>
        <v>46078.45901</v>
      </c>
      <c r="R212" s="48">
        <f t="shared" si="7"/>
        <v>43.61530039</v>
      </c>
      <c r="S212" s="41"/>
      <c r="T212" s="41"/>
      <c r="U212" s="41"/>
      <c r="V212" s="41"/>
      <c r="W212" s="41"/>
      <c r="X212" s="41"/>
      <c r="Y212" s="41"/>
      <c r="Z212" s="41"/>
    </row>
    <row r="213" ht="14.25" customHeight="1">
      <c r="A213" s="20">
        <v>212.0</v>
      </c>
      <c r="B213" s="20">
        <v>279.0</v>
      </c>
      <c r="C213" s="20">
        <v>433.0</v>
      </c>
      <c r="D213" s="20">
        <v>4.0</v>
      </c>
      <c r="E213" s="20">
        <f t="shared" si="1"/>
        <v>1732</v>
      </c>
      <c r="F213" s="49">
        <v>45265.0</v>
      </c>
      <c r="G213" s="20" t="s">
        <v>36</v>
      </c>
      <c r="H213" s="20">
        <v>377.0</v>
      </c>
      <c r="I213" s="20" t="str">
        <f>VLOOKUP(B213,'товар'!$A$1:$C$433,2,FALSE)</f>
        <v>Крупа</v>
      </c>
      <c r="J213" s="50">
        <f t="shared" si="2"/>
        <v>255.1162791</v>
      </c>
      <c r="K213" s="51">
        <f t="shared" si="3"/>
        <v>0.6972652689</v>
      </c>
      <c r="L213" s="20" t="str">
        <f>VLOOKUP(B213,'товар'!$A$1:$C$433,3,FALSE)</f>
        <v>Увелка</v>
      </c>
      <c r="M213" s="52">
        <f t="shared" si="4"/>
        <v>251.9166667</v>
      </c>
      <c r="N213" s="53">
        <f>VLOOKUP(H213,'клиенты'!$A$1:$F$435,5,FALSE)</f>
        <v>44794</v>
      </c>
      <c r="O213" s="20">
        <f t="shared" si="5"/>
        <v>471</v>
      </c>
      <c r="P213" s="20" t="str">
        <f>VLOOKUP(H213,'клиенты'!$A$2:$J$435,10,FALSE)</f>
        <v>Узбекистан</v>
      </c>
      <c r="Q213" s="54">
        <f t="shared" si="6"/>
        <v>46078.45901</v>
      </c>
      <c r="R213" s="55">
        <f t="shared" si="7"/>
        <v>42.81530039</v>
      </c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41">
        <v>213.0</v>
      </c>
      <c r="B214" s="41">
        <v>322.0</v>
      </c>
      <c r="C214" s="41">
        <v>79.0</v>
      </c>
      <c r="D214" s="41">
        <v>5.0</v>
      </c>
      <c r="E214" s="41">
        <f t="shared" si="1"/>
        <v>395</v>
      </c>
      <c r="F214" s="42">
        <v>45108.0</v>
      </c>
      <c r="G214" s="41" t="s">
        <v>43</v>
      </c>
      <c r="H214" s="41">
        <v>316.0</v>
      </c>
      <c r="I214" s="41" t="str">
        <f>VLOOKUP(B214,'товар'!$A$1:$C$433,2,FALSE)</f>
        <v>Крупа</v>
      </c>
      <c r="J214" s="43">
        <f t="shared" si="2"/>
        <v>255.1162791</v>
      </c>
      <c r="K214" s="44">
        <f t="shared" si="3"/>
        <v>-0.6903372835</v>
      </c>
      <c r="L214" s="41" t="str">
        <f>VLOOKUP(B214,'товар'!$A$1:$C$433,3,FALSE)</f>
        <v>Увелка</v>
      </c>
      <c r="M214" s="45">
        <f t="shared" si="4"/>
        <v>251.9166667</v>
      </c>
      <c r="N214" s="46">
        <f>VLOOKUP(H214,'клиенты'!$A$1:$F$435,5,FALSE)</f>
        <v>44787</v>
      </c>
      <c r="O214" s="41">
        <f t="shared" si="5"/>
        <v>321</v>
      </c>
      <c r="P214" s="41" t="str">
        <f>VLOOKUP(H214,'клиенты'!$A$2:$J$435,10,FALSE)</f>
        <v>Таджикистан</v>
      </c>
      <c r="Q214" s="47">
        <f t="shared" si="6"/>
        <v>46078.45901</v>
      </c>
      <c r="R214" s="48">
        <f t="shared" si="7"/>
        <v>43.04863372</v>
      </c>
      <c r="S214" s="41"/>
      <c r="T214" s="41"/>
      <c r="U214" s="41"/>
      <c r="V214" s="41"/>
      <c r="W214" s="41"/>
      <c r="X214" s="41"/>
      <c r="Y214" s="41"/>
      <c r="Z214" s="41"/>
    </row>
    <row r="215" ht="14.25" customHeight="1">
      <c r="A215" s="20">
        <v>214.0</v>
      </c>
      <c r="B215" s="20">
        <v>494.0</v>
      </c>
      <c r="C215" s="20">
        <v>181.0</v>
      </c>
      <c r="D215" s="20">
        <v>1.0</v>
      </c>
      <c r="E215" s="20">
        <f t="shared" si="1"/>
        <v>181</v>
      </c>
      <c r="F215" s="49">
        <v>45251.0</v>
      </c>
      <c r="G215" s="20" t="s">
        <v>49</v>
      </c>
      <c r="H215" s="20">
        <v>356.0</v>
      </c>
      <c r="I215" s="20" t="str">
        <f>VLOOKUP(B215,'товар'!$A$1:$C$433,2,FALSE)</f>
        <v>Сыр</v>
      </c>
      <c r="J215" s="50">
        <f t="shared" si="2"/>
        <v>262.6349206</v>
      </c>
      <c r="K215" s="51">
        <f t="shared" si="3"/>
        <v>-0.3108304122</v>
      </c>
      <c r="L215" s="20" t="str">
        <f>VLOOKUP(B215,'товар'!$A$1:$C$433,3,FALSE)</f>
        <v>Сырная долина</v>
      </c>
      <c r="M215" s="52">
        <f t="shared" si="4"/>
        <v>271</v>
      </c>
      <c r="N215" s="53">
        <f>VLOOKUP(H215,'клиенты'!$A$1:$F$435,5,FALSE)</f>
        <v>44570</v>
      </c>
      <c r="O215" s="20">
        <f t="shared" si="5"/>
        <v>681</v>
      </c>
      <c r="P215" s="20" t="str">
        <f>VLOOKUP(H215,'клиенты'!$A$2:$J$435,10,FALSE)</f>
        <v>Таджикистан</v>
      </c>
      <c r="Q215" s="54">
        <f t="shared" si="6"/>
        <v>46078.45901</v>
      </c>
      <c r="R215" s="55">
        <f t="shared" si="7"/>
        <v>50.28196706</v>
      </c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41">
        <v>215.0</v>
      </c>
      <c r="B216" s="41">
        <v>317.0</v>
      </c>
      <c r="C216" s="41">
        <v>196.0</v>
      </c>
      <c r="D216" s="41">
        <v>3.0</v>
      </c>
      <c r="E216" s="41">
        <f t="shared" si="1"/>
        <v>588</v>
      </c>
      <c r="F216" s="42">
        <v>45371.0</v>
      </c>
      <c r="G216" s="41" t="s">
        <v>51</v>
      </c>
      <c r="H216" s="41">
        <v>159.0</v>
      </c>
      <c r="I216" s="41" t="str">
        <f>VLOOKUP(B216,'товар'!$A$1:$C$433,2,FALSE)</f>
        <v>Сок</v>
      </c>
      <c r="J216" s="43">
        <f t="shared" si="2"/>
        <v>268.6034483</v>
      </c>
      <c r="K216" s="44">
        <f t="shared" si="3"/>
        <v>-0.2702997625</v>
      </c>
      <c r="L216" s="41" t="str">
        <f>VLOOKUP(B216,'товар'!$A$1:$C$433,3,FALSE)</f>
        <v>Фруктовый сад</v>
      </c>
      <c r="M216" s="45">
        <f t="shared" si="4"/>
        <v>281.96875</v>
      </c>
      <c r="N216" s="46">
        <f>VLOOKUP(H216,'клиенты'!$A$1:$F$435,5,FALSE)</f>
        <v>44686</v>
      </c>
      <c r="O216" s="41">
        <f t="shared" si="5"/>
        <v>685</v>
      </c>
      <c r="P216" s="41" t="str">
        <f>VLOOKUP(H216,'клиенты'!$A$2:$J$435,10,FALSE)</f>
        <v>Узбекистан</v>
      </c>
      <c r="Q216" s="47">
        <f t="shared" si="6"/>
        <v>46078.45901</v>
      </c>
      <c r="R216" s="48">
        <f t="shared" si="7"/>
        <v>46.41530039</v>
      </c>
      <c r="S216" s="41"/>
      <c r="T216" s="41"/>
      <c r="U216" s="41"/>
      <c r="V216" s="41"/>
      <c r="W216" s="41"/>
      <c r="X216" s="41"/>
      <c r="Y216" s="41"/>
      <c r="Z216" s="41"/>
    </row>
    <row r="217" ht="14.25" customHeight="1">
      <c r="A217" s="20">
        <v>216.0</v>
      </c>
      <c r="B217" s="20">
        <v>223.0</v>
      </c>
      <c r="C217" s="20">
        <v>174.0</v>
      </c>
      <c r="D217" s="20">
        <v>1.0</v>
      </c>
      <c r="E217" s="20">
        <f t="shared" si="1"/>
        <v>174</v>
      </c>
      <c r="F217" s="49">
        <v>45022.0</v>
      </c>
      <c r="G217" s="20" t="s">
        <v>37</v>
      </c>
      <c r="H217" s="20">
        <v>287.0</v>
      </c>
      <c r="I217" s="20" t="str">
        <f>VLOOKUP(B217,'товар'!$A$1:$C$433,2,FALSE)</f>
        <v>Чай</v>
      </c>
      <c r="J217" s="50">
        <f t="shared" si="2"/>
        <v>271.1818182</v>
      </c>
      <c r="K217" s="51">
        <f t="shared" si="3"/>
        <v>-0.358364063</v>
      </c>
      <c r="L217" s="20" t="str">
        <f>VLOOKUP(B217,'товар'!$A$1:$C$433,3,FALSE)</f>
        <v>Greenfield</v>
      </c>
      <c r="M217" s="52">
        <f t="shared" si="4"/>
        <v>291.4545455</v>
      </c>
      <c r="N217" s="53">
        <f>VLOOKUP(H217,'клиенты'!$A$1:$F$435,5,FALSE)</f>
        <v>44608</v>
      </c>
      <c r="O217" s="20">
        <f t="shared" si="5"/>
        <v>414</v>
      </c>
      <c r="P217" s="20" t="str">
        <f>VLOOKUP(H217,'клиенты'!$A$2:$J$435,10,FALSE)</f>
        <v>Россия</v>
      </c>
      <c r="Q217" s="54">
        <f t="shared" si="6"/>
        <v>46078.45901</v>
      </c>
      <c r="R217" s="55">
        <f t="shared" si="7"/>
        <v>49.01530039</v>
      </c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41">
        <v>217.0</v>
      </c>
      <c r="B218" s="41">
        <v>25.0</v>
      </c>
      <c r="C218" s="41">
        <v>356.0</v>
      </c>
      <c r="D218" s="41">
        <v>3.0</v>
      </c>
      <c r="E218" s="41">
        <f t="shared" si="1"/>
        <v>1068</v>
      </c>
      <c r="F218" s="42">
        <v>45018.0</v>
      </c>
      <c r="G218" s="41" t="s">
        <v>41</v>
      </c>
      <c r="H218" s="41">
        <v>322.0</v>
      </c>
      <c r="I218" s="41" t="str">
        <f>VLOOKUP(B218,'товар'!$A$1:$C$433,2,FALSE)</f>
        <v>Чипсы</v>
      </c>
      <c r="J218" s="43">
        <f t="shared" si="2"/>
        <v>273.7254902</v>
      </c>
      <c r="K218" s="44">
        <f t="shared" si="3"/>
        <v>0.3005730659</v>
      </c>
      <c r="L218" s="41" t="str">
        <f>VLOOKUP(B218,'товар'!$A$1:$C$433,3,FALSE)</f>
        <v>Русская картошка</v>
      </c>
      <c r="M218" s="45">
        <f t="shared" si="4"/>
        <v>241.8333333</v>
      </c>
      <c r="N218" s="46">
        <f>VLOOKUP(H218,'клиенты'!$A$1:$F$435,5,FALSE)</f>
        <v>44886</v>
      </c>
      <c r="O218" s="41">
        <f t="shared" si="5"/>
        <v>132</v>
      </c>
      <c r="P218" s="41" t="str">
        <f>VLOOKUP(H218,'клиенты'!$A$2:$J$435,10,FALSE)</f>
        <v>Украина</v>
      </c>
      <c r="Q218" s="47">
        <f t="shared" si="6"/>
        <v>46078.45901</v>
      </c>
      <c r="R218" s="48">
        <f t="shared" si="7"/>
        <v>39.74863372</v>
      </c>
      <c r="S218" s="41"/>
      <c r="T218" s="41"/>
      <c r="U218" s="41"/>
      <c r="V218" s="41"/>
      <c r="W218" s="41"/>
      <c r="X218" s="41"/>
      <c r="Y218" s="41"/>
      <c r="Z218" s="41"/>
    </row>
    <row r="219" ht="14.25" customHeight="1">
      <c r="A219" s="20">
        <v>218.0</v>
      </c>
      <c r="B219" s="20">
        <v>392.0</v>
      </c>
      <c r="C219" s="20">
        <v>125.0</v>
      </c>
      <c r="D219" s="20">
        <v>5.0</v>
      </c>
      <c r="E219" s="20">
        <f t="shared" si="1"/>
        <v>625</v>
      </c>
      <c r="F219" s="49">
        <v>45282.0</v>
      </c>
      <c r="G219" s="20" t="s">
        <v>46</v>
      </c>
      <c r="H219" s="20">
        <v>62.0</v>
      </c>
      <c r="I219" s="20" t="str">
        <f>VLOOKUP(B219,'товар'!$A$1:$C$433,2,FALSE)</f>
        <v>Кофе</v>
      </c>
      <c r="J219" s="50">
        <f t="shared" si="2"/>
        <v>249.0238095</v>
      </c>
      <c r="K219" s="51">
        <f t="shared" si="3"/>
        <v>-0.4980399656</v>
      </c>
      <c r="L219" s="20" t="str">
        <f>VLOOKUP(B219,'товар'!$A$1:$C$433,3,FALSE)</f>
        <v>Черная Карта</v>
      </c>
      <c r="M219" s="52">
        <f t="shared" si="4"/>
        <v>222.2</v>
      </c>
      <c r="N219" s="53">
        <f>VLOOKUP(H219,'клиенты'!$A$1:$F$435,5,FALSE)</f>
        <v>44671</v>
      </c>
      <c r="O219" s="20">
        <f t="shared" si="5"/>
        <v>611</v>
      </c>
      <c r="P219" s="20" t="str">
        <f>VLOOKUP(H219,'клиенты'!$A$2:$J$435,10,FALSE)</f>
        <v>Россия</v>
      </c>
      <c r="Q219" s="54">
        <f t="shared" si="6"/>
        <v>46078.45901</v>
      </c>
      <c r="R219" s="55">
        <f t="shared" si="7"/>
        <v>46.91530039</v>
      </c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41">
        <v>219.0</v>
      </c>
      <c r="B220" s="41">
        <v>410.0</v>
      </c>
      <c r="C220" s="41">
        <v>228.0</v>
      </c>
      <c r="D220" s="41">
        <v>2.0</v>
      </c>
      <c r="E220" s="41">
        <f t="shared" si="1"/>
        <v>456</v>
      </c>
      <c r="F220" s="42">
        <v>45224.0</v>
      </c>
      <c r="G220" s="41" t="s">
        <v>50</v>
      </c>
      <c r="H220" s="41">
        <v>295.0</v>
      </c>
      <c r="I220" s="41" t="str">
        <f>VLOOKUP(B220,'товар'!$A$1:$C$433,2,FALSE)</f>
        <v>Чипсы</v>
      </c>
      <c r="J220" s="43">
        <f t="shared" si="2"/>
        <v>273.7254902</v>
      </c>
      <c r="K220" s="44">
        <f t="shared" si="3"/>
        <v>-0.1670487106</v>
      </c>
      <c r="L220" s="41" t="str">
        <f>VLOOKUP(B220,'товар'!$A$1:$C$433,3,FALSE)</f>
        <v>Lay's</v>
      </c>
      <c r="M220" s="45">
        <f t="shared" si="4"/>
        <v>320.5714286</v>
      </c>
      <c r="N220" s="46">
        <f>VLOOKUP(H220,'клиенты'!$A$1:$F$435,5,FALSE)</f>
        <v>44588</v>
      </c>
      <c r="O220" s="41">
        <f t="shared" si="5"/>
        <v>636</v>
      </c>
      <c r="P220" s="41" t="str">
        <f>VLOOKUP(H220,'клиенты'!$A$2:$J$435,10,FALSE)</f>
        <v>Россия</v>
      </c>
      <c r="Q220" s="47">
        <f t="shared" si="6"/>
        <v>46078.45901</v>
      </c>
      <c r="R220" s="48">
        <f t="shared" si="7"/>
        <v>49.68196706</v>
      </c>
      <c r="S220" s="41"/>
      <c r="T220" s="41"/>
      <c r="U220" s="41"/>
      <c r="V220" s="41"/>
      <c r="W220" s="41"/>
      <c r="X220" s="41"/>
      <c r="Y220" s="41"/>
      <c r="Z220" s="41"/>
    </row>
    <row r="221" ht="14.25" customHeight="1">
      <c r="A221" s="20">
        <v>220.0</v>
      </c>
      <c r="B221" s="20">
        <v>498.0</v>
      </c>
      <c r="C221" s="20">
        <v>472.0</v>
      </c>
      <c r="D221" s="20">
        <v>5.0</v>
      </c>
      <c r="E221" s="20">
        <f t="shared" si="1"/>
        <v>2360</v>
      </c>
      <c r="F221" s="49">
        <v>45195.0</v>
      </c>
      <c r="G221" s="20" t="s">
        <v>48</v>
      </c>
      <c r="H221" s="20">
        <v>171.0</v>
      </c>
      <c r="I221" s="20" t="str">
        <f>VLOOKUP(B221,'товар'!$A$1:$C$433,2,FALSE)</f>
        <v>Молоко</v>
      </c>
      <c r="J221" s="50">
        <f t="shared" si="2"/>
        <v>294.952381</v>
      </c>
      <c r="K221" s="51">
        <f t="shared" si="3"/>
        <v>0.6002583145</v>
      </c>
      <c r="L221" s="20" t="str">
        <f>VLOOKUP(B221,'товар'!$A$1:$C$433,3,FALSE)</f>
        <v>Домик в деревне</v>
      </c>
      <c r="M221" s="52">
        <f t="shared" si="4"/>
        <v>274.7777778</v>
      </c>
      <c r="N221" s="53">
        <f>VLOOKUP(H221,'клиенты'!$A$1:$F$435,5,FALSE)</f>
        <v>44710</v>
      </c>
      <c r="O221" s="20">
        <f t="shared" si="5"/>
        <v>485</v>
      </c>
      <c r="P221" s="20" t="str">
        <f>VLOOKUP(H221,'клиенты'!$A$2:$J$435,10,FALSE)</f>
        <v>Россия</v>
      </c>
      <c r="Q221" s="54">
        <f t="shared" si="6"/>
        <v>46078.45901</v>
      </c>
      <c r="R221" s="55">
        <f t="shared" si="7"/>
        <v>45.61530039</v>
      </c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41">
        <v>221.0</v>
      </c>
      <c r="B222" s="41">
        <v>304.0</v>
      </c>
      <c r="C222" s="41">
        <v>163.0</v>
      </c>
      <c r="D222" s="41">
        <v>3.0</v>
      </c>
      <c r="E222" s="41">
        <f t="shared" si="1"/>
        <v>489</v>
      </c>
      <c r="F222" s="42">
        <v>45139.0</v>
      </c>
      <c r="G222" s="41" t="s">
        <v>42</v>
      </c>
      <c r="H222" s="41">
        <v>392.0</v>
      </c>
      <c r="I222" s="41" t="str">
        <f>VLOOKUP(B222,'товар'!$A$1:$C$433,2,FALSE)</f>
        <v>Конфеты</v>
      </c>
      <c r="J222" s="43">
        <f t="shared" si="2"/>
        <v>267.8548387</v>
      </c>
      <c r="K222" s="44">
        <f t="shared" si="3"/>
        <v>-0.3914614319</v>
      </c>
      <c r="L222" s="41" t="str">
        <f>VLOOKUP(B222,'товар'!$A$1:$C$433,3,FALSE)</f>
        <v>Рот Фронт</v>
      </c>
      <c r="M222" s="45">
        <f t="shared" si="4"/>
        <v>288.2380952</v>
      </c>
      <c r="N222" s="46">
        <f>VLOOKUP(H222,'клиенты'!$A$1:$F$435,5,FALSE)</f>
        <v>44919</v>
      </c>
      <c r="O222" s="41">
        <f t="shared" si="5"/>
        <v>220</v>
      </c>
      <c r="P222" s="41" t="str">
        <f>VLOOKUP(H222,'клиенты'!$A$2:$J$435,10,FALSE)</f>
        <v>Россия</v>
      </c>
      <c r="Q222" s="47">
        <f t="shared" si="6"/>
        <v>46078.45901</v>
      </c>
      <c r="R222" s="48">
        <f t="shared" si="7"/>
        <v>38.64863372</v>
      </c>
      <c r="S222" s="41"/>
      <c r="T222" s="41"/>
      <c r="U222" s="41"/>
      <c r="V222" s="41"/>
      <c r="W222" s="41"/>
      <c r="X222" s="41"/>
      <c r="Y222" s="41"/>
      <c r="Z222" s="41"/>
    </row>
    <row r="223" ht="14.25" customHeight="1">
      <c r="A223" s="20">
        <v>222.0</v>
      </c>
      <c r="B223" s="20">
        <v>333.0</v>
      </c>
      <c r="C223" s="20">
        <v>70.0</v>
      </c>
      <c r="D223" s="20">
        <v>1.0</v>
      </c>
      <c r="E223" s="20">
        <f t="shared" si="1"/>
        <v>70</v>
      </c>
      <c r="F223" s="49">
        <v>45076.0</v>
      </c>
      <c r="G223" s="20" t="s">
        <v>51</v>
      </c>
      <c r="H223" s="20">
        <v>229.0</v>
      </c>
      <c r="I223" s="20" t="str">
        <f>VLOOKUP(B223,'товар'!$A$1:$C$433,2,FALSE)</f>
        <v>Рыба</v>
      </c>
      <c r="J223" s="50">
        <f t="shared" si="2"/>
        <v>258.5128205</v>
      </c>
      <c r="K223" s="51">
        <f t="shared" si="3"/>
        <v>-0.7292203928</v>
      </c>
      <c r="L223" s="20" t="str">
        <f>VLOOKUP(B223,'товар'!$A$1:$C$433,3,FALSE)</f>
        <v>Санта Бремор</v>
      </c>
      <c r="M223" s="52">
        <f t="shared" si="4"/>
        <v>216.4</v>
      </c>
      <c r="N223" s="53">
        <f>VLOOKUP(H223,'клиенты'!$A$1:$F$435,5,FALSE)</f>
        <v>44766</v>
      </c>
      <c r="O223" s="20">
        <f t="shared" si="5"/>
        <v>310</v>
      </c>
      <c r="P223" s="20" t="str">
        <f>VLOOKUP(H223,'клиенты'!$A$2:$J$435,10,FALSE)</f>
        <v>Беларусь</v>
      </c>
      <c r="Q223" s="54">
        <f t="shared" si="6"/>
        <v>46078.45901</v>
      </c>
      <c r="R223" s="55">
        <f t="shared" si="7"/>
        <v>43.74863372</v>
      </c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41">
        <v>223.0</v>
      </c>
      <c r="B224" s="41">
        <v>207.0</v>
      </c>
      <c r="C224" s="41">
        <v>208.0</v>
      </c>
      <c r="D224" s="41">
        <v>5.0</v>
      </c>
      <c r="E224" s="41">
        <f t="shared" si="1"/>
        <v>1040</v>
      </c>
      <c r="F224" s="42">
        <v>44960.0</v>
      </c>
      <c r="G224" s="41" t="s">
        <v>45</v>
      </c>
      <c r="H224" s="41">
        <v>253.0</v>
      </c>
      <c r="I224" s="41" t="str">
        <f>VLOOKUP(B224,'товар'!$A$1:$C$433,2,FALSE)</f>
        <v>Сахар</v>
      </c>
      <c r="J224" s="43">
        <f t="shared" si="2"/>
        <v>252.7627119</v>
      </c>
      <c r="K224" s="44">
        <f t="shared" si="3"/>
        <v>-0.1770938108</v>
      </c>
      <c r="L224" s="41" t="str">
        <f>VLOOKUP(B224,'товар'!$A$1:$C$433,3,FALSE)</f>
        <v>Агросахар</v>
      </c>
      <c r="M224" s="45">
        <f t="shared" si="4"/>
        <v>215.8571429</v>
      </c>
      <c r="N224" s="46">
        <f>VLOOKUP(H224,'клиенты'!$A$1:$F$435,5,FALSE)</f>
        <v>44750</v>
      </c>
      <c r="O224" s="41">
        <f t="shared" si="5"/>
        <v>210</v>
      </c>
      <c r="P224" s="41" t="str">
        <f>VLOOKUP(H224,'клиенты'!$A$2:$J$435,10,FALSE)</f>
        <v>Беларусь</v>
      </c>
      <c r="Q224" s="47">
        <f t="shared" si="6"/>
        <v>46078.45901</v>
      </c>
      <c r="R224" s="48">
        <f t="shared" si="7"/>
        <v>44.28196706</v>
      </c>
      <c r="S224" s="41"/>
      <c r="T224" s="41"/>
      <c r="U224" s="41"/>
      <c r="V224" s="41"/>
      <c r="W224" s="41"/>
      <c r="X224" s="41"/>
      <c r="Y224" s="41"/>
      <c r="Z224" s="41"/>
    </row>
    <row r="225" ht="14.25" customHeight="1">
      <c r="A225" s="20">
        <v>224.0</v>
      </c>
      <c r="B225" s="20">
        <v>348.0</v>
      </c>
      <c r="C225" s="20">
        <v>417.0</v>
      </c>
      <c r="D225" s="20">
        <v>4.0</v>
      </c>
      <c r="E225" s="20">
        <f t="shared" si="1"/>
        <v>1668</v>
      </c>
      <c r="F225" s="49">
        <v>45005.0</v>
      </c>
      <c r="G225" s="20" t="s">
        <v>35</v>
      </c>
      <c r="H225" s="20">
        <v>235.0</v>
      </c>
      <c r="I225" s="20" t="str">
        <f>VLOOKUP(B225,'товар'!$A$1:$C$433,2,FALSE)</f>
        <v>Чипсы</v>
      </c>
      <c r="J225" s="50">
        <f t="shared" si="2"/>
        <v>273.7254902</v>
      </c>
      <c r="K225" s="51">
        <f t="shared" si="3"/>
        <v>0.5234240688</v>
      </c>
      <c r="L225" s="20" t="str">
        <f>VLOOKUP(B225,'товар'!$A$1:$C$433,3,FALSE)</f>
        <v>Estrella</v>
      </c>
      <c r="M225" s="52">
        <f t="shared" si="4"/>
        <v>266.2727273</v>
      </c>
      <c r="N225" s="53">
        <f>VLOOKUP(H225,'клиенты'!$A$1:$F$435,5,FALSE)</f>
        <v>44635</v>
      </c>
      <c r="O225" s="20">
        <f t="shared" si="5"/>
        <v>370</v>
      </c>
      <c r="P225" s="20" t="str">
        <f>VLOOKUP(H225,'клиенты'!$A$2:$J$435,10,FALSE)</f>
        <v>Узбекистан</v>
      </c>
      <c r="Q225" s="54">
        <f t="shared" si="6"/>
        <v>46078.45901</v>
      </c>
      <c r="R225" s="55">
        <f t="shared" si="7"/>
        <v>48.11530039</v>
      </c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41">
        <v>225.0</v>
      </c>
      <c r="B226" s="41">
        <v>4.0</v>
      </c>
      <c r="C226" s="41">
        <v>198.0</v>
      </c>
      <c r="D226" s="41">
        <v>5.0</v>
      </c>
      <c r="E226" s="41">
        <f t="shared" si="1"/>
        <v>990</v>
      </c>
      <c r="F226" s="42">
        <v>45351.0</v>
      </c>
      <c r="G226" s="41" t="s">
        <v>45</v>
      </c>
      <c r="H226" s="41">
        <v>156.0</v>
      </c>
      <c r="I226" s="41" t="str">
        <f>VLOOKUP(B226,'товар'!$A$1:$C$433,2,FALSE)</f>
        <v>Рис</v>
      </c>
      <c r="J226" s="43">
        <f t="shared" si="2"/>
        <v>258.375</v>
      </c>
      <c r="K226" s="44">
        <f t="shared" si="3"/>
        <v>-0.2336719884</v>
      </c>
      <c r="L226" s="41" t="str">
        <f>VLOOKUP(B226,'товар'!$A$1:$C$433,3,FALSE)</f>
        <v>Белый Злат</v>
      </c>
      <c r="M226" s="45">
        <f t="shared" si="4"/>
        <v>269.7058824</v>
      </c>
      <c r="N226" s="46">
        <f>VLOOKUP(H226,'клиенты'!$A$1:$F$435,5,FALSE)</f>
        <v>44905</v>
      </c>
      <c r="O226" s="41">
        <f t="shared" si="5"/>
        <v>446</v>
      </c>
      <c r="P226" s="41" t="str">
        <f>VLOOKUP(H226,'клиенты'!$A$2:$J$435,10,FALSE)</f>
        <v>Украина</v>
      </c>
      <c r="Q226" s="47">
        <f t="shared" si="6"/>
        <v>46078.45901</v>
      </c>
      <c r="R226" s="48">
        <f t="shared" si="7"/>
        <v>39.11530039</v>
      </c>
      <c r="S226" s="41"/>
      <c r="T226" s="41"/>
      <c r="U226" s="41"/>
      <c r="V226" s="41"/>
      <c r="W226" s="41"/>
      <c r="X226" s="41"/>
      <c r="Y226" s="41"/>
      <c r="Z226" s="41"/>
    </row>
    <row r="227" ht="14.25" customHeight="1">
      <c r="A227" s="20">
        <v>226.0</v>
      </c>
      <c r="B227" s="20">
        <v>317.0</v>
      </c>
      <c r="C227" s="20">
        <v>196.0</v>
      </c>
      <c r="D227" s="20">
        <v>2.0</v>
      </c>
      <c r="E227" s="20">
        <f t="shared" si="1"/>
        <v>392</v>
      </c>
      <c r="F227" s="49">
        <v>45430.0</v>
      </c>
      <c r="G227" s="20" t="s">
        <v>50</v>
      </c>
      <c r="H227" s="20">
        <v>327.0</v>
      </c>
      <c r="I227" s="20" t="str">
        <f>VLOOKUP(B227,'товар'!$A$1:$C$433,2,FALSE)</f>
        <v>Сок</v>
      </c>
      <c r="J227" s="50">
        <f t="shared" si="2"/>
        <v>268.6034483</v>
      </c>
      <c r="K227" s="51">
        <f t="shared" si="3"/>
        <v>-0.2702997625</v>
      </c>
      <c r="L227" s="20" t="str">
        <f>VLOOKUP(B227,'товар'!$A$1:$C$433,3,FALSE)</f>
        <v>Фруктовый сад</v>
      </c>
      <c r="M227" s="52">
        <f t="shared" si="4"/>
        <v>281.96875</v>
      </c>
      <c r="N227" s="53">
        <f>VLOOKUP(H227,'клиенты'!$A$1:$F$435,5,FALSE)</f>
        <v>44565</v>
      </c>
      <c r="O227" s="20">
        <f t="shared" si="5"/>
        <v>865</v>
      </c>
      <c r="P227" s="20" t="str">
        <f>VLOOKUP(H227,'клиенты'!$A$2:$J$435,10,FALSE)</f>
        <v>Таджикистан</v>
      </c>
      <c r="Q227" s="54">
        <f t="shared" si="6"/>
        <v>46078.45901</v>
      </c>
      <c r="R227" s="55">
        <f t="shared" si="7"/>
        <v>50.44863372</v>
      </c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41">
        <v>227.0</v>
      </c>
      <c r="B228" s="41">
        <v>131.0</v>
      </c>
      <c r="C228" s="41">
        <v>376.0</v>
      </c>
      <c r="D228" s="41">
        <v>1.0</v>
      </c>
      <c r="E228" s="41">
        <f t="shared" si="1"/>
        <v>376</v>
      </c>
      <c r="F228" s="42">
        <v>45427.0</v>
      </c>
      <c r="G228" s="41" t="s">
        <v>48</v>
      </c>
      <c r="H228" s="41">
        <v>275.0</v>
      </c>
      <c r="I228" s="41" t="str">
        <f>VLOOKUP(B228,'товар'!$A$1:$C$433,2,FALSE)</f>
        <v>Сок</v>
      </c>
      <c r="J228" s="43">
        <f t="shared" si="2"/>
        <v>268.6034483</v>
      </c>
      <c r="K228" s="44">
        <f t="shared" si="3"/>
        <v>0.3998331087</v>
      </c>
      <c r="L228" s="41" t="str">
        <f>VLOOKUP(B228,'товар'!$A$1:$C$433,3,FALSE)</f>
        <v>Сады Придонья</v>
      </c>
      <c r="M228" s="45">
        <f t="shared" si="4"/>
        <v>254.1818182</v>
      </c>
      <c r="N228" s="46">
        <f>VLOOKUP(H228,'клиенты'!$A$1:$F$435,5,FALSE)</f>
        <v>44651</v>
      </c>
      <c r="O228" s="41">
        <f t="shared" si="5"/>
        <v>776</v>
      </c>
      <c r="P228" s="41" t="str">
        <f>VLOOKUP(H228,'клиенты'!$A$2:$J$435,10,FALSE)</f>
        <v>Таджикистан</v>
      </c>
      <c r="Q228" s="47">
        <f t="shared" si="6"/>
        <v>46078.45901</v>
      </c>
      <c r="R228" s="48">
        <f t="shared" si="7"/>
        <v>47.58196706</v>
      </c>
      <c r="S228" s="41"/>
      <c r="T228" s="41"/>
      <c r="U228" s="41"/>
      <c r="V228" s="41"/>
      <c r="W228" s="41"/>
      <c r="X228" s="41"/>
      <c r="Y228" s="41"/>
      <c r="Z228" s="41"/>
    </row>
    <row r="229" ht="14.25" customHeight="1">
      <c r="A229" s="20">
        <v>228.0</v>
      </c>
      <c r="B229" s="20">
        <v>96.0</v>
      </c>
      <c r="C229" s="20">
        <v>362.0</v>
      </c>
      <c r="D229" s="20">
        <v>4.0</v>
      </c>
      <c r="E229" s="20">
        <f t="shared" si="1"/>
        <v>1448</v>
      </c>
      <c r="F229" s="49">
        <v>45398.0</v>
      </c>
      <c r="G229" s="20" t="s">
        <v>46</v>
      </c>
      <c r="H229" s="20">
        <v>330.0</v>
      </c>
      <c r="I229" s="20" t="str">
        <f>VLOOKUP(B229,'товар'!$A$1:$C$433,2,FALSE)</f>
        <v>Соль</v>
      </c>
      <c r="J229" s="50">
        <f t="shared" si="2"/>
        <v>264.8679245</v>
      </c>
      <c r="K229" s="51">
        <f t="shared" si="3"/>
        <v>0.3667189058</v>
      </c>
      <c r="L229" s="20" t="str">
        <f>VLOOKUP(B229,'товар'!$A$1:$C$433,3,FALSE)</f>
        <v>Салта</v>
      </c>
      <c r="M229" s="52">
        <f t="shared" si="4"/>
        <v>273.7</v>
      </c>
      <c r="N229" s="53">
        <f>VLOOKUP(H229,'клиенты'!$A$1:$F$435,5,FALSE)</f>
        <v>44815</v>
      </c>
      <c r="O229" s="20">
        <f t="shared" si="5"/>
        <v>583</v>
      </c>
      <c r="P229" s="20" t="str">
        <f>VLOOKUP(H229,'клиенты'!$A$2:$J$435,10,FALSE)</f>
        <v>Узбекистан</v>
      </c>
      <c r="Q229" s="54">
        <f t="shared" si="6"/>
        <v>46078.45901</v>
      </c>
      <c r="R229" s="55">
        <f t="shared" si="7"/>
        <v>42.11530039</v>
      </c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41">
        <v>229.0</v>
      </c>
      <c r="B230" s="41">
        <v>311.0</v>
      </c>
      <c r="C230" s="41">
        <v>345.0</v>
      </c>
      <c r="D230" s="41">
        <v>5.0</v>
      </c>
      <c r="E230" s="41">
        <f t="shared" si="1"/>
        <v>1725</v>
      </c>
      <c r="F230" s="42">
        <v>45421.0</v>
      </c>
      <c r="G230" s="41" t="s">
        <v>44</v>
      </c>
      <c r="H230" s="41">
        <v>177.0</v>
      </c>
      <c r="I230" s="41" t="str">
        <f>VLOOKUP(B230,'товар'!$A$1:$C$433,2,FALSE)</f>
        <v>Макароны</v>
      </c>
      <c r="J230" s="43">
        <f t="shared" si="2"/>
        <v>265.4767442</v>
      </c>
      <c r="K230" s="44">
        <f t="shared" si="3"/>
        <v>0.299548859</v>
      </c>
      <c r="L230" s="41" t="str">
        <f>VLOOKUP(B230,'товар'!$A$1:$C$433,3,FALSE)</f>
        <v>Паста Зара</v>
      </c>
      <c r="M230" s="45">
        <f t="shared" si="4"/>
        <v>276.6756757</v>
      </c>
      <c r="N230" s="46">
        <f>VLOOKUP(H230,'клиенты'!$A$1:$F$435,5,FALSE)</f>
        <v>44857</v>
      </c>
      <c r="O230" s="41">
        <f t="shared" si="5"/>
        <v>564</v>
      </c>
      <c r="P230" s="41" t="str">
        <f>VLOOKUP(H230,'клиенты'!$A$2:$J$435,10,FALSE)</f>
        <v>Таджикистан</v>
      </c>
      <c r="Q230" s="47">
        <f t="shared" si="6"/>
        <v>46078.45901</v>
      </c>
      <c r="R230" s="48">
        <f t="shared" si="7"/>
        <v>40.71530039</v>
      </c>
      <c r="S230" s="41"/>
      <c r="T230" s="41"/>
      <c r="U230" s="41"/>
      <c r="V230" s="41"/>
      <c r="W230" s="41"/>
      <c r="X230" s="41"/>
      <c r="Y230" s="41"/>
      <c r="Z230" s="41"/>
    </row>
    <row r="231" ht="14.25" customHeight="1">
      <c r="A231" s="20">
        <v>230.0</v>
      </c>
      <c r="B231" s="20">
        <v>268.0</v>
      </c>
      <c r="C231" s="20">
        <v>81.0</v>
      </c>
      <c r="D231" s="20">
        <v>3.0</v>
      </c>
      <c r="E231" s="20">
        <f t="shared" si="1"/>
        <v>243</v>
      </c>
      <c r="F231" s="49">
        <v>45106.0</v>
      </c>
      <c r="G231" s="20" t="s">
        <v>36</v>
      </c>
      <c r="H231" s="20">
        <v>407.0</v>
      </c>
      <c r="I231" s="20" t="str">
        <f>VLOOKUP(B231,'товар'!$A$1:$C$433,2,FALSE)</f>
        <v>Рис</v>
      </c>
      <c r="J231" s="50">
        <f t="shared" si="2"/>
        <v>258.375</v>
      </c>
      <c r="K231" s="51">
        <f t="shared" si="3"/>
        <v>-0.6865021771</v>
      </c>
      <c r="L231" s="20" t="str">
        <f>VLOOKUP(B231,'товар'!$A$1:$C$433,3,FALSE)</f>
        <v>Мистраль</v>
      </c>
      <c r="M231" s="52">
        <f t="shared" si="4"/>
        <v>181.5714286</v>
      </c>
      <c r="N231" s="53">
        <f>VLOOKUP(H231,'клиенты'!$A$1:$F$435,5,FALSE)</f>
        <v>44621</v>
      </c>
      <c r="O231" s="20">
        <f t="shared" si="5"/>
        <v>485</v>
      </c>
      <c r="P231" s="20" t="str">
        <f>VLOOKUP(H231,'клиенты'!$A$2:$J$435,10,FALSE)</f>
        <v>Беларусь</v>
      </c>
      <c r="Q231" s="54">
        <f t="shared" si="6"/>
        <v>46078.45901</v>
      </c>
      <c r="R231" s="55">
        <f t="shared" si="7"/>
        <v>48.58196706</v>
      </c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41">
        <v>231.0</v>
      </c>
      <c r="B232" s="41">
        <v>495.0</v>
      </c>
      <c r="C232" s="41">
        <v>97.0</v>
      </c>
      <c r="D232" s="41">
        <v>4.0</v>
      </c>
      <c r="E232" s="41">
        <f t="shared" si="1"/>
        <v>388</v>
      </c>
      <c r="F232" s="42">
        <v>45409.0</v>
      </c>
      <c r="G232" s="41" t="s">
        <v>53</v>
      </c>
      <c r="H232" s="41">
        <v>181.0</v>
      </c>
      <c r="I232" s="41" t="str">
        <f>VLOOKUP(B232,'товар'!$A$1:$C$433,2,FALSE)</f>
        <v>Чай</v>
      </c>
      <c r="J232" s="43">
        <f t="shared" si="2"/>
        <v>271.1818182</v>
      </c>
      <c r="K232" s="44">
        <f t="shared" si="3"/>
        <v>-0.642306403</v>
      </c>
      <c r="L232" s="41" t="str">
        <f>VLOOKUP(B232,'товар'!$A$1:$C$433,3,FALSE)</f>
        <v>Greenfield</v>
      </c>
      <c r="M232" s="45">
        <f t="shared" si="4"/>
        <v>291.4545455</v>
      </c>
      <c r="N232" s="46">
        <f>VLOOKUP(H232,'клиенты'!$A$1:$F$435,5,FALSE)</f>
        <v>44568</v>
      </c>
      <c r="O232" s="41">
        <f t="shared" si="5"/>
        <v>841</v>
      </c>
      <c r="P232" s="41" t="str">
        <f>VLOOKUP(H232,'клиенты'!$A$2:$J$435,10,FALSE)</f>
        <v>Украина</v>
      </c>
      <c r="Q232" s="47">
        <f t="shared" si="6"/>
        <v>46078.45901</v>
      </c>
      <c r="R232" s="48">
        <f t="shared" si="7"/>
        <v>50.34863372</v>
      </c>
      <c r="S232" s="41"/>
      <c r="T232" s="41"/>
      <c r="U232" s="41"/>
      <c r="V232" s="41"/>
      <c r="W232" s="41"/>
      <c r="X232" s="41"/>
      <c r="Y232" s="41"/>
      <c r="Z232" s="41"/>
    </row>
    <row r="233" ht="14.25" customHeight="1">
      <c r="A233" s="20">
        <v>232.0</v>
      </c>
      <c r="B233" s="20">
        <v>436.0</v>
      </c>
      <c r="C233" s="20">
        <v>184.0</v>
      </c>
      <c r="D233" s="20">
        <v>4.0</v>
      </c>
      <c r="E233" s="20">
        <f t="shared" si="1"/>
        <v>736</v>
      </c>
      <c r="F233" s="49">
        <v>45147.0</v>
      </c>
      <c r="G233" s="20" t="s">
        <v>37</v>
      </c>
      <c r="H233" s="20">
        <v>166.0</v>
      </c>
      <c r="I233" s="20" t="str">
        <f>VLOOKUP(B233,'товар'!$A$1:$C$433,2,FALSE)</f>
        <v>Овощи</v>
      </c>
      <c r="J233" s="50">
        <f t="shared" si="2"/>
        <v>250.4878049</v>
      </c>
      <c r="K233" s="51">
        <f t="shared" si="3"/>
        <v>-0.2654333009</v>
      </c>
      <c r="L233" s="20" t="str">
        <f>VLOOKUP(B233,'товар'!$A$1:$C$433,3,FALSE)</f>
        <v>Гавриш</v>
      </c>
      <c r="M233" s="52">
        <f t="shared" si="4"/>
        <v>247.6666667</v>
      </c>
      <c r="N233" s="53">
        <f>VLOOKUP(H233,'клиенты'!$A$1:$F$435,5,FALSE)</f>
        <v>44796</v>
      </c>
      <c r="O233" s="20">
        <f t="shared" si="5"/>
        <v>351</v>
      </c>
      <c r="P233" s="20" t="str">
        <f>VLOOKUP(H233,'клиенты'!$A$2:$J$435,10,FALSE)</f>
        <v>Узбекистан</v>
      </c>
      <c r="Q233" s="54">
        <f t="shared" si="6"/>
        <v>46078.45901</v>
      </c>
      <c r="R233" s="55">
        <f t="shared" si="7"/>
        <v>42.74863372</v>
      </c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41">
        <v>233.0</v>
      </c>
      <c r="B234" s="41">
        <v>358.0</v>
      </c>
      <c r="C234" s="41">
        <v>172.0</v>
      </c>
      <c r="D234" s="41">
        <v>1.0</v>
      </c>
      <c r="E234" s="41">
        <f t="shared" si="1"/>
        <v>172</v>
      </c>
      <c r="F234" s="42">
        <v>45379.0</v>
      </c>
      <c r="G234" s="41" t="s">
        <v>44</v>
      </c>
      <c r="H234" s="41">
        <v>478.0</v>
      </c>
      <c r="I234" s="41" t="str">
        <f>VLOOKUP(B234,'товар'!$A$1:$C$433,2,FALSE)</f>
        <v>Конфеты</v>
      </c>
      <c r="J234" s="43">
        <f t="shared" si="2"/>
        <v>267.8548387</v>
      </c>
      <c r="K234" s="44">
        <f t="shared" si="3"/>
        <v>-0.3578611429</v>
      </c>
      <c r="L234" s="41" t="str">
        <f>VLOOKUP(B234,'товар'!$A$1:$C$433,3,FALSE)</f>
        <v>Славянка</v>
      </c>
      <c r="M234" s="45">
        <f t="shared" si="4"/>
        <v>268</v>
      </c>
      <c r="N234" s="46">
        <f>VLOOKUP(H234,'клиенты'!$A$1:$F$435,5,FALSE)</f>
        <v>44726</v>
      </c>
      <c r="O234" s="41">
        <f t="shared" si="5"/>
        <v>653</v>
      </c>
      <c r="P234" s="41" t="str">
        <f>VLOOKUP(H234,'клиенты'!$A$2:$J$435,10,FALSE)</f>
        <v>Украина</v>
      </c>
      <c r="Q234" s="47">
        <f t="shared" si="6"/>
        <v>46078.45901</v>
      </c>
      <c r="R234" s="48">
        <f t="shared" si="7"/>
        <v>45.08196706</v>
      </c>
      <c r="S234" s="41"/>
      <c r="T234" s="41"/>
      <c r="U234" s="41"/>
      <c r="V234" s="41"/>
      <c r="W234" s="41"/>
      <c r="X234" s="41"/>
      <c r="Y234" s="41"/>
      <c r="Z234" s="41"/>
    </row>
    <row r="235" ht="14.25" customHeight="1">
      <c r="A235" s="20">
        <v>234.0</v>
      </c>
      <c r="B235" s="20">
        <v>160.0</v>
      </c>
      <c r="C235" s="20">
        <v>288.0</v>
      </c>
      <c r="D235" s="20">
        <v>2.0</v>
      </c>
      <c r="E235" s="20">
        <f t="shared" si="1"/>
        <v>576</v>
      </c>
      <c r="F235" s="49">
        <v>44996.0</v>
      </c>
      <c r="G235" s="20" t="s">
        <v>35</v>
      </c>
      <c r="H235" s="20">
        <v>429.0</v>
      </c>
      <c r="I235" s="20" t="str">
        <f>VLOOKUP(B235,'товар'!$A$1:$C$433,2,FALSE)</f>
        <v>Крупа</v>
      </c>
      <c r="J235" s="50">
        <f t="shared" si="2"/>
        <v>255.1162791</v>
      </c>
      <c r="K235" s="51">
        <f t="shared" si="3"/>
        <v>0.1288969918</v>
      </c>
      <c r="L235" s="20" t="str">
        <f>VLOOKUP(B235,'товар'!$A$1:$C$433,3,FALSE)</f>
        <v>Мистраль</v>
      </c>
      <c r="M235" s="52">
        <f t="shared" si="4"/>
        <v>250.3076923</v>
      </c>
      <c r="N235" s="53">
        <f>VLOOKUP(H235,'клиенты'!$A$1:$F$435,5,FALSE)</f>
        <v>44625</v>
      </c>
      <c r="O235" s="20">
        <f t="shared" si="5"/>
        <v>371</v>
      </c>
      <c r="P235" s="20" t="str">
        <f>VLOOKUP(H235,'клиенты'!$A$2:$J$435,10,FALSE)</f>
        <v>Таджикистан</v>
      </c>
      <c r="Q235" s="54">
        <f t="shared" si="6"/>
        <v>46078.45901</v>
      </c>
      <c r="R235" s="55">
        <f t="shared" si="7"/>
        <v>48.44863372</v>
      </c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41">
        <v>235.0</v>
      </c>
      <c r="B236" s="41">
        <v>23.0</v>
      </c>
      <c r="C236" s="41">
        <v>174.0</v>
      </c>
      <c r="D236" s="41">
        <v>3.0</v>
      </c>
      <c r="E236" s="41">
        <f t="shared" si="1"/>
        <v>522</v>
      </c>
      <c r="F236" s="42">
        <v>45396.0</v>
      </c>
      <c r="G236" s="41" t="s">
        <v>54</v>
      </c>
      <c r="H236" s="41">
        <v>181.0</v>
      </c>
      <c r="I236" s="41" t="str">
        <f>VLOOKUP(B236,'товар'!$A$1:$C$433,2,FALSE)</f>
        <v>Рыба</v>
      </c>
      <c r="J236" s="43">
        <f t="shared" si="2"/>
        <v>258.5128205</v>
      </c>
      <c r="K236" s="44">
        <f t="shared" si="3"/>
        <v>-0.3269192621</v>
      </c>
      <c r="L236" s="41" t="str">
        <f>VLOOKUP(B236,'товар'!$A$1:$C$433,3,FALSE)</f>
        <v>Санта Бремор</v>
      </c>
      <c r="M236" s="45">
        <f t="shared" si="4"/>
        <v>216.4</v>
      </c>
      <c r="N236" s="46">
        <f>VLOOKUP(H236,'клиенты'!$A$1:$F$435,5,FALSE)</f>
        <v>44568</v>
      </c>
      <c r="O236" s="41">
        <f t="shared" si="5"/>
        <v>828</v>
      </c>
      <c r="P236" s="41" t="str">
        <f>VLOOKUP(H236,'клиенты'!$A$2:$J$435,10,FALSE)</f>
        <v>Украина</v>
      </c>
      <c r="Q236" s="47">
        <f t="shared" si="6"/>
        <v>46078.45901</v>
      </c>
      <c r="R236" s="48">
        <f t="shared" si="7"/>
        <v>50.34863372</v>
      </c>
      <c r="S236" s="41"/>
      <c r="T236" s="41"/>
      <c r="U236" s="41"/>
      <c r="V236" s="41"/>
      <c r="W236" s="41"/>
      <c r="X236" s="41"/>
      <c r="Y236" s="41"/>
      <c r="Z236" s="41"/>
    </row>
    <row r="237" ht="14.25" customHeight="1">
      <c r="A237" s="20">
        <v>236.0</v>
      </c>
      <c r="B237" s="20">
        <v>49.0</v>
      </c>
      <c r="C237" s="20">
        <v>292.0</v>
      </c>
      <c r="D237" s="20">
        <v>3.0</v>
      </c>
      <c r="E237" s="20">
        <f t="shared" si="1"/>
        <v>876</v>
      </c>
      <c r="F237" s="49">
        <v>45059.0</v>
      </c>
      <c r="G237" s="20" t="s">
        <v>46</v>
      </c>
      <c r="H237" s="20">
        <v>431.0</v>
      </c>
      <c r="I237" s="20" t="str">
        <f>VLOOKUP(B237,'товар'!$A$1:$C$433,2,FALSE)</f>
        <v>Рис</v>
      </c>
      <c r="J237" s="50">
        <f t="shared" si="2"/>
        <v>258.375</v>
      </c>
      <c r="K237" s="51">
        <f t="shared" si="3"/>
        <v>0.1301403</v>
      </c>
      <c r="L237" s="20" t="str">
        <f>VLOOKUP(B237,'товар'!$A$1:$C$433,3,FALSE)</f>
        <v>Агро-Альянс</v>
      </c>
      <c r="M237" s="52">
        <f t="shared" si="4"/>
        <v>317.8571429</v>
      </c>
      <c r="N237" s="53">
        <f>VLOOKUP(H237,'клиенты'!$A$1:$F$435,5,FALSE)</f>
        <v>44623</v>
      </c>
      <c r="O237" s="20">
        <f t="shared" si="5"/>
        <v>436</v>
      </c>
      <c r="P237" s="20" t="str">
        <f>VLOOKUP(H237,'клиенты'!$A$2:$J$435,10,FALSE)</f>
        <v>Россия</v>
      </c>
      <c r="Q237" s="54">
        <f t="shared" si="6"/>
        <v>46078.45901</v>
      </c>
      <c r="R237" s="55">
        <f t="shared" si="7"/>
        <v>48.51530039</v>
      </c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41">
        <v>237.0</v>
      </c>
      <c r="B238" s="41">
        <v>485.0</v>
      </c>
      <c r="C238" s="41">
        <v>243.0</v>
      </c>
      <c r="D238" s="41">
        <v>3.0</v>
      </c>
      <c r="E238" s="41">
        <f t="shared" si="1"/>
        <v>729</v>
      </c>
      <c r="F238" s="42">
        <v>44987.0</v>
      </c>
      <c r="G238" s="41" t="s">
        <v>54</v>
      </c>
      <c r="H238" s="41">
        <v>34.0</v>
      </c>
      <c r="I238" s="41" t="str">
        <f>VLOOKUP(B238,'товар'!$A$1:$C$433,2,FALSE)</f>
        <v>Макароны</v>
      </c>
      <c r="J238" s="43">
        <f t="shared" si="2"/>
        <v>265.4767442</v>
      </c>
      <c r="K238" s="44">
        <f t="shared" si="3"/>
        <v>-0.08466558626</v>
      </c>
      <c r="L238" s="41" t="str">
        <f>VLOOKUP(B238,'товар'!$A$1:$C$433,3,FALSE)</f>
        <v>Борилла</v>
      </c>
      <c r="M238" s="45">
        <f t="shared" si="4"/>
        <v>236.2758621</v>
      </c>
      <c r="N238" s="46">
        <f>VLOOKUP(H238,'клиенты'!$A$1:$F$435,5,FALSE)</f>
        <v>44654</v>
      </c>
      <c r="O238" s="41">
        <f t="shared" si="5"/>
        <v>333</v>
      </c>
      <c r="P238" s="41" t="str">
        <f>VLOOKUP(H238,'клиенты'!$A$2:$J$435,10,FALSE)</f>
        <v>Таджикистан</v>
      </c>
      <c r="Q238" s="47">
        <f t="shared" si="6"/>
        <v>46078.45901</v>
      </c>
      <c r="R238" s="48">
        <f t="shared" si="7"/>
        <v>47.48196706</v>
      </c>
      <c r="S238" s="41"/>
      <c r="T238" s="41"/>
      <c r="U238" s="41"/>
      <c r="V238" s="41"/>
      <c r="W238" s="41"/>
      <c r="X238" s="41"/>
      <c r="Y238" s="41"/>
      <c r="Z238" s="41"/>
    </row>
    <row r="239" ht="14.25" customHeight="1">
      <c r="A239" s="20">
        <v>238.0</v>
      </c>
      <c r="B239" s="20">
        <v>131.0</v>
      </c>
      <c r="C239" s="20">
        <v>382.0</v>
      </c>
      <c r="D239" s="20">
        <v>5.0</v>
      </c>
      <c r="E239" s="20">
        <f t="shared" si="1"/>
        <v>1910</v>
      </c>
      <c r="F239" s="49">
        <v>45365.0</v>
      </c>
      <c r="G239" s="20" t="s">
        <v>43</v>
      </c>
      <c r="H239" s="20">
        <v>147.0</v>
      </c>
      <c r="I239" s="20" t="str">
        <f>VLOOKUP(B239,'товар'!$A$1:$C$433,2,FALSE)</f>
        <v>Сок</v>
      </c>
      <c r="J239" s="50">
        <f t="shared" si="2"/>
        <v>268.6034483</v>
      </c>
      <c r="K239" s="51">
        <f t="shared" si="3"/>
        <v>0.422170871</v>
      </c>
      <c r="L239" s="20" t="str">
        <f>VLOOKUP(B239,'товар'!$A$1:$C$433,3,FALSE)</f>
        <v>Сады Придонья</v>
      </c>
      <c r="M239" s="52">
        <f t="shared" si="4"/>
        <v>254.1818182</v>
      </c>
      <c r="N239" s="53">
        <f>VLOOKUP(H239,'клиенты'!$A$1:$F$435,5,FALSE)</f>
        <v>44827</v>
      </c>
      <c r="O239" s="20">
        <f t="shared" si="5"/>
        <v>538</v>
      </c>
      <c r="P239" s="20" t="str">
        <f>VLOOKUP(H239,'клиенты'!$A$2:$J$435,10,FALSE)</f>
        <v>Россия</v>
      </c>
      <c r="Q239" s="54">
        <f t="shared" si="6"/>
        <v>46078.45901</v>
      </c>
      <c r="R239" s="55">
        <f t="shared" si="7"/>
        <v>41.71530039</v>
      </c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41">
        <v>239.0</v>
      </c>
      <c r="B240" s="41">
        <v>270.0</v>
      </c>
      <c r="C240" s="41">
        <v>308.0</v>
      </c>
      <c r="D240" s="41">
        <v>1.0</v>
      </c>
      <c r="E240" s="41">
        <f t="shared" si="1"/>
        <v>308</v>
      </c>
      <c r="F240" s="42">
        <v>45322.0</v>
      </c>
      <c r="G240" s="41" t="s">
        <v>46</v>
      </c>
      <c r="H240" s="41">
        <v>496.0</v>
      </c>
      <c r="I240" s="41" t="str">
        <f>VLOOKUP(B240,'товар'!$A$1:$C$433,2,FALSE)</f>
        <v>Соль</v>
      </c>
      <c r="J240" s="43">
        <f t="shared" si="2"/>
        <v>264.8679245</v>
      </c>
      <c r="K240" s="44">
        <f t="shared" si="3"/>
        <v>0.1628437099</v>
      </c>
      <c r="L240" s="41" t="str">
        <f>VLOOKUP(B240,'товар'!$A$1:$C$433,3,FALSE)</f>
        <v>Славянская</v>
      </c>
      <c r="M240" s="45">
        <f t="shared" si="4"/>
        <v>236.9166667</v>
      </c>
      <c r="N240" s="46">
        <f>VLOOKUP(H240,'клиенты'!$A$1:$F$435,5,FALSE)</f>
        <v>44867</v>
      </c>
      <c r="O240" s="41">
        <f t="shared" si="5"/>
        <v>455</v>
      </c>
      <c r="P240" s="41" t="str">
        <f>VLOOKUP(H240,'клиенты'!$A$2:$J$435,10,FALSE)</f>
        <v>Украина</v>
      </c>
      <c r="Q240" s="47">
        <f t="shared" si="6"/>
        <v>46078.45901</v>
      </c>
      <c r="R240" s="48">
        <f t="shared" si="7"/>
        <v>40.38196706</v>
      </c>
      <c r="S240" s="41"/>
      <c r="T240" s="41"/>
      <c r="U240" s="41"/>
      <c r="V240" s="41"/>
      <c r="W240" s="41"/>
      <c r="X240" s="41"/>
      <c r="Y240" s="41"/>
      <c r="Z240" s="41"/>
    </row>
    <row r="241" ht="14.25" customHeight="1">
      <c r="A241" s="20">
        <v>240.0</v>
      </c>
      <c r="B241" s="20">
        <v>345.0</v>
      </c>
      <c r="C241" s="20">
        <v>357.0</v>
      </c>
      <c r="D241" s="20">
        <v>4.0</v>
      </c>
      <c r="E241" s="20">
        <f t="shared" si="1"/>
        <v>1428</v>
      </c>
      <c r="F241" s="49">
        <v>45057.0</v>
      </c>
      <c r="G241" s="20" t="s">
        <v>50</v>
      </c>
      <c r="H241" s="20">
        <v>202.0</v>
      </c>
      <c r="I241" s="20" t="str">
        <f>VLOOKUP(B241,'товар'!$A$1:$C$433,2,FALSE)</f>
        <v>Конфеты</v>
      </c>
      <c r="J241" s="50">
        <f t="shared" si="2"/>
        <v>267.8548387</v>
      </c>
      <c r="K241" s="51">
        <f t="shared" si="3"/>
        <v>0.332811465</v>
      </c>
      <c r="L241" s="20" t="str">
        <f>VLOOKUP(B241,'товар'!$A$1:$C$433,3,FALSE)</f>
        <v>Рот Фронт</v>
      </c>
      <c r="M241" s="52">
        <f t="shared" si="4"/>
        <v>288.2380952</v>
      </c>
      <c r="N241" s="53">
        <f>VLOOKUP(H241,'клиенты'!$A$1:$F$435,5,FALSE)</f>
        <v>44766</v>
      </c>
      <c r="O241" s="20">
        <f t="shared" si="5"/>
        <v>291</v>
      </c>
      <c r="P241" s="20" t="str">
        <f>VLOOKUP(H241,'клиенты'!$A$2:$J$435,10,FALSE)</f>
        <v>Беларусь</v>
      </c>
      <c r="Q241" s="54">
        <f t="shared" si="6"/>
        <v>46078.45901</v>
      </c>
      <c r="R241" s="55">
        <f t="shared" si="7"/>
        <v>43.74863372</v>
      </c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41">
        <v>241.0</v>
      </c>
      <c r="B242" s="41">
        <v>40.0</v>
      </c>
      <c r="C242" s="41">
        <v>82.0</v>
      </c>
      <c r="D242" s="41">
        <v>1.0</v>
      </c>
      <c r="E242" s="41">
        <f t="shared" si="1"/>
        <v>82</v>
      </c>
      <c r="F242" s="42">
        <v>45011.0</v>
      </c>
      <c r="G242" s="41" t="s">
        <v>53</v>
      </c>
      <c r="H242" s="41">
        <v>312.0</v>
      </c>
      <c r="I242" s="41" t="str">
        <f>VLOOKUP(B242,'товар'!$A$1:$C$433,2,FALSE)</f>
        <v>Колбаса</v>
      </c>
      <c r="J242" s="43">
        <f t="shared" si="2"/>
        <v>286.9230769</v>
      </c>
      <c r="K242" s="44">
        <f t="shared" si="3"/>
        <v>-0.7142091153</v>
      </c>
      <c r="L242" s="41" t="str">
        <f>VLOOKUP(B242,'товар'!$A$1:$C$433,3,FALSE)</f>
        <v>Микоян</v>
      </c>
      <c r="M242" s="45">
        <f t="shared" si="4"/>
        <v>82</v>
      </c>
      <c r="N242" s="46">
        <f>VLOOKUP(H242,'клиенты'!$A$1:$F$435,5,FALSE)</f>
        <v>44886</v>
      </c>
      <c r="O242" s="41">
        <f t="shared" si="5"/>
        <v>125</v>
      </c>
      <c r="P242" s="41" t="str">
        <f>VLOOKUP(H242,'клиенты'!$A$2:$J$435,10,FALSE)</f>
        <v>Россия</v>
      </c>
      <c r="Q242" s="47">
        <f t="shared" si="6"/>
        <v>46078.45901</v>
      </c>
      <c r="R242" s="48">
        <f t="shared" si="7"/>
        <v>39.74863372</v>
      </c>
      <c r="S242" s="41"/>
      <c r="T242" s="41"/>
      <c r="U242" s="41"/>
      <c r="V242" s="41"/>
      <c r="W242" s="41"/>
      <c r="X242" s="41"/>
      <c r="Y242" s="41"/>
      <c r="Z242" s="41"/>
    </row>
    <row r="243" ht="14.25" customHeight="1">
      <c r="A243" s="20">
        <v>242.0</v>
      </c>
      <c r="B243" s="20">
        <v>275.0</v>
      </c>
      <c r="C243" s="20">
        <v>219.0</v>
      </c>
      <c r="D243" s="20">
        <v>1.0</v>
      </c>
      <c r="E243" s="20">
        <f t="shared" si="1"/>
        <v>219</v>
      </c>
      <c r="F243" s="49">
        <v>45028.0</v>
      </c>
      <c r="G243" s="20" t="s">
        <v>49</v>
      </c>
      <c r="H243" s="20">
        <v>41.0</v>
      </c>
      <c r="I243" s="20" t="str">
        <f>VLOOKUP(B243,'товар'!$A$1:$C$433,2,FALSE)</f>
        <v>Сыр</v>
      </c>
      <c r="J243" s="50">
        <f t="shared" si="2"/>
        <v>262.6349206</v>
      </c>
      <c r="K243" s="51">
        <f t="shared" si="3"/>
        <v>-0.1661428744</v>
      </c>
      <c r="L243" s="20" t="str">
        <f>VLOOKUP(B243,'товар'!$A$1:$C$433,3,FALSE)</f>
        <v>Сырная долина</v>
      </c>
      <c r="M243" s="52">
        <f t="shared" si="4"/>
        <v>271</v>
      </c>
      <c r="N243" s="53">
        <f>VLOOKUP(H243,'клиенты'!$A$1:$F$435,5,FALSE)</f>
        <v>44842</v>
      </c>
      <c r="O243" s="20">
        <f t="shared" si="5"/>
        <v>186</v>
      </c>
      <c r="P243" s="20" t="str">
        <f>VLOOKUP(H243,'клиенты'!$A$2:$J$435,10,FALSE)</f>
        <v>Россия</v>
      </c>
      <c r="Q243" s="54">
        <f t="shared" si="6"/>
        <v>46078.45901</v>
      </c>
      <c r="R243" s="55">
        <f t="shared" si="7"/>
        <v>41.21530039</v>
      </c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41">
        <v>243.0</v>
      </c>
      <c r="B244" s="41">
        <v>205.0</v>
      </c>
      <c r="C244" s="41">
        <v>117.0</v>
      </c>
      <c r="D244" s="41">
        <v>5.0</v>
      </c>
      <c r="E244" s="41">
        <f t="shared" si="1"/>
        <v>585</v>
      </c>
      <c r="F244" s="42">
        <v>45006.0</v>
      </c>
      <c r="G244" s="41" t="s">
        <v>40</v>
      </c>
      <c r="H244" s="41">
        <v>389.0</v>
      </c>
      <c r="I244" s="41" t="str">
        <f>VLOOKUP(B244,'товар'!$A$1:$C$433,2,FALSE)</f>
        <v>Макароны</v>
      </c>
      <c r="J244" s="43">
        <f t="shared" si="2"/>
        <v>265.4767442</v>
      </c>
      <c r="K244" s="44">
        <f t="shared" si="3"/>
        <v>-0.5592834304</v>
      </c>
      <c r="L244" s="41" t="str">
        <f>VLOOKUP(B244,'товар'!$A$1:$C$433,3,FALSE)</f>
        <v>Борилла</v>
      </c>
      <c r="M244" s="45">
        <f t="shared" si="4"/>
        <v>236.2758621</v>
      </c>
      <c r="N244" s="46">
        <f>VLOOKUP(H244,'клиенты'!$A$1:$F$435,5,FALSE)</f>
        <v>44876</v>
      </c>
      <c r="O244" s="41">
        <f t="shared" si="5"/>
        <v>130</v>
      </c>
      <c r="P244" s="41" t="str">
        <f>VLOOKUP(H244,'клиенты'!$A$2:$J$435,10,FALSE)</f>
        <v>Россия</v>
      </c>
      <c r="Q244" s="47">
        <f t="shared" si="6"/>
        <v>46078.45901</v>
      </c>
      <c r="R244" s="48">
        <f t="shared" si="7"/>
        <v>40.08196706</v>
      </c>
      <c r="S244" s="41"/>
      <c r="T244" s="41"/>
      <c r="U244" s="41"/>
      <c r="V244" s="41"/>
      <c r="W244" s="41"/>
      <c r="X244" s="41"/>
      <c r="Y244" s="41"/>
      <c r="Z244" s="41"/>
    </row>
    <row r="245" ht="14.25" customHeight="1">
      <c r="A245" s="20">
        <v>244.0</v>
      </c>
      <c r="B245" s="20">
        <v>219.0</v>
      </c>
      <c r="C245" s="20">
        <v>474.0</v>
      </c>
      <c r="D245" s="20">
        <v>5.0</v>
      </c>
      <c r="E245" s="20">
        <f t="shared" si="1"/>
        <v>2370</v>
      </c>
      <c r="F245" s="49">
        <v>45300.0</v>
      </c>
      <c r="G245" s="20" t="s">
        <v>35</v>
      </c>
      <c r="H245" s="20">
        <v>24.0</v>
      </c>
      <c r="I245" s="20" t="str">
        <f>VLOOKUP(B245,'товар'!$A$1:$C$433,2,FALSE)</f>
        <v>Йогурт</v>
      </c>
      <c r="J245" s="50">
        <f t="shared" si="2"/>
        <v>263.2542373</v>
      </c>
      <c r="K245" s="51">
        <f t="shared" si="3"/>
        <v>0.800540819</v>
      </c>
      <c r="L245" s="20" t="str">
        <f>VLOOKUP(B245,'товар'!$A$1:$C$433,3,FALSE)</f>
        <v>Чудо</v>
      </c>
      <c r="M245" s="52">
        <f t="shared" si="4"/>
        <v>287.1</v>
      </c>
      <c r="N245" s="53">
        <f>VLOOKUP(H245,'клиенты'!$A$1:$F$435,5,FALSE)</f>
        <v>44609</v>
      </c>
      <c r="O245" s="20">
        <f t="shared" si="5"/>
        <v>691</v>
      </c>
      <c r="P245" s="20" t="str">
        <f>VLOOKUP(H245,'клиенты'!$A$2:$J$435,10,FALSE)</f>
        <v>Узбекистан</v>
      </c>
      <c r="Q245" s="54">
        <f t="shared" si="6"/>
        <v>46078.45901</v>
      </c>
      <c r="R245" s="55">
        <f t="shared" si="7"/>
        <v>48.98196706</v>
      </c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41">
        <v>245.0</v>
      </c>
      <c r="B246" s="41">
        <v>425.0</v>
      </c>
      <c r="C246" s="41">
        <v>334.0</v>
      </c>
      <c r="D246" s="41">
        <v>2.0</v>
      </c>
      <c r="E246" s="41">
        <f t="shared" si="1"/>
        <v>668</v>
      </c>
      <c r="F246" s="42">
        <v>45187.0</v>
      </c>
      <c r="G246" s="41" t="s">
        <v>41</v>
      </c>
      <c r="H246" s="41">
        <v>25.0</v>
      </c>
      <c r="I246" s="41" t="str">
        <f>VLOOKUP(B246,'товар'!$A$1:$C$433,2,FALSE)</f>
        <v>Соль</v>
      </c>
      <c r="J246" s="43">
        <f t="shared" si="2"/>
        <v>264.8679245</v>
      </c>
      <c r="K246" s="44">
        <f t="shared" si="3"/>
        <v>0.2610058413</v>
      </c>
      <c r="L246" s="41" t="str">
        <f>VLOOKUP(B246,'товар'!$A$1:$C$433,3,FALSE)</f>
        <v>Экстра</v>
      </c>
      <c r="M246" s="45">
        <f t="shared" si="4"/>
        <v>320.8461538</v>
      </c>
      <c r="N246" s="46">
        <f>VLOOKUP(H246,'клиенты'!$A$1:$F$435,5,FALSE)</f>
        <v>44582</v>
      </c>
      <c r="O246" s="41">
        <f t="shared" si="5"/>
        <v>605</v>
      </c>
      <c r="P246" s="41" t="str">
        <f>VLOOKUP(H246,'клиенты'!$A$2:$J$435,10,FALSE)</f>
        <v>Таджикистан</v>
      </c>
      <c r="Q246" s="47">
        <f t="shared" si="6"/>
        <v>46078.45901</v>
      </c>
      <c r="R246" s="48">
        <f t="shared" si="7"/>
        <v>49.88196706</v>
      </c>
      <c r="S246" s="41"/>
      <c r="T246" s="41"/>
      <c r="U246" s="41"/>
      <c r="V246" s="41"/>
      <c r="W246" s="41"/>
      <c r="X246" s="41"/>
      <c r="Y246" s="41"/>
      <c r="Z246" s="41"/>
    </row>
    <row r="247" ht="14.25" customHeight="1">
      <c r="A247" s="20">
        <v>246.0</v>
      </c>
      <c r="B247" s="20">
        <v>452.0</v>
      </c>
      <c r="C247" s="20">
        <v>220.0</v>
      </c>
      <c r="D247" s="20">
        <v>5.0</v>
      </c>
      <c r="E247" s="20">
        <f t="shared" si="1"/>
        <v>1100</v>
      </c>
      <c r="F247" s="49">
        <v>44951.0</v>
      </c>
      <c r="G247" s="20" t="s">
        <v>53</v>
      </c>
      <c r="H247" s="20">
        <v>411.0</v>
      </c>
      <c r="I247" s="20" t="str">
        <f>VLOOKUP(B247,'товар'!$A$1:$C$433,2,FALSE)</f>
        <v>Фрукты</v>
      </c>
      <c r="J247" s="50">
        <f t="shared" si="2"/>
        <v>274.1627907</v>
      </c>
      <c r="K247" s="51">
        <f t="shared" si="3"/>
        <v>-0.1975570447</v>
      </c>
      <c r="L247" s="20" t="str">
        <f>VLOOKUP(B247,'товар'!$A$1:$C$433,3,FALSE)</f>
        <v>Экзотик</v>
      </c>
      <c r="M247" s="52">
        <f t="shared" si="4"/>
        <v>253.6875</v>
      </c>
      <c r="N247" s="53">
        <f>VLOOKUP(H247,'клиенты'!$A$1:$F$435,5,FALSE)</f>
        <v>44673</v>
      </c>
      <c r="O247" s="20">
        <f t="shared" si="5"/>
        <v>278</v>
      </c>
      <c r="P247" s="20" t="str">
        <f>VLOOKUP(H247,'клиенты'!$A$2:$J$435,10,FALSE)</f>
        <v>Таджикистан</v>
      </c>
      <c r="Q247" s="54">
        <f t="shared" si="6"/>
        <v>46078.45901</v>
      </c>
      <c r="R247" s="55">
        <f t="shared" si="7"/>
        <v>46.84863372</v>
      </c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41">
        <v>247.0</v>
      </c>
      <c r="B248" s="41">
        <v>285.0</v>
      </c>
      <c r="C248" s="41">
        <v>282.0</v>
      </c>
      <c r="D248" s="41">
        <v>5.0</v>
      </c>
      <c r="E248" s="41">
        <f t="shared" si="1"/>
        <v>1410</v>
      </c>
      <c r="F248" s="42">
        <v>45405.0</v>
      </c>
      <c r="G248" s="41" t="s">
        <v>49</v>
      </c>
      <c r="H248" s="41">
        <v>106.0</v>
      </c>
      <c r="I248" s="41" t="str">
        <f>VLOOKUP(B248,'товар'!$A$1:$C$433,2,FALSE)</f>
        <v>Макароны</v>
      </c>
      <c r="J248" s="43">
        <f t="shared" si="2"/>
        <v>265.4767442</v>
      </c>
      <c r="K248" s="44">
        <f t="shared" si="3"/>
        <v>0.06223993693</v>
      </c>
      <c r="L248" s="41" t="str">
        <f>VLOOKUP(B248,'товар'!$A$1:$C$433,3,FALSE)</f>
        <v>Паста Зара</v>
      </c>
      <c r="M248" s="45">
        <f t="shared" si="4"/>
        <v>276.6756757</v>
      </c>
      <c r="N248" s="46">
        <f>VLOOKUP(H248,'клиенты'!$A$1:$F$435,5,FALSE)</f>
        <v>44858</v>
      </c>
      <c r="O248" s="41">
        <f t="shared" si="5"/>
        <v>547</v>
      </c>
      <c r="P248" s="41" t="str">
        <f>VLOOKUP(H248,'клиенты'!$A$2:$J$435,10,FALSE)</f>
        <v>Украина</v>
      </c>
      <c r="Q248" s="47">
        <f t="shared" si="6"/>
        <v>46078.45901</v>
      </c>
      <c r="R248" s="48">
        <f t="shared" si="7"/>
        <v>40.68196706</v>
      </c>
      <c r="S248" s="41"/>
      <c r="T248" s="41"/>
      <c r="U248" s="41"/>
      <c r="V248" s="41"/>
      <c r="W248" s="41"/>
      <c r="X248" s="41"/>
      <c r="Y248" s="41"/>
      <c r="Z248" s="41"/>
    </row>
    <row r="249" ht="14.25" customHeight="1">
      <c r="A249" s="20">
        <v>248.0</v>
      </c>
      <c r="B249" s="20">
        <v>435.0</v>
      </c>
      <c r="C249" s="20">
        <v>499.0</v>
      </c>
      <c r="D249" s="20">
        <v>5.0</v>
      </c>
      <c r="E249" s="20">
        <f t="shared" si="1"/>
        <v>2495</v>
      </c>
      <c r="F249" s="49">
        <v>44942.0</v>
      </c>
      <c r="G249" s="20" t="s">
        <v>53</v>
      </c>
      <c r="H249" s="20">
        <v>175.0</v>
      </c>
      <c r="I249" s="20" t="str">
        <f>VLOOKUP(B249,'товар'!$A$1:$C$433,2,FALSE)</f>
        <v>Мясо</v>
      </c>
      <c r="J249" s="50">
        <f t="shared" si="2"/>
        <v>271.7454545</v>
      </c>
      <c r="K249" s="51">
        <f t="shared" si="3"/>
        <v>0.8362772648</v>
      </c>
      <c r="L249" s="20" t="str">
        <f>VLOOKUP(B249,'товар'!$A$1:$C$433,3,FALSE)</f>
        <v>Снежана</v>
      </c>
      <c r="M249" s="52">
        <f t="shared" si="4"/>
        <v>272.3529412</v>
      </c>
      <c r="N249" s="53">
        <f>VLOOKUP(H249,'клиенты'!$A$1:$F$435,5,FALSE)</f>
        <v>44565</v>
      </c>
      <c r="O249" s="20">
        <f t="shared" si="5"/>
        <v>377</v>
      </c>
      <c r="P249" s="20" t="str">
        <f>VLOOKUP(H249,'клиенты'!$A$2:$J$435,10,FALSE)</f>
        <v>Россия</v>
      </c>
      <c r="Q249" s="54">
        <f t="shared" si="6"/>
        <v>46078.45901</v>
      </c>
      <c r="R249" s="55">
        <f t="shared" si="7"/>
        <v>50.44863372</v>
      </c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41">
        <v>249.0</v>
      </c>
      <c r="B250" s="41">
        <v>26.0</v>
      </c>
      <c r="C250" s="41">
        <v>170.0</v>
      </c>
      <c r="D250" s="41">
        <v>1.0</v>
      </c>
      <c r="E250" s="41">
        <f t="shared" si="1"/>
        <v>170</v>
      </c>
      <c r="F250" s="42">
        <v>45139.0</v>
      </c>
      <c r="G250" s="41" t="s">
        <v>36</v>
      </c>
      <c r="H250" s="41">
        <v>286.0</v>
      </c>
      <c r="I250" s="41" t="str">
        <f>VLOOKUP(B250,'товар'!$A$1:$C$433,2,FALSE)</f>
        <v>Мясо</v>
      </c>
      <c r="J250" s="43">
        <f t="shared" si="2"/>
        <v>271.7454545</v>
      </c>
      <c r="K250" s="44">
        <f t="shared" si="3"/>
        <v>-0.3744145591</v>
      </c>
      <c r="L250" s="41" t="str">
        <f>VLOOKUP(B250,'товар'!$A$1:$C$433,3,FALSE)</f>
        <v>Сава</v>
      </c>
      <c r="M250" s="45">
        <f t="shared" si="4"/>
        <v>212.8125</v>
      </c>
      <c r="N250" s="46">
        <f>VLOOKUP(H250,'клиенты'!$A$1:$F$435,5,FALSE)</f>
        <v>44563</v>
      </c>
      <c r="O250" s="41">
        <f t="shared" si="5"/>
        <v>576</v>
      </c>
      <c r="P250" s="41" t="str">
        <f>VLOOKUP(H250,'клиенты'!$A$2:$J$435,10,FALSE)</f>
        <v>Таджикистан</v>
      </c>
      <c r="Q250" s="47">
        <f t="shared" si="6"/>
        <v>46078.45901</v>
      </c>
      <c r="R250" s="48">
        <f t="shared" si="7"/>
        <v>50.51530039</v>
      </c>
      <c r="S250" s="41"/>
      <c r="T250" s="41"/>
      <c r="U250" s="41"/>
      <c r="V250" s="41"/>
      <c r="W250" s="41"/>
      <c r="X250" s="41"/>
      <c r="Y250" s="41"/>
      <c r="Z250" s="41"/>
    </row>
    <row r="251" ht="14.25" customHeight="1">
      <c r="A251" s="20">
        <v>250.0</v>
      </c>
      <c r="B251" s="20">
        <v>157.0</v>
      </c>
      <c r="C251" s="20">
        <v>52.0</v>
      </c>
      <c r="D251" s="20">
        <v>1.0</v>
      </c>
      <c r="E251" s="20">
        <f t="shared" si="1"/>
        <v>52</v>
      </c>
      <c r="F251" s="49">
        <v>44961.0</v>
      </c>
      <c r="G251" s="20" t="s">
        <v>45</v>
      </c>
      <c r="H251" s="20">
        <v>249.0</v>
      </c>
      <c r="I251" s="20" t="str">
        <f>VLOOKUP(B251,'товар'!$A$1:$C$433,2,FALSE)</f>
        <v>Сыр</v>
      </c>
      <c r="J251" s="50">
        <f t="shared" si="2"/>
        <v>262.6349206</v>
      </c>
      <c r="K251" s="51">
        <f t="shared" si="3"/>
        <v>-0.8020065273</v>
      </c>
      <c r="L251" s="20" t="str">
        <f>VLOOKUP(B251,'товар'!$A$1:$C$433,3,FALSE)</f>
        <v>President</v>
      </c>
      <c r="M251" s="52">
        <f t="shared" si="4"/>
        <v>238.7222222</v>
      </c>
      <c r="N251" s="53">
        <f>VLOOKUP(H251,'клиенты'!$A$1:$F$435,5,FALSE)</f>
        <v>44781</v>
      </c>
      <c r="O251" s="20">
        <f t="shared" si="5"/>
        <v>180</v>
      </c>
      <c r="P251" s="20" t="str">
        <f>VLOOKUP(H251,'клиенты'!$A$2:$J$435,10,FALSE)</f>
        <v>Россия</v>
      </c>
      <c r="Q251" s="54">
        <f t="shared" si="6"/>
        <v>46078.45901</v>
      </c>
      <c r="R251" s="55">
        <f t="shared" si="7"/>
        <v>43.24863372</v>
      </c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41">
        <v>251.0</v>
      </c>
      <c r="B252" s="41">
        <v>273.0</v>
      </c>
      <c r="C252" s="41">
        <v>156.0</v>
      </c>
      <c r="D252" s="41">
        <v>5.0</v>
      </c>
      <c r="E252" s="41">
        <f t="shared" si="1"/>
        <v>780</v>
      </c>
      <c r="F252" s="42">
        <v>45029.0</v>
      </c>
      <c r="G252" s="41" t="s">
        <v>44</v>
      </c>
      <c r="H252" s="41">
        <v>168.0</v>
      </c>
      <c r="I252" s="41" t="str">
        <f>VLOOKUP(B252,'товар'!$A$1:$C$433,2,FALSE)</f>
        <v>Конфеты</v>
      </c>
      <c r="J252" s="43">
        <f t="shared" si="2"/>
        <v>267.8548387</v>
      </c>
      <c r="K252" s="44">
        <f t="shared" si="3"/>
        <v>-0.4175949901</v>
      </c>
      <c r="L252" s="41" t="str">
        <f>VLOOKUP(B252,'товар'!$A$1:$C$433,3,FALSE)</f>
        <v>Красный Октябрь</v>
      </c>
      <c r="M252" s="45">
        <f t="shared" si="4"/>
        <v>273.625</v>
      </c>
      <c r="N252" s="46">
        <f>VLOOKUP(H252,'клиенты'!$A$1:$F$435,5,FALSE)</f>
        <v>44706</v>
      </c>
      <c r="O252" s="41">
        <f t="shared" si="5"/>
        <v>323</v>
      </c>
      <c r="P252" s="41" t="str">
        <f>VLOOKUP(H252,'клиенты'!$A$2:$J$435,10,FALSE)</f>
        <v>Узбекистан</v>
      </c>
      <c r="Q252" s="47">
        <f t="shared" si="6"/>
        <v>46078.45901</v>
      </c>
      <c r="R252" s="48">
        <f t="shared" si="7"/>
        <v>45.74863372</v>
      </c>
      <c r="S252" s="41"/>
      <c r="T252" s="41"/>
      <c r="U252" s="41"/>
      <c r="V252" s="41"/>
      <c r="W252" s="41"/>
      <c r="X252" s="41"/>
      <c r="Y252" s="41"/>
      <c r="Z252" s="41"/>
    </row>
    <row r="253" ht="14.25" customHeight="1">
      <c r="A253" s="20">
        <v>252.0</v>
      </c>
      <c r="B253" s="20">
        <v>340.0</v>
      </c>
      <c r="C253" s="20">
        <v>450.0</v>
      </c>
      <c r="D253" s="20">
        <v>3.0</v>
      </c>
      <c r="E253" s="20">
        <f t="shared" si="1"/>
        <v>1350</v>
      </c>
      <c r="F253" s="49">
        <v>44933.0</v>
      </c>
      <c r="G253" s="20" t="s">
        <v>41</v>
      </c>
      <c r="H253" s="20">
        <v>121.0</v>
      </c>
      <c r="I253" s="20" t="str">
        <f>VLOOKUP(B253,'товар'!$A$1:$C$433,2,FALSE)</f>
        <v>Сыр</v>
      </c>
      <c r="J253" s="50">
        <f t="shared" si="2"/>
        <v>262.6349206</v>
      </c>
      <c r="K253" s="51">
        <f t="shared" si="3"/>
        <v>0.7134050526</v>
      </c>
      <c r="L253" s="20" t="str">
        <f>VLOOKUP(B253,'товар'!$A$1:$C$433,3,FALSE)</f>
        <v>Карат</v>
      </c>
      <c r="M253" s="52">
        <f t="shared" si="4"/>
        <v>311.3333333</v>
      </c>
      <c r="N253" s="53">
        <f>VLOOKUP(H253,'клиенты'!$A$1:$F$435,5,FALSE)</f>
        <v>44763</v>
      </c>
      <c r="O253" s="20">
        <f t="shared" si="5"/>
        <v>170</v>
      </c>
      <c r="P253" s="20" t="str">
        <f>VLOOKUP(H253,'клиенты'!$A$2:$J$435,10,FALSE)</f>
        <v>Россия</v>
      </c>
      <c r="Q253" s="54">
        <f t="shared" si="6"/>
        <v>46078.45901</v>
      </c>
      <c r="R253" s="55">
        <f t="shared" si="7"/>
        <v>43.84863372</v>
      </c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41">
        <v>253.0</v>
      </c>
      <c r="B254" s="41">
        <v>34.0</v>
      </c>
      <c r="C254" s="41">
        <v>366.0</v>
      </c>
      <c r="D254" s="41">
        <v>4.0</v>
      </c>
      <c r="E254" s="41">
        <f t="shared" si="1"/>
        <v>1464</v>
      </c>
      <c r="F254" s="42">
        <v>45264.0</v>
      </c>
      <c r="G254" s="41" t="s">
        <v>42</v>
      </c>
      <c r="H254" s="41">
        <v>259.0</v>
      </c>
      <c r="I254" s="41" t="str">
        <f>VLOOKUP(B254,'товар'!$A$1:$C$433,2,FALSE)</f>
        <v>Крупа</v>
      </c>
      <c r="J254" s="43">
        <f t="shared" si="2"/>
        <v>255.1162791</v>
      </c>
      <c r="K254" s="44">
        <f t="shared" si="3"/>
        <v>0.4346399271</v>
      </c>
      <c r="L254" s="41" t="str">
        <f>VLOOKUP(B254,'товар'!$A$1:$C$433,3,FALSE)</f>
        <v>Ярмарка</v>
      </c>
      <c r="M254" s="45">
        <f t="shared" si="4"/>
        <v>252.0909091</v>
      </c>
      <c r="N254" s="46">
        <f>VLOOKUP(H254,'клиенты'!$A$1:$F$435,5,FALSE)</f>
        <v>44707</v>
      </c>
      <c r="O254" s="41">
        <f t="shared" si="5"/>
        <v>557</v>
      </c>
      <c r="P254" s="41" t="str">
        <f>VLOOKUP(H254,'клиенты'!$A$2:$J$435,10,FALSE)</f>
        <v>Беларусь</v>
      </c>
      <c r="Q254" s="47">
        <f t="shared" si="6"/>
        <v>46078.45901</v>
      </c>
      <c r="R254" s="48">
        <f t="shared" si="7"/>
        <v>45.71530039</v>
      </c>
      <c r="S254" s="41"/>
      <c r="T254" s="41"/>
      <c r="U254" s="41"/>
      <c r="V254" s="41"/>
      <c r="W254" s="41"/>
      <c r="X254" s="41"/>
      <c r="Y254" s="41"/>
      <c r="Z254" s="41"/>
    </row>
    <row r="255" ht="14.25" customHeight="1">
      <c r="A255" s="20">
        <v>254.0</v>
      </c>
      <c r="B255" s="20">
        <v>296.0</v>
      </c>
      <c r="C255" s="20">
        <v>210.0</v>
      </c>
      <c r="D255" s="20">
        <v>1.0</v>
      </c>
      <c r="E255" s="20">
        <f t="shared" si="1"/>
        <v>210</v>
      </c>
      <c r="F255" s="49">
        <v>45010.0</v>
      </c>
      <c r="G255" s="20" t="s">
        <v>46</v>
      </c>
      <c r="H255" s="20">
        <v>255.0</v>
      </c>
      <c r="I255" s="20" t="str">
        <f>VLOOKUP(B255,'товар'!$A$1:$C$433,2,FALSE)</f>
        <v>Крупа</v>
      </c>
      <c r="J255" s="50">
        <f t="shared" si="2"/>
        <v>255.1162791</v>
      </c>
      <c r="K255" s="51">
        <f t="shared" si="3"/>
        <v>-0.1768459435</v>
      </c>
      <c r="L255" s="20" t="str">
        <f>VLOOKUP(B255,'товар'!$A$1:$C$433,3,FALSE)</f>
        <v>Мистраль</v>
      </c>
      <c r="M255" s="52">
        <f t="shared" si="4"/>
        <v>250.3076923</v>
      </c>
      <c r="N255" s="53">
        <f>VLOOKUP(H255,'клиенты'!$A$1:$F$435,5,FALSE)</f>
        <v>44793</v>
      </c>
      <c r="O255" s="20">
        <f t="shared" si="5"/>
        <v>217</v>
      </c>
      <c r="P255" s="20" t="str">
        <f>VLOOKUP(H255,'клиенты'!$A$2:$J$435,10,FALSE)</f>
        <v>Украина</v>
      </c>
      <c r="Q255" s="54">
        <f t="shared" si="6"/>
        <v>46078.45901</v>
      </c>
      <c r="R255" s="55">
        <f t="shared" si="7"/>
        <v>42.84863372</v>
      </c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41">
        <v>255.0</v>
      </c>
      <c r="B256" s="41">
        <v>116.0</v>
      </c>
      <c r="C256" s="41">
        <v>379.0</v>
      </c>
      <c r="D256" s="41">
        <v>4.0</v>
      </c>
      <c r="E256" s="41">
        <f t="shared" si="1"/>
        <v>1516</v>
      </c>
      <c r="F256" s="42">
        <v>45261.0</v>
      </c>
      <c r="G256" s="41" t="s">
        <v>50</v>
      </c>
      <c r="H256" s="41">
        <v>405.0</v>
      </c>
      <c r="I256" s="41" t="str">
        <f>VLOOKUP(B256,'товар'!$A$1:$C$433,2,FALSE)</f>
        <v>Соль</v>
      </c>
      <c r="J256" s="43">
        <f t="shared" si="2"/>
        <v>264.8679245</v>
      </c>
      <c r="K256" s="44">
        <f t="shared" si="3"/>
        <v>0.4309018379</v>
      </c>
      <c r="L256" s="41" t="str">
        <f>VLOOKUP(B256,'товар'!$A$1:$C$433,3,FALSE)</f>
        <v>Экстра</v>
      </c>
      <c r="M256" s="45">
        <f t="shared" si="4"/>
        <v>320.8461538</v>
      </c>
      <c r="N256" s="46">
        <f>VLOOKUP(H256,'клиенты'!$A$1:$F$435,5,FALSE)</f>
        <v>44798</v>
      </c>
      <c r="O256" s="41">
        <f t="shared" si="5"/>
        <v>463</v>
      </c>
      <c r="P256" s="41" t="str">
        <f>VLOOKUP(H256,'клиенты'!$A$2:$J$435,10,FALSE)</f>
        <v>Украина</v>
      </c>
      <c r="Q256" s="47">
        <f t="shared" si="6"/>
        <v>46078.45901</v>
      </c>
      <c r="R256" s="48">
        <f t="shared" si="7"/>
        <v>42.68196706</v>
      </c>
      <c r="S256" s="41"/>
      <c r="T256" s="41"/>
      <c r="U256" s="41"/>
      <c r="V256" s="41"/>
      <c r="W256" s="41"/>
      <c r="X256" s="41"/>
      <c r="Y256" s="41"/>
      <c r="Z256" s="41"/>
    </row>
    <row r="257" ht="14.25" customHeight="1">
      <c r="A257" s="20">
        <v>256.0</v>
      </c>
      <c r="B257" s="20">
        <v>117.0</v>
      </c>
      <c r="C257" s="20">
        <v>102.0</v>
      </c>
      <c r="D257" s="20">
        <v>4.0</v>
      </c>
      <c r="E257" s="20">
        <f t="shared" si="1"/>
        <v>408</v>
      </c>
      <c r="F257" s="49">
        <v>45329.0</v>
      </c>
      <c r="G257" s="20" t="s">
        <v>49</v>
      </c>
      <c r="H257" s="20">
        <v>376.0</v>
      </c>
      <c r="I257" s="20" t="str">
        <f>VLOOKUP(B257,'товар'!$A$1:$C$433,2,FALSE)</f>
        <v>Макароны</v>
      </c>
      <c r="J257" s="50">
        <f t="shared" si="2"/>
        <v>265.4767442</v>
      </c>
      <c r="K257" s="51">
        <f t="shared" si="3"/>
        <v>-0.6157855547</v>
      </c>
      <c r="L257" s="20" t="str">
        <f>VLOOKUP(B257,'товар'!$A$1:$C$433,3,FALSE)</f>
        <v>Роллтон</v>
      </c>
      <c r="M257" s="52">
        <f t="shared" si="4"/>
        <v>235.5555556</v>
      </c>
      <c r="N257" s="53">
        <f>VLOOKUP(H257,'клиенты'!$A$1:$F$435,5,FALSE)</f>
        <v>44730</v>
      </c>
      <c r="O257" s="20">
        <f t="shared" si="5"/>
        <v>599</v>
      </c>
      <c r="P257" s="20" t="str">
        <f>VLOOKUP(H257,'клиенты'!$A$2:$J$435,10,FALSE)</f>
        <v>Беларусь</v>
      </c>
      <c r="Q257" s="54">
        <f t="shared" si="6"/>
        <v>46078.45901</v>
      </c>
      <c r="R257" s="55">
        <f t="shared" si="7"/>
        <v>44.94863372</v>
      </c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41">
        <v>257.0</v>
      </c>
      <c r="B258" s="41">
        <v>239.0</v>
      </c>
      <c r="C258" s="41">
        <v>380.0</v>
      </c>
      <c r="D258" s="41">
        <v>5.0</v>
      </c>
      <c r="E258" s="41">
        <f t="shared" si="1"/>
        <v>1900</v>
      </c>
      <c r="F258" s="42">
        <v>45129.0</v>
      </c>
      <c r="G258" s="41" t="s">
        <v>45</v>
      </c>
      <c r="H258" s="41">
        <v>489.0</v>
      </c>
      <c r="I258" s="41" t="str">
        <f>VLOOKUP(B258,'товар'!$A$1:$C$433,2,FALSE)</f>
        <v>Йогурт</v>
      </c>
      <c r="J258" s="43">
        <f t="shared" si="2"/>
        <v>263.2542373</v>
      </c>
      <c r="K258" s="44">
        <f t="shared" si="3"/>
        <v>0.4434715426</v>
      </c>
      <c r="L258" s="41" t="str">
        <f>VLOOKUP(B258,'товар'!$A$1:$C$433,3,FALSE)</f>
        <v>Эрманн</v>
      </c>
      <c r="M258" s="45">
        <f t="shared" si="4"/>
        <v>248.5</v>
      </c>
      <c r="N258" s="46">
        <f>VLOOKUP(H258,'клиенты'!$A$1:$F$435,5,FALSE)</f>
        <v>44587</v>
      </c>
      <c r="O258" s="41">
        <f t="shared" si="5"/>
        <v>542</v>
      </c>
      <c r="P258" s="41" t="str">
        <f>VLOOKUP(H258,'клиенты'!$A$2:$J$435,10,FALSE)</f>
        <v>Россия</v>
      </c>
      <c r="Q258" s="47">
        <f t="shared" si="6"/>
        <v>46078.45901</v>
      </c>
      <c r="R258" s="48">
        <f t="shared" si="7"/>
        <v>49.71530039</v>
      </c>
      <c r="S258" s="41"/>
      <c r="T258" s="41"/>
      <c r="U258" s="41"/>
      <c r="V258" s="41"/>
      <c r="W258" s="41"/>
      <c r="X258" s="41"/>
      <c r="Y258" s="41"/>
      <c r="Z258" s="41"/>
    </row>
    <row r="259" ht="14.25" customHeight="1">
      <c r="A259" s="20">
        <v>258.0</v>
      </c>
      <c r="B259" s="20">
        <v>201.0</v>
      </c>
      <c r="C259" s="20">
        <v>355.0</v>
      </c>
      <c r="D259" s="20">
        <v>5.0</v>
      </c>
      <c r="E259" s="20">
        <f t="shared" si="1"/>
        <v>1775</v>
      </c>
      <c r="F259" s="49">
        <v>45343.0</v>
      </c>
      <c r="G259" s="20" t="s">
        <v>39</v>
      </c>
      <c r="H259" s="20">
        <v>483.0</v>
      </c>
      <c r="I259" s="20" t="str">
        <f>VLOOKUP(B259,'товар'!$A$1:$C$433,2,FALSE)</f>
        <v>Печенье</v>
      </c>
      <c r="J259" s="50">
        <f t="shared" si="2"/>
        <v>283.4680851</v>
      </c>
      <c r="K259" s="51">
        <f t="shared" si="3"/>
        <v>0.2523455678</v>
      </c>
      <c r="L259" s="20" t="str">
        <f>VLOOKUP(B259,'товар'!$A$1:$C$433,3,FALSE)</f>
        <v>Белогорье</v>
      </c>
      <c r="M259" s="52">
        <f t="shared" si="4"/>
        <v>249.5</v>
      </c>
      <c r="N259" s="53">
        <f>VLOOKUP(H259,'клиенты'!$A$1:$F$435,5,FALSE)</f>
        <v>44855</v>
      </c>
      <c r="O259" s="20">
        <f t="shared" si="5"/>
        <v>488</v>
      </c>
      <c r="P259" s="20" t="str">
        <f>VLOOKUP(H259,'клиенты'!$A$2:$J$435,10,FALSE)</f>
        <v>Россия</v>
      </c>
      <c r="Q259" s="54">
        <f t="shared" si="6"/>
        <v>46078.45901</v>
      </c>
      <c r="R259" s="55">
        <f t="shared" si="7"/>
        <v>40.78196706</v>
      </c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41">
        <v>259.0</v>
      </c>
      <c r="B260" s="41">
        <v>377.0</v>
      </c>
      <c r="C260" s="41">
        <v>403.0</v>
      </c>
      <c r="D260" s="41">
        <v>4.0</v>
      </c>
      <c r="E260" s="41">
        <f t="shared" si="1"/>
        <v>1612</v>
      </c>
      <c r="F260" s="42">
        <v>45337.0</v>
      </c>
      <c r="G260" s="41" t="s">
        <v>49</v>
      </c>
      <c r="H260" s="41">
        <v>107.0</v>
      </c>
      <c r="I260" s="41" t="str">
        <f>VLOOKUP(B260,'товар'!$A$1:$C$433,2,FALSE)</f>
        <v>Колбаса</v>
      </c>
      <c r="J260" s="43">
        <f t="shared" si="2"/>
        <v>286.9230769</v>
      </c>
      <c r="K260" s="44">
        <f t="shared" si="3"/>
        <v>0.4045576408</v>
      </c>
      <c r="L260" s="41" t="str">
        <f>VLOOKUP(B260,'товар'!$A$1:$C$433,3,FALSE)</f>
        <v>Окраина</v>
      </c>
      <c r="M260" s="45">
        <f t="shared" si="4"/>
        <v>273.5833333</v>
      </c>
      <c r="N260" s="46">
        <f>VLOOKUP(H260,'клиенты'!$A$1:$F$435,5,FALSE)</f>
        <v>44744</v>
      </c>
      <c r="O260" s="41">
        <f t="shared" si="5"/>
        <v>593</v>
      </c>
      <c r="P260" s="41" t="str">
        <f>VLOOKUP(H260,'клиенты'!$A$2:$J$435,10,FALSE)</f>
        <v>Таджикистан</v>
      </c>
      <c r="Q260" s="47">
        <f t="shared" si="6"/>
        <v>46078.45901</v>
      </c>
      <c r="R260" s="48">
        <f t="shared" si="7"/>
        <v>44.48196706</v>
      </c>
      <c r="S260" s="41"/>
      <c r="T260" s="41"/>
      <c r="U260" s="41"/>
      <c r="V260" s="41"/>
      <c r="W260" s="41"/>
      <c r="X260" s="41"/>
      <c r="Y260" s="41"/>
      <c r="Z260" s="41"/>
    </row>
    <row r="261" ht="14.25" customHeight="1">
      <c r="A261" s="20">
        <v>260.0</v>
      </c>
      <c r="B261" s="20">
        <v>485.0</v>
      </c>
      <c r="C261" s="20">
        <v>101.0</v>
      </c>
      <c r="D261" s="20">
        <v>1.0</v>
      </c>
      <c r="E261" s="20">
        <f t="shared" si="1"/>
        <v>101</v>
      </c>
      <c r="F261" s="49">
        <v>45331.0</v>
      </c>
      <c r="G261" s="20" t="s">
        <v>54</v>
      </c>
      <c r="H261" s="20">
        <v>51.0</v>
      </c>
      <c r="I261" s="20" t="str">
        <f>VLOOKUP(B261,'товар'!$A$1:$C$433,2,FALSE)</f>
        <v>Макароны</v>
      </c>
      <c r="J261" s="50">
        <f t="shared" si="2"/>
        <v>265.4767442</v>
      </c>
      <c r="K261" s="51">
        <f t="shared" si="3"/>
        <v>-0.619552363</v>
      </c>
      <c r="L261" s="20" t="str">
        <f>VLOOKUP(B261,'товар'!$A$1:$C$433,3,FALSE)</f>
        <v>Борилла</v>
      </c>
      <c r="M261" s="52">
        <f t="shared" si="4"/>
        <v>236.2758621</v>
      </c>
      <c r="N261" s="53">
        <f>VLOOKUP(H261,'клиенты'!$A$1:$F$435,5,FALSE)</f>
        <v>44605</v>
      </c>
      <c r="O261" s="20">
        <f t="shared" si="5"/>
        <v>726</v>
      </c>
      <c r="P261" s="20" t="str">
        <f>VLOOKUP(H261,'клиенты'!$A$2:$J$435,10,FALSE)</f>
        <v>Узбекистан</v>
      </c>
      <c r="Q261" s="54">
        <f t="shared" si="6"/>
        <v>46078.45901</v>
      </c>
      <c r="R261" s="55">
        <f t="shared" si="7"/>
        <v>49.11530039</v>
      </c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41">
        <v>261.0</v>
      </c>
      <c r="B262" s="41">
        <v>251.0</v>
      </c>
      <c r="C262" s="41">
        <v>294.0</v>
      </c>
      <c r="D262" s="41">
        <v>1.0</v>
      </c>
      <c r="E262" s="41">
        <f t="shared" si="1"/>
        <v>294</v>
      </c>
      <c r="F262" s="42">
        <v>45082.0</v>
      </c>
      <c r="G262" s="41" t="s">
        <v>53</v>
      </c>
      <c r="H262" s="41">
        <v>47.0</v>
      </c>
      <c r="I262" s="41" t="str">
        <f>VLOOKUP(B262,'товар'!$A$1:$C$433,2,FALSE)</f>
        <v>Овощи</v>
      </c>
      <c r="J262" s="43">
        <f t="shared" si="2"/>
        <v>250.4878049</v>
      </c>
      <c r="K262" s="44">
        <f t="shared" si="3"/>
        <v>0.1737098345</v>
      </c>
      <c r="L262" s="41" t="str">
        <f>VLOOKUP(B262,'товар'!$A$1:$C$433,3,FALSE)</f>
        <v>Гавриш</v>
      </c>
      <c r="M262" s="45">
        <f t="shared" si="4"/>
        <v>247.6666667</v>
      </c>
      <c r="N262" s="46">
        <f>VLOOKUP(H262,'клиенты'!$A$1:$F$435,5,FALSE)</f>
        <v>44693</v>
      </c>
      <c r="O262" s="41">
        <f t="shared" si="5"/>
        <v>389</v>
      </c>
      <c r="P262" s="41" t="str">
        <f>VLOOKUP(H262,'клиенты'!$A$2:$J$435,10,FALSE)</f>
        <v>Беларусь</v>
      </c>
      <c r="Q262" s="47">
        <f t="shared" si="6"/>
        <v>46078.45901</v>
      </c>
      <c r="R262" s="48">
        <f t="shared" si="7"/>
        <v>46.18196706</v>
      </c>
      <c r="S262" s="41"/>
      <c r="T262" s="41"/>
      <c r="U262" s="41"/>
      <c r="V262" s="41"/>
      <c r="W262" s="41"/>
      <c r="X262" s="41"/>
      <c r="Y262" s="41"/>
      <c r="Z262" s="41"/>
    </row>
    <row r="263" ht="14.25" customHeight="1">
      <c r="A263" s="20">
        <v>262.0</v>
      </c>
      <c r="B263" s="20">
        <v>409.0</v>
      </c>
      <c r="C263" s="20">
        <v>299.0</v>
      </c>
      <c r="D263" s="20">
        <v>1.0</v>
      </c>
      <c r="E263" s="20">
        <f t="shared" si="1"/>
        <v>299</v>
      </c>
      <c r="F263" s="49">
        <v>45361.0</v>
      </c>
      <c r="G263" s="20" t="s">
        <v>37</v>
      </c>
      <c r="H263" s="20">
        <v>411.0</v>
      </c>
      <c r="I263" s="20" t="str">
        <f>VLOOKUP(B263,'товар'!$A$1:$C$433,2,FALSE)</f>
        <v>Фрукты</v>
      </c>
      <c r="J263" s="50">
        <f t="shared" si="2"/>
        <v>274.1627907</v>
      </c>
      <c r="K263" s="51">
        <f t="shared" si="3"/>
        <v>0.09059292561</v>
      </c>
      <c r="L263" s="20" t="str">
        <f>VLOOKUP(B263,'товар'!$A$1:$C$433,3,FALSE)</f>
        <v>Фруктовый Рай</v>
      </c>
      <c r="M263" s="52">
        <f t="shared" si="4"/>
        <v>258.3076923</v>
      </c>
      <c r="N263" s="53">
        <f>VLOOKUP(H263,'клиенты'!$A$1:$F$435,5,FALSE)</f>
        <v>44673</v>
      </c>
      <c r="O263" s="20">
        <f t="shared" si="5"/>
        <v>688</v>
      </c>
      <c r="P263" s="20" t="str">
        <f>VLOOKUP(H263,'клиенты'!$A$2:$J$435,10,FALSE)</f>
        <v>Таджикистан</v>
      </c>
      <c r="Q263" s="54">
        <f t="shared" si="6"/>
        <v>46078.45901</v>
      </c>
      <c r="R263" s="55">
        <f t="shared" si="7"/>
        <v>46.84863372</v>
      </c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41">
        <v>263.0</v>
      </c>
      <c r="B264" s="41">
        <v>422.0</v>
      </c>
      <c r="C264" s="41">
        <v>349.0</v>
      </c>
      <c r="D264" s="41">
        <v>2.0</v>
      </c>
      <c r="E264" s="41">
        <f t="shared" si="1"/>
        <v>698</v>
      </c>
      <c r="F264" s="42">
        <v>45045.0</v>
      </c>
      <c r="G264" s="41" t="s">
        <v>35</v>
      </c>
      <c r="H264" s="41">
        <v>160.0</v>
      </c>
      <c r="I264" s="41" t="str">
        <f>VLOOKUP(B264,'товар'!$A$1:$C$433,2,FALSE)</f>
        <v>Кофе</v>
      </c>
      <c r="J264" s="43">
        <f t="shared" si="2"/>
        <v>249.0238095</v>
      </c>
      <c r="K264" s="44">
        <f t="shared" si="3"/>
        <v>0.4014724161</v>
      </c>
      <c r="L264" s="41" t="str">
        <f>VLOOKUP(B264,'товар'!$A$1:$C$433,3,FALSE)</f>
        <v>Nescafe</v>
      </c>
      <c r="M264" s="45">
        <f t="shared" si="4"/>
        <v>256.9</v>
      </c>
      <c r="N264" s="46">
        <f>VLOOKUP(H264,'клиенты'!$A$1:$F$435,5,FALSE)</f>
        <v>44649</v>
      </c>
      <c r="O264" s="41">
        <f t="shared" si="5"/>
        <v>396</v>
      </c>
      <c r="P264" s="41" t="str">
        <f>VLOOKUP(H264,'клиенты'!$A$2:$J$435,10,FALSE)</f>
        <v>Узбекистан</v>
      </c>
      <c r="Q264" s="47">
        <f t="shared" si="6"/>
        <v>46078.45901</v>
      </c>
      <c r="R264" s="48">
        <f t="shared" si="7"/>
        <v>47.64863372</v>
      </c>
      <c r="S264" s="41"/>
      <c r="T264" s="41"/>
      <c r="U264" s="41"/>
      <c r="V264" s="41"/>
      <c r="W264" s="41"/>
      <c r="X264" s="41"/>
      <c r="Y264" s="41"/>
      <c r="Z264" s="41"/>
    </row>
    <row r="265" ht="14.25" customHeight="1">
      <c r="A265" s="20">
        <v>264.0</v>
      </c>
      <c r="B265" s="20">
        <v>222.0</v>
      </c>
      <c r="C265" s="20">
        <v>500.0</v>
      </c>
      <c r="D265" s="20">
        <v>2.0</v>
      </c>
      <c r="E265" s="20">
        <f t="shared" si="1"/>
        <v>1000</v>
      </c>
      <c r="F265" s="49">
        <v>45157.0</v>
      </c>
      <c r="G265" s="20" t="s">
        <v>47</v>
      </c>
      <c r="H265" s="20">
        <v>9.0</v>
      </c>
      <c r="I265" s="20" t="str">
        <f>VLOOKUP(B265,'товар'!$A$1:$C$433,2,FALSE)</f>
        <v>Молоко</v>
      </c>
      <c r="J265" s="50">
        <f t="shared" si="2"/>
        <v>294.952381</v>
      </c>
      <c r="K265" s="51">
        <f t="shared" si="3"/>
        <v>0.6951888925</v>
      </c>
      <c r="L265" s="20" t="str">
        <f>VLOOKUP(B265,'товар'!$A$1:$C$433,3,FALSE)</f>
        <v>Простоквашино</v>
      </c>
      <c r="M265" s="52">
        <f t="shared" si="4"/>
        <v>318.8181818</v>
      </c>
      <c r="N265" s="53">
        <f>VLOOKUP(H265,'клиенты'!$A$1:$F$435,5,FALSE)</f>
        <v>44900</v>
      </c>
      <c r="O265" s="20">
        <f t="shared" si="5"/>
        <v>257</v>
      </c>
      <c r="P265" s="20" t="str">
        <f>VLOOKUP(H265,'клиенты'!$A$2:$J$435,10,FALSE)</f>
        <v>Таджикистан</v>
      </c>
      <c r="Q265" s="54">
        <f t="shared" si="6"/>
        <v>46078.45901</v>
      </c>
      <c r="R265" s="55">
        <f t="shared" si="7"/>
        <v>39.28196706</v>
      </c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41">
        <v>265.0</v>
      </c>
      <c r="B266" s="41">
        <v>497.0</v>
      </c>
      <c r="C266" s="41">
        <v>387.0</v>
      </c>
      <c r="D266" s="41">
        <v>2.0</v>
      </c>
      <c r="E266" s="41">
        <f t="shared" si="1"/>
        <v>774</v>
      </c>
      <c r="F266" s="42">
        <v>44945.0</v>
      </c>
      <c r="G266" s="41" t="s">
        <v>41</v>
      </c>
      <c r="H266" s="41">
        <v>456.0</v>
      </c>
      <c r="I266" s="41" t="str">
        <f>VLOOKUP(B266,'товар'!$A$1:$C$433,2,FALSE)</f>
        <v>Конфеты</v>
      </c>
      <c r="J266" s="43">
        <f t="shared" si="2"/>
        <v>267.8548387</v>
      </c>
      <c r="K266" s="44">
        <f t="shared" si="3"/>
        <v>0.4448124285</v>
      </c>
      <c r="L266" s="41" t="str">
        <f>VLOOKUP(B266,'товар'!$A$1:$C$433,3,FALSE)</f>
        <v>Бабаевский</v>
      </c>
      <c r="M266" s="45">
        <f t="shared" si="4"/>
        <v>250.2592593</v>
      </c>
      <c r="N266" s="46">
        <f>VLOOKUP(H266,'клиенты'!$A$1:$F$435,5,FALSE)</f>
        <v>44618</v>
      </c>
      <c r="O266" s="41">
        <f t="shared" si="5"/>
        <v>327</v>
      </c>
      <c r="P266" s="41" t="str">
        <f>VLOOKUP(H266,'клиенты'!$A$2:$J$435,10,FALSE)</f>
        <v>Россия</v>
      </c>
      <c r="Q266" s="47">
        <f t="shared" si="6"/>
        <v>46078.45901</v>
      </c>
      <c r="R266" s="48">
        <f t="shared" si="7"/>
        <v>48.68196706</v>
      </c>
      <c r="S266" s="41"/>
      <c r="T266" s="41"/>
      <c r="U266" s="41"/>
      <c r="V266" s="41"/>
      <c r="W266" s="41"/>
      <c r="X266" s="41"/>
      <c r="Y266" s="41"/>
      <c r="Z266" s="41"/>
    </row>
    <row r="267" ht="14.25" customHeight="1">
      <c r="A267" s="20">
        <v>266.0</v>
      </c>
      <c r="B267" s="20">
        <v>217.0</v>
      </c>
      <c r="C267" s="20">
        <v>412.0</v>
      </c>
      <c r="D267" s="20">
        <v>2.0</v>
      </c>
      <c r="E267" s="20">
        <f t="shared" si="1"/>
        <v>824</v>
      </c>
      <c r="F267" s="49">
        <v>45174.0</v>
      </c>
      <c r="G267" s="20" t="s">
        <v>39</v>
      </c>
      <c r="H267" s="20">
        <v>110.0</v>
      </c>
      <c r="I267" s="20" t="str">
        <f>VLOOKUP(B267,'товар'!$A$1:$C$433,2,FALSE)</f>
        <v>Мясо</v>
      </c>
      <c r="J267" s="50">
        <f t="shared" si="2"/>
        <v>271.7454545</v>
      </c>
      <c r="K267" s="51">
        <f t="shared" si="3"/>
        <v>0.5161247156</v>
      </c>
      <c r="L267" s="20" t="str">
        <f>VLOOKUP(B267,'товар'!$A$1:$C$433,3,FALSE)</f>
        <v>Агрокомплекс</v>
      </c>
      <c r="M267" s="52">
        <f t="shared" si="4"/>
        <v>311.2</v>
      </c>
      <c r="N267" s="53">
        <f>VLOOKUP(H267,'клиенты'!$A$1:$F$435,5,FALSE)</f>
        <v>44580</v>
      </c>
      <c r="O267" s="20">
        <f t="shared" si="5"/>
        <v>594</v>
      </c>
      <c r="P267" s="20" t="str">
        <f>VLOOKUP(H267,'клиенты'!$A$2:$J$435,10,FALSE)</f>
        <v>Узбекистан</v>
      </c>
      <c r="Q267" s="54">
        <f t="shared" si="6"/>
        <v>46078.45901</v>
      </c>
      <c r="R267" s="55">
        <f t="shared" si="7"/>
        <v>49.94863372</v>
      </c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41">
        <v>267.0</v>
      </c>
      <c r="B268" s="41">
        <v>351.0</v>
      </c>
      <c r="C268" s="41">
        <v>155.0</v>
      </c>
      <c r="D268" s="41">
        <v>5.0</v>
      </c>
      <c r="E268" s="41">
        <f t="shared" si="1"/>
        <v>775</v>
      </c>
      <c r="F268" s="42">
        <v>45189.0</v>
      </c>
      <c r="G268" s="41" t="s">
        <v>48</v>
      </c>
      <c r="H268" s="41">
        <v>216.0</v>
      </c>
      <c r="I268" s="41" t="str">
        <f>VLOOKUP(B268,'товар'!$A$1:$C$433,2,FALSE)</f>
        <v>Чипсы</v>
      </c>
      <c r="J268" s="43">
        <f t="shared" si="2"/>
        <v>273.7254902</v>
      </c>
      <c r="K268" s="44">
        <f t="shared" si="3"/>
        <v>-0.433739255</v>
      </c>
      <c r="L268" s="41" t="str">
        <f>VLOOKUP(B268,'товар'!$A$1:$C$433,3,FALSE)</f>
        <v>Русская картошка</v>
      </c>
      <c r="M268" s="45">
        <f t="shared" si="4"/>
        <v>241.8333333</v>
      </c>
      <c r="N268" s="46">
        <f>VLOOKUP(H268,'клиенты'!$A$1:$F$435,5,FALSE)</f>
        <v>44655</v>
      </c>
      <c r="O268" s="41">
        <f t="shared" si="5"/>
        <v>534</v>
      </c>
      <c r="P268" s="41" t="str">
        <f>VLOOKUP(H268,'клиенты'!$A$2:$J$435,10,FALSE)</f>
        <v>Таджикистан</v>
      </c>
      <c r="Q268" s="47">
        <f t="shared" si="6"/>
        <v>46078.45901</v>
      </c>
      <c r="R268" s="48">
        <f t="shared" si="7"/>
        <v>47.44863372</v>
      </c>
      <c r="S268" s="41"/>
      <c r="T268" s="41"/>
      <c r="U268" s="41"/>
      <c r="V268" s="41"/>
      <c r="W268" s="41"/>
      <c r="X268" s="41"/>
      <c r="Y268" s="41"/>
      <c r="Z268" s="41"/>
    </row>
    <row r="269" ht="14.25" customHeight="1">
      <c r="A269" s="20">
        <v>268.0</v>
      </c>
      <c r="B269" s="20">
        <v>494.0</v>
      </c>
      <c r="C269" s="20">
        <v>214.0</v>
      </c>
      <c r="D269" s="20">
        <v>1.0</v>
      </c>
      <c r="E269" s="20">
        <f t="shared" si="1"/>
        <v>214</v>
      </c>
      <c r="F269" s="49">
        <v>45029.0</v>
      </c>
      <c r="G269" s="20" t="s">
        <v>42</v>
      </c>
      <c r="H269" s="20">
        <v>424.0</v>
      </c>
      <c r="I269" s="20" t="str">
        <f>VLOOKUP(B269,'товар'!$A$1:$C$433,2,FALSE)</f>
        <v>Сыр</v>
      </c>
      <c r="J269" s="50">
        <f t="shared" si="2"/>
        <v>262.6349206</v>
      </c>
      <c r="K269" s="51">
        <f t="shared" si="3"/>
        <v>-0.1851807083</v>
      </c>
      <c r="L269" s="20" t="str">
        <f>VLOOKUP(B269,'товар'!$A$1:$C$433,3,FALSE)</f>
        <v>Сырная долина</v>
      </c>
      <c r="M269" s="52">
        <f t="shared" si="4"/>
        <v>271</v>
      </c>
      <c r="N269" s="53">
        <f>VLOOKUP(H269,'клиенты'!$A$1:$F$435,5,FALSE)</f>
        <v>44585</v>
      </c>
      <c r="O269" s="20">
        <f t="shared" si="5"/>
        <v>444</v>
      </c>
      <c r="P269" s="20" t="str">
        <f>VLOOKUP(H269,'клиенты'!$A$2:$J$435,10,FALSE)</f>
        <v>Россия</v>
      </c>
      <c r="Q269" s="54">
        <f t="shared" si="6"/>
        <v>46078.45901</v>
      </c>
      <c r="R269" s="55">
        <f t="shared" si="7"/>
        <v>49.78196706</v>
      </c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41">
        <v>269.0</v>
      </c>
      <c r="B270" s="41">
        <v>464.0</v>
      </c>
      <c r="C270" s="41">
        <v>290.0</v>
      </c>
      <c r="D270" s="41">
        <v>3.0</v>
      </c>
      <c r="E270" s="41">
        <f t="shared" si="1"/>
        <v>870</v>
      </c>
      <c r="F270" s="42">
        <v>45185.0</v>
      </c>
      <c r="G270" s="41" t="s">
        <v>50</v>
      </c>
      <c r="H270" s="41">
        <v>77.0</v>
      </c>
      <c r="I270" s="41" t="str">
        <f>VLOOKUP(B270,'товар'!$A$1:$C$433,2,FALSE)</f>
        <v>Сыр</v>
      </c>
      <c r="J270" s="43">
        <f t="shared" si="2"/>
        <v>262.6349206</v>
      </c>
      <c r="K270" s="44">
        <f t="shared" si="3"/>
        <v>0.1041943672</v>
      </c>
      <c r="L270" s="41" t="str">
        <f>VLOOKUP(B270,'товар'!$A$1:$C$433,3,FALSE)</f>
        <v>Сырная долина</v>
      </c>
      <c r="M270" s="45">
        <f t="shared" si="4"/>
        <v>271</v>
      </c>
      <c r="N270" s="46">
        <f>VLOOKUP(H270,'клиенты'!$A$1:$F$435,5,FALSE)</f>
        <v>44644</v>
      </c>
      <c r="O270" s="41">
        <f t="shared" si="5"/>
        <v>541</v>
      </c>
      <c r="P270" s="41" t="str">
        <f>VLOOKUP(H270,'клиенты'!$A$2:$J$435,10,FALSE)</f>
        <v>Россия</v>
      </c>
      <c r="Q270" s="47">
        <f t="shared" si="6"/>
        <v>46078.45901</v>
      </c>
      <c r="R270" s="48">
        <f t="shared" si="7"/>
        <v>47.81530039</v>
      </c>
      <c r="S270" s="41"/>
      <c r="T270" s="41"/>
      <c r="U270" s="41"/>
      <c r="V270" s="41"/>
      <c r="W270" s="41"/>
      <c r="X270" s="41"/>
      <c r="Y270" s="41"/>
      <c r="Z270" s="41"/>
    </row>
    <row r="271" ht="14.25" customHeight="1">
      <c r="A271" s="20">
        <v>270.0</v>
      </c>
      <c r="B271" s="20">
        <v>462.0</v>
      </c>
      <c r="C271" s="20">
        <v>271.0</v>
      </c>
      <c r="D271" s="20">
        <v>2.0</v>
      </c>
      <c r="E271" s="20">
        <f t="shared" si="1"/>
        <v>542</v>
      </c>
      <c r="F271" s="49">
        <v>44976.0</v>
      </c>
      <c r="G271" s="20" t="s">
        <v>45</v>
      </c>
      <c r="H271" s="20">
        <v>192.0</v>
      </c>
      <c r="I271" s="20" t="str">
        <f>VLOOKUP(B271,'товар'!$A$1:$C$433,2,FALSE)</f>
        <v>Рис</v>
      </c>
      <c r="J271" s="50">
        <f t="shared" si="2"/>
        <v>258.375</v>
      </c>
      <c r="K271" s="51">
        <f t="shared" si="3"/>
        <v>0.0488630866</v>
      </c>
      <c r="L271" s="20" t="str">
        <f>VLOOKUP(B271,'товар'!$A$1:$C$433,3,FALSE)</f>
        <v>Белый Злат</v>
      </c>
      <c r="M271" s="52">
        <f t="shared" si="4"/>
        <v>269.7058824</v>
      </c>
      <c r="N271" s="53">
        <f>VLOOKUP(H271,'клиенты'!$A$1:$F$435,5,FALSE)</f>
        <v>44572</v>
      </c>
      <c r="O271" s="20">
        <f t="shared" si="5"/>
        <v>404</v>
      </c>
      <c r="P271" s="20" t="str">
        <f>VLOOKUP(H271,'клиенты'!$A$2:$J$435,10,FALSE)</f>
        <v>Россия</v>
      </c>
      <c r="Q271" s="54">
        <f t="shared" si="6"/>
        <v>46078.45901</v>
      </c>
      <c r="R271" s="55">
        <f t="shared" si="7"/>
        <v>50.21530039</v>
      </c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41">
        <v>271.0</v>
      </c>
      <c r="B272" s="41">
        <v>102.0</v>
      </c>
      <c r="C272" s="41">
        <v>326.0</v>
      </c>
      <c r="D272" s="41">
        <v>2.0</v>
      </c>
      <c r="E272" s="41">
        <f t="shared" si="1"/>
        <v>652</v>
      </c>
      <c r="F272" s="42">
        <v>45142.0</v>
      </c>
      <c r="G272" s="41" t="s">
        <v>49</v>
      </c>
      <c r="H272" s="41">
        <v>130.0</v>
      </c>
      <c r="I272" s="41" t="str">
        <f>VLOOKUP(B272,'товар'!$A$1:$C$433,2,FALSE)</f>
        <v>Печенье</v>
      </c>
      <c r="J272" s="43">
        <f t="shared" si="2"/>
        <v>283.4680851</v>
      </c>
      <c r="K272" s="44">
        <f t="shared" si="3"/>
        <v>0.150041282</v>
      </c>
      <c r="L272" s="41" t="str">
        <f>VLOOKUP(B272,'товар'!$A$1:$C$433,3,FALSE)</f>
        <v>Белогорье</v>
      </c>
      <c r="M272" s="45">
        <f t="shared" si="4"/>
        <v>249.5</v>
      </c>
      <c r="N272" s="46">
        <f>VLOOKUP(H272,'клиенты'!$A$1:$F$435,5,FALSE)</f>
        <v>44863</v>
      </c>
      <c r="O272" s="41">
        <f t="shared" si="5"/>
        <v>279</v>
      </c>
      <c r="P272" s="41" t="str">
        <f>VLOOKUP(H272,'клиенты'!$A$2:$J$435,10,FALSE)</f>
        <v>Таджикистан</v>
      </c>
      <c r="Q272" s="47">
        <f t="shared" si="6"/>
        <v>46078.45901</v>
      </c>
      <c r="R272" s="48">
        <f t="shared" si="7"/>
        <v>40.51530039</v>
      </c>
      <c r="S272" s="41"/>
      <c r="T272" s="41"/>
      <c r="U272" s="41"/>
      <c r="V272" s="41"/>
      <c r="W272" s="41"/>
      <c r="X272" s="41"/>
      <c r="Y272" s="41"/>
      <c r="Z272" s="41"/>
    </row>
    <row r="273" ht="14.25" customHeight="1">
      <c r="A273" s="20">
        <v>272.0</v>
      </c>
      <c r="B273" s="20">
        <v>345.0</v>
      </c>
      <c r="C273" s="20">
        <v>420.0</v>
      </c>
      <c r="D273" s="20">
        <v>2.0</v>
      </c>
      <c r="E273" s="20">
        <f t="shared" si="1"/>
        <v>840</v>
      </c>
      <c r="F273" s="49">
        <v>45037.0</v>
      </c>
      <c r="G273" s="20" t="s">
        <v>39</v>
      </c>
      <c r="H273" s="20">
        <v>308.0</v>
      </c>
      <c r="I273" s="20" t="str">
        <f>VLOOKUP(B273,'товар'!$A$1:$C$433,2,FALSE)</f>
        <v>Конфеты</v>
      </c>
      <c r="J273" s="50">
        <f t="shared" si="2"/>
        <v>267.8548387</v>
      </c>
      <c r="K273" s="51">
        <f t="shared" si="3"/>
        <v>0.5680134883</v>
      </c>
      <c r="L273" s="20" t="str">
        <f>VLOOKUP(B273,'товар'!$A$1:$C$433,3,FALSE)</f>
        <v>Рот Фронт</v>
      </c>
      <c r="M273" s="52">
        <f t="shared" si="4"/>
        <v>288.2380952</v>
      </c>
      <c r="N273" s="53">
        <f>VLOOKUP(H273,'клиенты'!$A$1:$F$435,5,FALSE)</f>
        <v>44562</v>
      </c>
      <c r="O273" s="20">
        <f t="shared" si="5"/>
        <v>475</v>
      </c>
      <c r="P273" s="20" t="str">
        <f>VLOOKUP(H273,'клиенты'!$A$2:$J$435,10,FALSE)</f>
        <v>Беларусь</v>
      </c>
      <c r="Q273" s="54">
        <f t="shared" si="6"/>
        <v>46078.45901</v>
      </c>
      <c r="R273" s="55">
        <f t="shared" si="7"/>
        <v>50.54863372</v>
      </c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41">
        <v>273.0</v>
      </c>
      <c r="B274" s="41">
        <v>445.0</v>
      </c>
      <c r="C274" s="41">
        <v>71.0</v>
      </c>
      <c r="D274" s="41">
        <v>4.0</v>
      </c>
      <c r="E274" s="41">
        <f t="shared" si="1"/>
        <v>284</v>
      </c>
      <c r="F274" s="42">
        <v>45250.0</v>
      </c>
      <c r="G274" s="41" t="s">
        <v>36</v>
      </c>
      <c r="H274" s="41">
        <v>455.0</v>
      </c>
      <c r="I274" s="41" t="str">
        <f>VLOOKUP(B274,'товар'!$A$1:$C$433,2,FALSE)</f>
        <v>Сахар</v>
      </c>
      <c r="J274" s="43">
        <f t="shared" si="2"/>
        <v>252.7627119</v>
      </c>
      <c r="K274" s="44">
        <f t="shared" si="3"/>
        <v>-0.7191041373</v>
      </c>
      <c r="L274" s="41" t="str">
        <f>VLOOKUP(B274,'товар'!$A$1:$C$433,3,FALSE)</f>
        <v>Сладов</v>
      </c>
      <c r="M274" s="45">
        <f t="shared" si="4"/>
        <v>240.2666667</v>
      </c>
      <c r="N274" s="46">
        <f>VLOOKUP(H274,'клиенты'!$A$1:$F$435,5,FALSE)</f>
        <v>44820</v>
      </c>
      <c r="O274" s="41">
        <f t="shared" si="5"/>
        <v>430</v>
      </c>
      <c r="P274" s="41" t="str">
        <f>VLOOKUP(H274,'клиенты'!$A$2:$J$435,10,FALSE)</f>
        <v>Украина</v>
      </c>
      <c r="Q274" s="47">
        <f t="shared" si="6"/>
        <v>46078.45901</v>
      </c>
      <c r="R274" s="48">
        <f t="shared" si="7"/>
        <v>41.94863372</v>
      </c>
      <c r="S274" s="41"/>
      <c r="T274" s="41"/>
      <c r="U274" s="41"/>
      <c r="V274" s="41"/>
      <c r="W274" s="41"/>
      <c r="X274" s="41"/>
      <c r="Y274" s="41"/>
      <c r="Z274" s="41"/>
    </row>
    <row r="275" ht="14.25" customHeight="1">
      <c r="A275" s="20">
        <v>274.0</v>
      </c>
      <c r="B275" s="20">
        <v>241.0</v>
      </c>
      <c r="C275" s="20">
        <v>400.0</v>
      </c>
      <c r="D275" s="20">
        <v>3.0</v>
      </c>
      <c r="E275" s="20">
        <f t="shared" si="1"/>
        <v>1200</v>
      </c>
      <c r="F275" s="49">
        <v>45371.0</v>
      </c>
      <c r="G275" s="20" t="s">
        <v>36</v>
      </c>
      <c r="H275" s="20">
        <v>490.0</v>
      </c>
      <c r="I275" s="20" t="str">
        <f>VLOOKUP(B275,'товар'!$A$1:$C$433,2,FALSE)</f>
        <v>Колбаса</v>
      </c>
      <c r="J275" s="50">
        <f t="shared" si="2"/>
        <v>286.9230769</v>
      </c>
      <c r="K275" s="51">
        <f t="shared" si="3"/>
        <v>0.3941018767</v>
      </c>
      <c r="L275" s="20" t="str">
        <f>VLOOKUP(B275,'товар'!$A$1:$C$433,3,FALSE)</f>
        <v>Окраина</v>
      </c>
      <c r="M275" s="52">
        <f t="shared" si="4"/>
        <v>273.5833333</v>
      </c>
      <c r="N275" s="53">
        <f>VLOOKUP(H275,'клиенты'!$A$1:$F$435,5,FALSE)</f>
        <v>44603</v>
      </c>
      <c r="O275" s="20">
        <f t="shared" si="5"/>
        <v>768</v>
      </c>
      <c r="P275" s="20" t="str">
        <f>VLOOKUP(H275,'клиенты'!$A$2:$J$435,10,FALSE)</f>
        <v>Россия</v>
      </c>
      <c r="Q275" s="54">
        <f t="shared" si="6"/>
        <v>46078.45901</v>
      </c>
      <c r="R275" s="55">
        <f t="shared" si="7"/>
        <v>49.18196706</v>
      </c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41">
        <v>275.0</v>
      </c>
      <c r="B276" s="41">
        <v>258.0</v>
      </c>
      <c r="C276" s="41">
        <v>109.0</v>
      </c>
      <c r="D276" s="41">
        <v>2.0</v>
      </c>
      <c r="E276" s="41">
        <f t="shared" si="1"/>
        <v>218</v>
      </c>
      <c r="F276" s="42">
        <v>45416.0</v>
      </c>
      <c r="G276" s="41" t="s">
        <v>37</v>
      </c>
      <c r="H276" s="41">
        <v>480.0</v>
      </c>
      <c r="I276" s="41" t="str">
        <f>VLOOKUP(B276,'товар'!$A$1:$C$433,2,FALSE)</f>
        <v>Рыба</v>
      </c>
      <c r="J276" s="43">
        <f t="shared" si="2"/>
        <v>258.5128205</v>
      </c>
      <c r="K276" s="44">
        <f t="shared" si="3"/>
        <v>-0.5783574688</v>
      </c>
      <c r="L276" s="41" t="str">
        <f>VLOOKUP(B276,'товар'!$A$1:$C$433,3,FALSE)</f>
        <v>Санта Бремор</v>
      </c>
      <c r="M276" s="45">
        <f t="shared" si="4"/>
        <v>216.4</v>
      </c>
      <c r="N276" s="46">
        <f>VLOOKUP(H276,'клиенты'!$A$1:$F$435,5,FALSE)</f>
        <v>44568</v>
      </c>
      <c r="O276" s="41">
        <f t="shared" si="5"/>
        <v>848</v>
      </c>
      <c r="P276" s="41" t="str">
        <f>VLOOKUP(H276,'клиенты'!$A$2:$J$435,10,FALSE)</f>
        <v>Узбекистан</v>
      </c>
      <c r="Q276" s="47">
        <f t="shared" si="6"/>
        <v>46078.45901</v>
      </c>
      <c r="R276" s="48">
        <f t="shared" si="7"/>
        <v>50.34863372</v>
      </c>
      <c r="S276" s="41"/>
      <c r="T276" s="41"/>
      <c r="U276" s="41"/>
      <c r="V276" s="41"/>
      <c r="W276" s="41"/>
      <c r="X276" s="41"/>
      <c r="Y276" s="41"/>
      <c r="Z276" s="41"/>
    </row>
    <row r="277" ht="14.25" customHeight="1">
      <c r="A277" s="20">
        <v>276.0</v>
      </c>
      <c r="B277" s="20">
        <v>376.0</v>
      </c>
      <c r="C277" s="20">
        <v>217.0</v>
      </c>
      <c r="D277" s="20">
        <v>1.0</v>
      </c>
      <c r="E277" s="20">
        <f t="shared" si="1"/>
        <v>217</v>
      </c>
      <c r="F277" s="49">
        <v>45199.0</v>
      </c>
      <c r="G277" s="20" t="s">
        <v>53</v>
      </c>
      <c r="H277" s="20">
        <v>321.0</v>
      </c>
      <c r="I277" s="20" t="str">
        <f>VLOOKUP(B277,'товар'!$A$1:$C$433,2,FALSE)</f>
        <v>Конфеты</v>
      </c>
      <c r="J277" s="50">
        <f t="shared" si="2"/>
        <v>267.8548387</v>
      </c>
      <c r="K277" s="51">
        <f t="shared" si="3"/>
        <v>-0.1898596977</v>
      </c>
      <c r="L277" s="20" t="str">
        <f>VLOOKUP(B277,'товар'!$A$1:$C$433,3,FALSE)</f>
        <v>Красный Октябрь</v>
      </c>
      <c r="M277" s="52">
        <f t="shared" si="4"/>
        <v>273.625</v>
      </c>
      <c r="N277" s="53">
        <f>VLOOKUP(H277,'клиенты'!$A$1:$F$435,5,FALSE)</f>
        <v>44756</v>
      </c>
      <c r="O277" s="20">
        <f t="shared" si="5"/>
        <v>443</v>
      </c>
      <c r="P277" s="20" t="str">
        <f>VLOOKUP(H277,'клиенты'!$A$2:$J$435,10,FALSE)</f>
        <v>Таджикистан</v>
      </c>
      <c r="Q277" s="54">
        <f t="shared" si="6"/>
        <v>46078.45901</v>
      </c>
      <c r="R277" s="55">
        <f t="shared" si="7"/>
        <v>44.08196706</v>
      </c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41">
        <v>277.0</v>
      </c>
      <c r="B278" s="41">
        <v>7.0</v>
      </c>
      <c r="C278" s="41">
        <v>104.0</v>
      </c>
      <c r="D278" s="41">
        <v>1.0</v>
      </c>
      <c r="E278" s="41">
        <f t="shared" si="1"/>
        <v>104</v>
      </c>
      <c r="F278" s="42">
        <v>44989.0</v>
      </c>
      <c r="G278" s="41" t="s">
        <v>41</v>
      </c>
      <c r="H278" s="41">
        <v>496.0</v>
      </c>
      <c r="I278" s="41" t="str">
        <f>VLOOKUP(B278,'товар'!$A$1:$C$433,2,FALSE)</f>
        <v>Сыр</v>
      </c>
      <c r="J278" s="43">
        <f t="shared" si="2"/>
        <v>262.6349206</v>
      </c>
      <c r="K278" s="44">
        <f t="shared" si="3"/>
        <v>-0.6040130545</v>
      </c>
      <c r="L278" s="41" t="str">
        <f>VLOOKUP(B278,'товар'!$A$1:$C$433,3,FALSE)</f>
        <v>President</v>
      </c>
      <c r="M278" s="45">
        <f t="shared" si="4"/>
        <v>238.7222222</v>
      </c>
      <c r="N278" s="46">
        <f>VLOOKUP(H278,'клиенты'!$A$1:$F$435,5,FALSE)</f>
        <v>44867</v>
      </c>
      <c r="O278" s="41">
        <f t="shared" si="5"/>
        <v>122</v>
      </c>
      <c r="P278" s="41" t="str">
        <f>VLOOKUP(H278,'клиенты'!$A$2:$J$435,10,FALSE)</f>
        <v>Украина</v>
      </c>
      <c r="Q278" s="47">
        <f t="shared" si="6"/>
        <v>46078.45901</v>
      </c>
      <c r="R278" s="48">
        <f t="shared" si="7"/>
        <v>40.38196706</v>
      </c>
      <c r="S278" s="41"/>
      <c r="T278" s="41"/>
      <c r="U278" s="41"/>
      <c r="V278" s="41"/>
      <c r="W278" s="41"/>
      <c r="X278" s="41"/>
      <c r="Y278" s="41"/>
      <c r="Z278" s="41"/>
    </row>
    <row r="279" ht="14.25" customHeight="1">
      <c r="A279" s="20">
        <v>278.0</v>
      </c>
      <c r="B279" s="20">
        <v>428.0</v>
      </c>
      <c r="C279" s="20">
        <v>428.0</v>
      </c>
      <c r="D279" s="20">
        <v>4.0</v>
      </c>
      <c r="E279" s="20">
        <f t="shared" si="1"/>
        <v>1712</v>
      </c>
      <c r="F279" s="49">
        <v>45123.0</v>
      </c>
      <c r="G279" s="20" t="s">
        <v>35</v>
      </c>
      <c r="H279" s="20">
        <v>203.0</v>
      </c>
      <c r="I279" s="20" t="str">
        <f>VLOOKUP(B279,'товар'!$A$1:$C$433,2,FALSE)</f>
        <v>Конфеты</v>
      </c>
      <c r="J279" s="50">
        <f t="shared" si="2"/>
        <v>267.8548387</v>
      </c>
      <c r="K279" s="51">
        <f t="shared" si="3"/>
        <v>0.5978804119</v>
      </c>
      <c r="L279" s="20" t="str">
        <f>VLOOKUP(B279,'товар'!$A$1:$C$433,3,FALSE)</f>
        <v>Бабаевский</v>
      </c>
      <c r="M279" s="52">
        <f t="shared" si="4"/>
        <v>250.2592593</v>
      </c>
      <c r="N279" s="53">
        <f>VLOOKUP(H279,'клиенты'!$A$1:$F$435,5,FALSE)</f>
        <v>44685</v>
      </c>
      <c r="O279" s="20">
        <f t="shared" si="5"/>
        <v>438</v>
      </c>
      <c r="P279" s="20" t="str">
        <f>VLOOKUP(H279,'клиенты'!$A$2:$J$435,10,FALSE)</f>
        <v>Россия</v>
      </c>
      <c r="Q279" s="54">
        <f t="shared" si="6"/>
        <v>46078.45901</v>
      </c>
      <c r="R279" s="55">
        <f t="shared" si="7"/>
        <v>46.44863372</v>
      </c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41">
        <v>279.0</v>
      </c>
      <c r="B280" s="41">
        <v>216.0</v>
      </c>
      <c r="C280" s="41">
        <v>83.0</v>
      </c>
      <c r="D280" s="41">
        <v>3.0</v>
      </c>
      <c r="E280" s="41">
        <f t="shared" si="1"/>
        <v>249</v>
      </c>
      <c r="F280" s="42">
        <v>45033.0</v>
      </c>
      <c r="G280" s="41" t="s">
        <v>48</v>
      </c>
      <c r="H280" s="41">
        <v>457.0</v>
      </c>
      <c r="I280" s="41" t="str">
        <f>VLOOKUP(B280,'товар'!$A$1:$C$433,2,FALSE)</f>
        <v>Кофе</v>
      </c>
      <c r="J280" s="43">
        <f t="shared" si="2"/>
        <v>249.0238095</v>
      </c>
      <c r="K280" s="44">
        <f t="shared" si="3"/>
        <v>-0.6666985371</v>
      </c>
      <c r="L280" s="41" t="str">
        <f>VLOOKUP(B280,'товар'!$A$1:$C$433,3,FALSE)</f>
        <v>Черная Карта</v>
      </c>
      <c r="M280" s="45">
        <f t="shared" si="4"/>
        <v>222.2</v>
      </c>
      <c r="N280" s="46">
        <f>VLOOKUP(H280,'клиенты'!$A$1:$F$435,5,FALSE)</f>
        <v>44595</v>
      </c>
      <c r="O280" s="41">
        <f t="shared" si="5"/>
        <v>438</v>
      </c>
      <c r="P280" s="41" t="str">
        <f>VLOOKUP(H280,'клиенты'!$A$2:$J$435,10,FALSE)</f>
        <v>Таджикистан</v>
      </c>
      <c r="Q280" s="47">
        <f t="shared" si="6"/>
        <v>46078.45901</v>
      </c>
      <c r="R280" s="48">
        <f t="shared" si="7"/>
        <v>49.44863372</v>
      </c>
      <c r="S280" s="41"/>
      <c r="T280" s="41"/>
      <c r="U280" s="41"/>
      <c r="V280" s="41"/>
      <c r="W280" s="41"/>
      <c r="X280" s="41"/>
      <c r="Y280" s="41"/>
      <c r="Z280" s="41"/>
    </row>
    <row r="281" ht="14.25" customHeight="1">
      <c r="A281" s="20">
        <v>280.0</v>
      </c>
      <c r="B281" s="20">
        <v>272.0</v>
      </c>
      <c r="C281" s="20">
        <v>113.0</v>
      </c>
      <c r="D281" s="20">
        <v>3.0</v>
      </c>
      <c r="E281" s="20">
        <f t="shared" si="1"/>
        <v>339</v>
      </c>
      <c r="F281" s="49">
        <v>45019.0</v>
      </c>
      <c r="G281" s="20" t="s">
        <v>44</v>
      </c>
      <c r="H281" s="20">
        <v>21.0</v>
      </c>
      <c r="I281" s="20" t="str">
        <f>VLOOKUP(B281,'товар'!$A$1:$C$433,2,FALSE)</f>
        <v>Крупа</v>
      </c>
      <c r="J281" s="50">
        <f t="shared" si="2"/>
        <v>255.1162791</v>
      </c>
      <c r="K281" s="51">
        <f t="shared" si="3"/>
        <v>-0.557064722</v>
      </c>
      <c r="L281" s="20" t="str">
        <f>VLOOKUP(B281,'товар'!$A$1:$C$433,3,FALSE)</f>
        <v>Ярмарка</v>
      </c>
      <c r="M281" s="52">
        <f t="shared" si="4"/>
        <v>252.0909091</v>
      </c>
      <c r="N281" s="53">
        <f>VLOOKUP(H281,'клиенты'!$A$1:$F$435,5,FALSE)</f>
        <v>44881</v>
      </c>
      <c r="O281" s="20">
        <f t="shared" si="5"/>
        <v>138</v>
      </c>
      <c r="P281" s="20" t="str">
        <f>VLOOKUP(H281,'клиенты'!$A$2:$J$435,10,FALSE)</f>
        <v>Беларусь</v>
      </c>
      <c r="Q281" s="54">
        <f t="shared" si="6"/>
        <v>46078.45901</v>
      </c>
      <c r="R281" s="55">
        <f t="shared" si="7"/>
        <v>39.91530039</v>
      </c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41">
        <v>281.0</v>
      </c>
      <c r="B282" s="41">
        <v>236.0</v>
      </c>
      <c r="C282" s="41">
        <v>221.0</v>
      </c>
      <c r="D282" s="41">
        <v>4.0</v>
      </c>
      <c r="E282" s="41">
        <f t="shared" si="1"/>
        <v>884</v>
      </c>
      <c r="F282" s="42">
        <v>45166.0</v>
      </c>
      <c r="G282" s="41" t="s">
        <v>39</v>
      </c>
      <c r="H282" s="41">
        <v>333.0</v>
      </c>
      <c r="I282" s="41" t="str">
        <f>VLOOKUP(B282,'товар'!$A$1:$C$433,2,FALSE)</f>
        <v>Печенье</v>
      </c>
      <c r="J282" s="43">
        <f t="shared" si="2"/>
        <v>283.4680851</v>
      </c>
      <c r="K282" s="44">
        <f t="shared" si="3"/>
        <v>-0.2203707874</v>
      </c>
      <c r="L282" s="41" t="str">
        <f>VLOOKUP(B282,'товар'!$A$1:$C$433,3,FALSE)</f>
        <v>Посиделкино</v>
      </c>
      <c r="M282" s="45">
        <f t="shared" si="4"/>
        <v>321.6363636</v>
      </c>
      <c r="N282" s="46">
        <f>VLOOKUP(H282,'клиенты'!$A$1:$F$435,5,FALSE)</f>
        <v>44857</v>
      </c>
      <c r="O282" s="41">
        <f t="shared" si="5"/>
        <v>309</v>
      </c>
      <c r="P282" s="41" t="str">
        <f>VLOOKUP(H282,'клиенты'!$A$2:$J$435,10,FALSE)</f>
        <v>Россия</v>
      </c>
      <c r="Q282" s="47">
        <f t="shared" si="6"/>
        <v>46078.45901</v>
      </c>
      <c r="R282" s="48">
        <f t="shared" si="7"/>
        <v>40.71530039</v>
      </c>
      <c r="S282" s="41"/>
      <c r="T282" s="41"/>
      <c r="U282" s="41"/>
      <c r="V282" s="41"/>
      <c r="W282" s="41"/>
      <c r="X282" s="41"/>
      <c r="Y282" s="41"/>
      <c r="Z282" s="41"/>
    </row>
    <row r="283" ht="14.25" customHeight="1">
      <c r="A283" s="20">
        <v>282.0</v>
      </c>
      <c r="B283" s="20">
        <v>225.0</v>
      </c>
      <c r="C283" s="20">
        <v>114.0</v>
      </c>
      <c r="D283" s="20">
        <v>3.0</v>
      </c>
      <c r="E283" s="20">
        <f t="shared" si="1"/>
        <v>342</v>
      </c>
      <c r="F283" s="49">
        <v>45126.0</v>
      </c>
      <c r="G283" s="20" t="s">
        <v>41</v>
      </c>
      <c r="H283" s="20">
        <v>405.0</v>
      </c>
      <c r="I283" s="20" t="str">
        <f>VLOOKUP(B283,'товар'!$A$1:$C$433,2,FALSE)</f>
        <v>Соль</v>
      </c>
      <c r="J283" s="50">
        <f t="shared" si="2"/>
        <v>264.8679245</v>
      </c>
      <c r="K283" s="51">
        <f t="shared" si="3"/>
        <v>-0.5695968087</v>
      </c>
      <c r="L283" s="20" t="str">
        <f>VLOOKUP(B283,'товар'!$A$1:$C$433,3,FALSE)</f>
        <v>Илецкая</v>
      </c>
      <c r="M283" s="52">
        <f t="shared" si="4"/>
        <v>238.1666667</v>
      </c>
      <c r="N283" s="53">
        <f>VLOOKUP(H283,'клиенты'!$A$1:$F$435,5,FALSE)</f>
        <v>44798</v>
      </c>
      <c r="O283" s="20">
        <f t="shared" si="5"/>
        <v>328</v>
      </c>
      <c r="P283" s="20" t="str">
        <f>VLOOKUP(H283,'клиенты'!$A$2:$J$435,10,FALSE)</f>
        <v>Украина</v>
      </c>
      <c r="Q283" s="54">
        <f t="shared" si="6"/>
        <v>46078.45901</v>
      </c>
      <c r="R283" s="55">
        <f t="shared" si="7"/>
        <v>42.68196706</v>
      </c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41">
        <v>283.0</v>
      </c>
      <c r="B284" s="41">
        <v>167.0</v>
      </c>
      <c r="C284" s="41">
        <v>488.0</v>
      </c>
      <c r="D284" s="41">
        <v>3.0</v>
      </c>
      <c r="E284" s="41">
        <f t="shared" si="1"/>
        <v>1464</v>
      </c>
      <c r="F284" s="42">
        <v>45164.0</v>
      </c>
      <c r="G284" s="41" t="s">
        <v>45</v>
      </c>
      <c r="H284" s="41">
        <v>32.0</v>
      </c>
      <c r="I284" s="41" t="str">
        <f>VLOOKUP(B284,'товар'!$A$1:$C$433,2,FALSE)</f>
        <v>Мясо</v>
      </c>
      <c r="J284" s="43">
        <f t="shared" si="2"/>
        <v>271.7454545</v>
      </c>
      <c r="K284" s="44">
        <f t="shared" si="3"/>
        <v>0.7957982069</v>
      </c>
      <c r="L284" s="41" t="str">
        <f>VLOOKUP(B284,'товар'!$A$1:$C$433,3,FALSE)</f>
        <v>Сава</v>
      </c>
      <c r="M284" s="45">
        <f t="shared" si="4"/>
        <v>212.8125</v>
      </c>
      <c r="N284" s="46">
        <f>VLOOKUP(H284,'клиенты'!$A$1:$F$435,5,FALSE)</f>
        <v>44922</v>
      </c>
      <c r="O284" s="41">
        <f t="shared" si="5"/>
        <v>242</v>
      </c>
      <c r="P284" s="41" t="str">
        <f>VLOOKUP(H284,'клиенты'!$A$2:$J$435,10,FALSE)</f>
        <v>Узбекистан</v>
      </c>
      <c r="Q284" s="47">
        <f t="shared" si="6"/>
        <v>46078.45901</v>
      </c>
      <c r="R284" s="48">
        <f t="shared" si="7"/>
        <v>38.54863372</v>
      </c>
      <c r="S284" s="41"/>
      <c r="T284" s="41"/>
      <c r="U284" s="41"/>
      <c r="V284" s="41"/>
      <c r="W284" s="41"/>
      <c r="X284" s="41"/>
      <c r="Y284" s="41"/>
      <c r="Z284" s="41"/>
    </row>
    <row r="285" ht="14.25" customHeight="1">
      <c r="A285" s="20">
        <v>284.0</v>
      </c>
      <c r="B285" s="20">
        <v>467.0</v>
      </c>
      <c r="C285" s="20">
        <v>421.0</v>
      </c>
      <c r="D285" s="20">
        <v>5.0</v>
      </c>
      <c r="E285" s="20">
        <f t="shared" si="1"/>
        <v>2105</v>
      </c>
      <c r="F285" s="49">
        <v>45070.0</v>
      </c>
      <c r="G285" s="20" t="s">
        <v>42</v>
      </c>
      <c r="H285" s="20">
        <v>334.0</v>
      </c>
      <c r="I285" s="20" t="str">
        <f>VLOOKUP(B285,'товар'!$A$1:$C$433,2,FALSE)</f>
        <v>Макароны</v>
      </c>
      <c r="J285" s="50">
        <f t="shared" si="2"/>
        <v>265.4767442</v>
      </c>
      <c r="K285" s="51">
        <f t="shared" si="3"/>
        <v>0.5858262888</v>
      </c>
      <c r="L285" s="20" t="str">
        <f>VLOOKUP(B285,'товар'!$A$1:$C$433,3,FALSE)</f>
        <v>Борилла</v>
      </c>
      <c r="M285" s="52">
        <f t="shared" si="4"/>
        <v>236.2758621</v>
      </c>
      <c r="N285" s="53">
        <f>VLOOKUP(H285,'клиенты'!$A$1:$F$435,5,FALSE)</f>
        <v>44881</v>
      </c>
      <c r="O285" s="20">
        <f t="shared" si="5"/>
        <v>189</v>
      </c>
      <c r="P285" s="20" t="str">
        <f>VLOOKUP(H285,'клиенты'!$A$2:$J$435,10,FALSE)</f>
        <v>Украина</v>
      </c>
      <c r="Q285" s="54">
        <f t="shared" si="6"/>
        <v>46078.45901</v>
      </c>
      <c r="R285" s="55">
        <f t="shared" si="7"/>
        <v>39.91530039</v>
      </c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41">
        <v>285.0</v>
      </c>
      <c r="B286" s="41">
        <v>430.0</v>
      </c>
      <c r="C286" s="41">
        <v>380.0</v>
      </c>
      <c r="D286" s="41">
        <v>1.0</v>
      </c>
      <c r="E286" s="41">
        <f t="shared" si="1"/>
        <v>380</v>
      </c>
      <c r="F286" s="42">
        <v>45391.0</v>
      </c>
      <c r="G286" s="41" t="s">
        <v>40</v>
      </c>
      <c r="H286" s="41">
        <v>449.0</v>
      </c>
      <c r="I286" s="41" t="str">
        <f>VLOOKUP(B286,'товар'!$A$1:$C$433,2,FALSE)</f>
        <v>Чай</v>
      </c>
      <c r="J286" s="43">
        <f t="shared" si="2"/>
        <v>271.1818182</v>
      </c>
      <c r="K286" s="44">
        <f t="shared" si="3"/>
        <v>0.4012738854</v>
      </c>
      <c r="L286" s="41" t="str">
        <f>VLOOKUP(B286,'товар'!$A$1:$C$433,3,FALSE)</f>
        <v>Ахмад</v>
      </c>
      <c r="M286" s="45">
        <f t="shared" si="4"/>
        <v>243.3</v>
      </c>
      <c r="N286" s="46">
        <f>VLOOKUP(H286,'клиенты'!$A$1:$F$435,5,FALSE)</f>
        <v>44645</v>
      </c>
      <c r="O286" s="41">
        <f t="shared" si="5"/>
        <v>746</v>
      </c>
      <c r="P286" s="41" t="str">
        <f>VLOOKUP(H286,'клиенты'!$A$2:$J$435,10,FALSE)</f>
        <v>Таджикистан</v>
      </c>
      <c r="Q286" s="47">
        <f t="shared" si="6"/>
        <v>46078.45901</v>
      </c>
      <c r="R286" s="48">
        <f t="shared" si="7"/>
        <v>47.78196706</v>
      </c>
      <c r="S286" s="41"/>
      <c r="T286" s="41"/>
      <c r="U286" s="41"/>
      <c r="V286" s="41"/>
      <c r="W286" s="41"/>
      <c r="X286" s="41"/>
      <c r="Y286" s="41"/>
      <c r="Z286" s="41"/>
    </row>
    <row r="287" ht="14.25" customHeight="1">
      <c r="A287" s="20">
        <v>286.0</v>
      </c>
      <c r="B287" s="20">
        <v>139.0</v>
      </c>
      <c r="C287" s="20">
        <v>232.0</v>
      </c>
      <c r="D287" s="20">
        <v>3.0</v>
      </c>
      <c r="E287" s="20">
        <f t="shared" si="1"/>
        <v>696</v>
      </c>
      <c r="F287" s="49">
        <v>45197.0</v>
      </c>
      <c r="G287" s="20" t="s">
        <v>47</v>
      </c>
      <c r="H287" s="20">
        <v>302.0</v>
      </c>
      <c r="I287" s="20" t="str">
        <f>VLOOKUP(B287,'товар'!$A$1:$C$433,2,FALSE)</f>
        <v>Йогурт</v>
      </c>
      <c r="J287" s="50">
        <f t="shared" si="2"/>
        <v>263.2542373</v>
      </c>
      <c r="K287" s="51">
        <f t="shared" si="3"/>
        <v>-0.1187226371</v>
      </c>
      <c r="L287" s="20" t="str">
        <f>VLOOKUP(B287,'товар'!$A$1:$C$433,3,FALSE)</f>
        <v>Ростагроэкспорт</v>
      </c>
      <c r="M287" s="52">
        <f t="shared" si="4"/>
        <v>257.7826087</v>
      </c>
      <c r="N287" s="53">
        <f>VLOOKUP(H287,'клиенты'!$A$1:$F$435,5,FALSE)</f>
        <v>44859</v>
      </c>
      <c r="O287" s="20">
        <f t="shared" si="5"/>
        <v>338</v>
      </c>
      <c r="P287" s="20" t="str">
        <f>VLOOKUP(H287,'клиенты'!$A$2:$J$435,10,FALSE)</f>
        <v>Россия</v>
      </c>
      <c r="Q287" s="54">
        <f t="shared" si="6"/>
        <v>46078.45901</v>
      </c>
      <c r="R287" s="55">
        <f t="shared" si="7"/>
        <v>40.64863372</v>
      </c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41">
        <v>287.0</v>
      </c>
      <c r="B288" s="41">
        <v>351.0</v>
      </c>
      <c r="C288" s="41">
        <v>93.0</v>
      </c>
      <c r="D288" s="41">
        <v>3.0</v>
      </c>
      <c r="E288" s="41">
        <f t="shared" si="1"/>
        <v>279</v>
      </c>
      <c r="F288" s="42">
        <v>45392.0</v>
      </c>
      <c r="G288" s="41" t="s">
        <v>38</v>
      </c>
      <c r="H288" s="41">
        <v>341.0</v>
      </c>
      <c r="I288" s="41" t="str">
        <f>VLOOKUP(B288,'товар'!$A$1:$C$433,2,FALSE)</f>
        <v>Чипсы</v>
      </c>
      <c r="J288" s="43">
        <f t="shared" si="2"/>
        <v>273.7254902</v>
      </c>
      <c r="K288" s="44">
        <f t="shared" si="3"/>
        <v>-0.660243553</v>
      </c>
      <c r="L288" s="41" t="str">
        <f>VLOOKUP(B288,'товар'!$A$1:$C$433,3,FALSE)</f>
        <v>Русская картошка</v>
      </c>
      <c r="M288" s="45">
        <f t="shared" si="4"/>
        <v>241.8333333</v>
      </c>
      <c r="N288" s="46">
        <f>VLOOKUP(H288,'клиенты'!$A$1:$F$435,5,FALSE)</f>
        <v>44724</v>
      </c>
      <c r="O288" s="41">
        <f t="shared" si="5"/>
        <v>668</v>
      </c>
      <c r="P288" s="41" t="str">
        <f>VLOOKUP(H288,'клиенты'!$A$2:$J$435,10,FALSE)</f>
        <v>Россия</v>
      </c>
      <c r="Q288" s="47">
        <f t="shared" si="6"/>
        <v>46078.45901</v>
      </c>
      <c r="R288" s="48">
        <f t="shared" si="7"/>
        <v>45.14863372</v>
      </c>
      <c r="S288" s="41"/>
      <c r="T288" s="41"/>
      <c r="U288" s="41"/>
      <c r="V288" s="41"/>
      <c r="W288" s="41"/>
      <c r="X288" s="41"/>
      <c r="Y288" s="41"/>
      <c r="Z288" s="41"/>
    </row>
    <row r="289" ht="14.25" customHeight="1">
      <c r="A289" s="20">
        <v>288.0</v>
      </c>
      <c r="B289" s="20">
        <v>404.0</v>
      </c>
      <c r="C289" s="20">
        <v>136.0</v>
      </c>
      <c r="D289" s="20">
        <v>2.0</v>
      </c>
      <c r="E289" s="20">
        <f t="shared" si="1"/>
        <v>272</v>
      </c>
      <c r="F289" s="49">
        <v>45287.0</v>
      </c>
      <c r="G289" s="20" t="s">
        <v>52</v>
      </c>
      <c r="H289" s="20">
        <v>62.0</v>
      </c>
      <c r="I289" s="20" t="str">
        <f>VLOOKUP(B289,'товар'!$A$1:$C$433,2,FALSE)</f>
        <v>Йогурт</v>
      </c>
      <c r="J289" s="50">
        <f t="shared" si="2"/>
        <v>263.2542373</v>
      </c>
      <c r="K289" s="51">
        <f t="shared" si="3"/>
        <v>-0.4833891321</v>
      </c>
      <c r="L289" s="20" t="str">
        <f>VLOOKUP(B289,'товар'!$A$1:$C$433,3,FALSE)</f>
        <v>Ростагроэкспорт</v>
      </c>
      <c r="M289" s="52">
        <f t="shared" si="4"/>
        <v>257.7826087</v>
      </c>
      <c r="N289" s="53">
        <f>VLOOKUP(H289,'клиенты'!$A$1:$F$435,5,FALSE)</f>
        <v>44671</v>
      </c>
      <c r="O289" s="20">
        <f t="shared" si="5"/>
        <v>616</v>
      </c>
      <c r="P289" s="20" t="str">
        <f>VLOOKUP(H289,'клиенты'!$A$2:$J$435,10,FALSE)</f>
        <v>Россия</v>
      </c>
      <c r="Q289" s="54">
        <f t="shared" si="6"/>
        <v>46078.45901</v>
      </c>
      <c r="R289" s="55">
        <f t="shared" si="7"/>
        <v>46.91530039</v>
      </c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41">
        <v>289.0</v>
      </c>
      <c r="B290" s="41">
        <v>237.0</v>
      </c>
      <c r="C290" s="41">
        <v>157.0</v>
      </c>
      <c r="D290" s="41">
        <v>5.0</v>
      </c>
      <c r="E290" s="41">
        <f t="shared" si="1"/>
        <v>785</v>
      </c>
      <c r="F290" s="42">
        <v>44946.0</v>
      </c>
      <c r="G290" s="41" t="s">
        <v>49</v>
      </c>
      <c r="H290" s="41">
        <v>366.0</v>
      </c>
      <c r="I290" s="41" t="str">
        <f>VLOOKUP(B290,'товар'!$A$1:$C$433,2,FALSE)</f>
        <v>Конфеты</v>
      </c>
      <c r="J290" s="43">
        <f t="shared" si="2"/>
        <v>267.8548387</v>
      </c>
      <c r="K290" s="44">
        <f t="shared" si="3"/>
        <v>-0.4138616246</v>
      </c>
      <c r="L290" s="41" t="str">
        <f>VLOOKUP(B290,'товар'!$A$1:$C$433,3,FALSE)</f>
        <v>Рот Фронт</v>
      </c>
      <c r="M290" s="45">
        <f t="shared" si="4"/>
        <v>288.2380952</v>
      </c>
      <c r="N290" s="46">
        <f>VLOOKUP(H290,'клиенты'!$A$1:$F$435,5,FALSE)</f>
        <v>44827</v>
      </c>
      <c r="O290" s="41">
        <f t="shared" si="5"/>
        <v>119</v>
      </c>
      <c r="P290" s="41" t="str">
        <f>VLOOKUP(H290,'клиенты'!$A$2:$J$435,10,FALSE)</f>
        <v>Узбекистан</v>
      </c>
      <c r="Q290" s="47">
        <f t="shared" si="6"/>
        <v>46078.45901</v>
      </c>
      <c r="R290" s="48">
        <f t="shared" si="7"/>
        <v>41.71530039</v>
      </c>
      <c r="S290" s="41"/>
      <c r="T290" s="41"/>
      <c r="U290" s="41"/>
      <c r="V290" s="41"/>
      <c r="W290" s="41"/>
      <c r="X290" s="41"/>
      <c r="Y290" s="41"/>
      <c r="Z290" s="41"/>
    </row>
    <row r="291" ht="14.25" customHeight="1">
      <c r="A291" s="20">
        <v>290.0</v>
      </c>
      <c r="B291" s="20">
        <v>323.0</v>
      </c>
      <c r="C291" s="20">
        <v>363.0</v>
      </c>
      <c r="D291" s="20">
        <v>4.0</v>
      </c>
      <c r="E291" s="20">
        <f t="shared" si="1"/>
        <v>1452</v>
      </c>
      <c r="F291" s="49">
        <v>45362.0</v>
      </c>
      <c r="G291" s="20" t="s">
        <v>41</v>
      </c>
      <c r="H291" s="20">
        <v>463.0</v>
      </c>
      <c r="I291" s="20" t="str">
        <f>VLOOKUP(B291,'товар'!$A$1:$C$433,2,FALSE)</f>
        <v>Рыба</v>
      </c>
      <c r="J291" s="50">
        <f t="shared" si="2"/>
        <v>258.5128205</v>
      </c>
      <c r="K291" s="51">
        <f t="shared" si="3"/>
        <v>0.4041856774</v>
      </c>
      <c r="L291" s="20" t="str">
        <f>VLOOKUP(B291,'товар'!$A$1:$C$433,3,FALSE)</f>
        <v>Меридиан</v>
      </c>
      <c r="M291" s="52">
        <f t="shared" si="4"/>
        <v>260.6470588</v>
      </c>
      <c r="N291" s="53">
        <f>VLOOKUP(H291,'клиенты'!$A$1:$F$435,5,FALSE)</f>
        <v>44869</v>
      </c>
      <c r="O291" s="20">
        <f t="shared" si="5"/>
        <v>493</v>
      </c>
      <c r="P291" s="20" t="str">
        <f>VLOOKUP(H291,'клиенты'!$A$2:$J$435,10,FALSE)</f>
        <v>Украина</v>
      </c>
      <c r="Q291" s="54">
        <f t="shared" si="6"/>
        <v>46078.45901</v>
      </c>
      <c r="R291" s="55">
        <f t="shared" si="7"/>
        <v>40.31530039</v>
      </c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41">
        <v>291.0</v>
      </c>
      <c r="B292" s="41">
        <v>457.0</v>
      </c>
      <c r="C292" s="41">
        <v>289.0</v>
      </c>
      <c r="D292" s="41">
        <v>5.0</v>
      </c>
      <c r="E292" s="41">
        <f t="shared" si="1"/>
        <v>1445</v>
      </c>
      <c r="F292" s="42">
        <v>45167.0</v>
      </c>
      <c r="G292" s="41" t="s">
        <v>49</v>
      </c>
      <c r="H292" s="41">
        <v>421.0</v>
      </c>
      <c r="I292" s="41" t="str">
        <f>VLOOKUP(B292,'товар'!$A$1:$C$433,2,FALSE)</f>
        <v>Сок</v>
      </c>
      <c r="J292" s="43">
        <f t="shared" si="2"/>
        <v>268.6034483</v>
      </c>
      <c r="K292" s="44">
        <f t="shared" si="3"/>
        <v>0.07593555427</v>
      </c>
      <c r="L292" s="41" t="str">
        <f>VLOOKUP(B292,'товар'!$A$1:$C$433,3,FALSE)</f>
        <v>Rich</v>
      </c>
      <c r="M292" s="45">
        <f t="shared" si="4"/>
        <v>272.25</v>
      </c>
      <c r="N292" s="46">
        <f>VLOOKUP(H292,'клиенты'!$A$1:$F$435,5,FALSE)</f>
        <v>44620</v>
      </c>
      <c r="O292" s="41">
        <f t="shared" si="5"/>
        <v>547</v>
      </c>
      <c r="P292" s="41" t="str">
        <f>VLOOKUP(H292,'клиенты'!$A$2:$J$435,10,FALSE)</f>
        <v>Россия</v>
      </c>
      <c r="Q292" s="47">
        <f t="shared" si="6"/>
        <v>46078.45901</v>
      </c>
      <c r="R292" s="48">
        <f t="shared" si="7"/>
        <v>48.61530039</v>
      </c>
      <c r="S292" s="41"/>
      <c r="T292" s="41"/>
      <c r="U292" s="41"/>
      <c r="V292" s="41"/>
      <c r="W292" s="41"/>
      <c r="X292" s="41"/>
      <c r="Y292" s="41"/>
      <c r="Z292" s="41"/>
    </row>
    <row r="293" ht="14.25" customHeight="1">
      <c r="A293" s="20">
        <v>292.0</v>
      </c>
      <c r="B293" s="20">
        <v>328.0</v>
      </c>
      <c r="C293" s="20">
        <v>448.0</v>
      </c>
      <c r="D293" s="20">
        <v>4.0</v>
      </c>
      <c r="E293" s="20">
        <f t="shared" si="1"/>
        <v>1792</v>
      </c>
      <c r="F293" s="49">
        <v>45166.0</v>
      </c>
      <c r="G293" s="20" t="s">
        <v>35</v>
      </c>
      <c r="H293" s="20">
        <v>86.0</v>
      </c>
      <c r="I293" s="20" t="str">
        <f>VLOOKUP(B293,'товар'!$A$1:$C$433,2,FALSE)</f>
        <v>Чипсы</v>
      </c>
      <c r="J293" s="50">
        <f t="shared" si="2"/>
        <v>273.7254902</v>
      </c>
      <c r="K293" s="51">
        <f t="shared" si="3"/>
        <v>0.6366762178</v>
      </c>
      <c r="L293" s="20" t="str">
        <f>VLOOKUP(B293,'товар'!$A$1:$C$433,3,FALSE)</f>
        <v>Русская картошка</v>
      </c>
      <c r="M293" s="52">
        <f t="shared" si="4"/>
        <v>241.8333333</v>
      </c>
      <c r="N293" s="53">
        <f>VLOOKUP(H293,'клиенты'!$A$1:$F$435,5,FALSE)</f>
        <v>44692</v>
      </c>
      <c r="O293" s="20">
        <f t="shared" si="5"/>
        <v>474</v>
      </c>
      <c r="P293" s="20" t="str">
        <f>VLOOKUP(H293,'клиенты'!$A$2:$J$435,10,FALSE)</f>
        <v>Узбекистан</v>
      </c>
      <c r="Q293" s="54">
        <f t="shared" si="6"/>
        <v>46078.45901</v>
      </c>
      <c r="R293" s="55">
        <f t="shared" si="7"/>
        <v>46.21530039</v>
      </c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41">
        <v>293.0</v>
      </c>
      <c r="B294" s="41">
        <v>424.0</v>
      </c>
      <c r="C294" s="41">
        <v>226.0</v>
      </c>
      <c r="D294" s="41">
        <v>2.0</v>
      </c>
      <c r="E294" s="41">
        <f t="shared" si="1"/>
        <v>452</v>
      </c>
      <c r="F294" s="42">
        <v>45108.0</v>
      </c>
      <c r="G294" s="41" t="s">
        <v>48</v>
      </c>
      <c r="H294" s="41">
        <v>397.0</v>
      </c>
      <c r="I294" s="41" t="str">
        <f>VLOOKUP(B294,'товар'!$A$1:$C$433,2,FALSE)</f>
        <v>Печенье</v>
      </c>
      <c r="J294" s="43">
        <f t="shared" si="2"/>
        <v>283.4680851</v>
      </c>
      <c r="K294" s="44">
        <f t="shared" si="3"/>
        <v>-0.2027321174</v>
      </c>
      <c r="L294" s="41" t="str">
        <f>VLOOKUP(B294,'товар'!$A$1:$C$433,3,FALSE)</f>
        <v>КДВ</v>
      </c>
      <c r="M294" s="45">
        <f t="shared" si="4"/>
        <v>323.0769231</v>
      </c>
      <c r="N294" s="46">
        <f>VLOOKUP(H294,'клиенты'!$A$1:$F$435,5,FALSE)</f>
        <v>44728</v>
      </c>
      <c r="O294" s="41">
        <f t="shared" si="5"/>
        <v>380</v>
      </c>
      <c r="P294" s="41" t="str">
        <f>VLOOKUP(H294,'клиенты'!$A$2:$J$435,10,FALSE)</f>
        <v>Беларусь</v>
      </c>
      <c r="Q294" s="47">
        <f t="shared" si="6"/>
        <v>46078.45901</v>
      </c>
      <c r="R294" s="48">
        <f t="shared" si="7"/>
        <v>45.01530039</v>
      </c>
      <c r="S294" s="41"/>
      <c r="T294" s="41"/>
      <c r="U294" s="41"/>
      <c r="V294" s="41"/>
      <c r="W294" s="41"/>
      <c r="X294" s="41"/>
      <c r="Y294" s="41"/>
      <c r="Z294" s="41"/>
    </row>
    <row r="295" ht="14.25" customHeight="1">
      <c r="A295" s="20">
        <v>294.0</v>
      </c>
      <c r="B295" s="20">
        <v>86.0</v>
      </c>
      <c r="C295" s="20">
        <v>261.0</v>
      </c>
      <c r="D295" s="20">
        <v>5.0</v>
      </c>
      <c r="E295" s="20">
        <f t="shared" si="1"/>
        <v>1305</v>
      </c>
      <c r="F295" s="49">
        <v>45001.0</v>
      </c>
      <c r="G295" s="20" t="s">
        <v>37</v>
      </c>
      <c r="H295" s="20">
        <v>319.0</v>
      </c>
      <c r="I295" s="20" t="str">
        <f>VLOOKUP(B295,'товар'!$A$1:$C$433,2,FALSE)</f>
        <v>Сахар</v>
      </c>
      <c r="J295" s="50">
        <f t="shared" si="2"/>
        <v>252.7627119</v>
      </c>
      <c r="K295" s="51">
        <f t="shared" si="3"/>
        <v>0.03258901629</v>
      </c>
      <c r="L295" s="20" t="str">
        <f>VLOOKUP(B295,'товар'!$A$1:$C$433,3,FALSE)</f>
        <v>Русский сахар</v>
      </c>
      <c r="M295" s="52">
        <f t="shared" si="4"/>
        <v>293.4117647</v>
      </c>
      <c r="N295" s="53">
        <f>VLOOKUP(H295,'клиенты'!$A$1:$F$435,5,FALSE)</f>
        <v>44674</v>
      </c>
      <c r="O295" s="20">
        <f t="shared" si="5"/>
        <v>327</v>
      </c>
      <c r="P295" s="20" t="str">
        <f>VLOOKUP(H295,'клиенты'!$A$2:$J$435,10,FALSE)</f>
        <v>Узбекистан</v>
      </c>
      <c r="Q295" s="54">
        <f t="shared" si="6"/>
        <v>46078.45901</v>
      </c>
      <c r="R295" s="55">
        <f t="shared" si="7"/>
        <v>46.81530039</v>
      </c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41">
        <v>295.0</v>
      </c>
      <c r="B296" s="41">
        <v>17.0</v>
      </c>
      <c r="C296" s="41">
        <v>253.0</v>
      </c>
      <c r="D296" s="41">
        <v>3.0</v>
      </c>
      <c r="E296" s="41">
        <f t="shared" si="1"/>
        <v>759</v>
      </c>
      <c r="F296" s="42">
        <v>45369.0</v>
      </c>
      <c r="G296" s="41" t="s">
        <v>44</v>
      </c>
      <c r="H296" s="41">
        <v>290.0</v>
      </c>
      <c r="I296" s="41" t="str">
        <f>VLOOKUP(B296,'товар'!$A$1:$C$433,2,FALSE)</f>
        <v>Кофе</v>
      </c>
      <c r="J296" s="43">
        <f t="shared" si="2"/>
        <v>249.0238095</v>
      </c>
      <c r="K296" s="44">
        <f t="shared" si="3"/>
        <v>0.01596710967</v>
      </c>
      <c r="L296" s="41" t="str">
        <f>VLOOKUP(B296,'товар'!$A$1:$C$433,3,FALSE)</f>
        <v>Jacobs</v>
      </c>
      <c r="M296" s="45">
        <f t="shared" si="4"/>
        <v>276.2105263</v>
      </c>
      <c r="N296" s="46">
        <f>VLOOKUP(H296,'клиенты'!$A$1:$F$435,5,FALSE)</f>
        <v>44777</v>
      </c>
      <c r="O296" s="41">
        <f t="shared" si="5"/>
        <v>592</v>
      </c>
      <c r="P296" s="41" t="str">
        <f>VLOOKUP(H296,'клиенты'!$A$2:$J$435,10,FALSE)</f>
        <v>Россия</v>
      </c>
      <c r="Q296" s="47">
        <f t="shared" si="6"/>
        <v>46078.45901</v>
      </c>
      <c r="R296" s="48">
        <f t="shared" si="7"/>
        <v>43.38196706</v>
      </c>
      <c r="S296" s="41"/>
      <c r="T296" s="41"/>
      <c r="U296" s="41"/>
      <c r="V296" s="41"/>
      <c r="W296" s="41"/>
      <c r="X296" s="41"/>
      <c r="Y296" s="41"/>
      <c r="Z296" s="41"/>
    </row>
    <row r="297" ht="14.25" customHeight="1">
      <c r="A297" s="20">
        <v>296.0</v>
      </c>
      <c r="B297" s="20">
        <v>43.0</v>
      </c>
      <c r="C297" s="20">
        <v>457.0</v>
      </c>
      <c r="D297" s="20">
        <v>3.0</v>
      </c>
      <c r="E297" s="20">
        <f t="shared" si="1"/>
        <v>1371</v>
      </c>
      <c r="F297" s="49">
        <v>44943.0</v>
      </c>
      <c r="G297" s="20" t="s">
        <v>51</v>
      </c>
      <c r="H297" s="20">
        <v>13.0</v>
      </c>
      <c r="I297" s="20" t="str">
        <f>VLOOKUP(B297,'товар'!$A$1:$C$433,2,FALSE)</f>
        <v>Печенье</v>
      </c>
      <c r="J297" s="50">
        <f t="shared" si="2"/>
        <v>283.4680851</v>
      </c>
      <c r="K297" s="51">
        <f t="shared" si="3"/>
        <v>0.6121744352</v>
      </c>
      <c r="L297" s="20" t="str">
        <f>VLOOKUP(B297,'товар'!$A$1:$C$433,3,FALSE)</f>
        <v>КДВ</v>
      </c>
      <c r="M297" s="52">
        <f t="shared" si="4"/>
        <v>323.0769231</v>
      </c>
      <c r="N297" s="53">
        <f>VLOOKUP(H297,'клиенты'!$A$1:$F$435,5,FALSE)</f>
        <v>44724</v>
      </c>
      <c r="O297" s="20">
        <f t="shared" si="5"/>
        <v>219</v>
      </c>
      <c r="P297" s="20" t="str">
        <f>VLOOKUP(H297,'клиенты'!$A$2:$J$435,10,FALSE)</f>
        <v>Россия</v>
      </c>
      <c r="Q297" s="54">
        <f t="shared" si="6"/>
        <v>46078.45901</v>
      </c>
      <c r="R297" s="55">
        <f t="shared" si="7"/>
        <v>45.14863372</v>
      </c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41">
        <v>297.0</v>
      </c>
      <c r="B298" s="41">
        <v>5.0</v>
      </c>
      <c r="C298" s="41">
        <v>65.0</v>
      </c>
      <c r="D298" s="41">
        <v>5.0</v>
      </c>
      <c r="E298" s="41">
        <f t="shared" si="1"/>
        <v>325</v>
      </c>
      <c r="F298" s="42">
        <v>45251.0</v>
      </c>
      <c r="G298" s="41" t="s">
        <v>50</v>
      </c>
      <c r="H298" s="41">
        <v>302.0</v>
      </c>
      <c r="I298" s="41" t="str">
        <f>VLOOKUP(B298,'товар'!$A$1:$C$433,2,FALSE)</f>
        <v>Макароны</v>
      </c>
      <c r="J298" s="43">
        <f t="shared" si="2"/>
        <v>265.4767442</v>
      </c>
      <c r="K298" s="44">
        <f t="shared" si="3"/>
        <v>-0.7551574613</v>
      </c>
      <c r="L298" s="41" t="str">
        <f>VLOOKUP(B298,'товар'!$A$1:$C$433,3,FALSE)</f>
        <v>Роллтон</v>
      </c>
      <c r="M298" s="45">
        <f t="shared" si="4"/>
        <v>235.5555556</v>
      </c>
      <c r="N298" s="46">
        <f>VLOOKUP(H298,'клиенты'!$A$1:$F$435,5,FALSE)</f>
        <v>44859</v>
      </c>
      <c r="O298" s="41">
        <f t="shared" si="5"/>
        <v>392</v>
      </c>
      <c r="P298" s="41" t="str">
        <f>VLOOKUP(H298,'клиенты'!$A$2:$J$435,10,FALSE)</f>
        <v>Россия</v>
      </c>
      <c r="Q298" s="47">
        <f t="shared" si="6"/>
        <v>46078.45901</v>
      </c>
      <c r="R298" s="48">
        <f t="shared" si="7"/>
        <v>40.64863372</v>
      </c>
      <c r="S298" s="41"/>
      <c r="T298" s="41"/>
      <c r="U298" s="41"/>
      <c r="V298" s="41"/>
      <c r="W298" s="41"/>
      <c r="X298" s="41"/>
      <c r="Y298" s="41"/>
      <c r="Z298" s="41"/>
    </row>
    <row r="299" ht="14.25" customHeight="1">
      <c r="A299" s="20">
        <v>298.0</v>
      </c>
      <c r="B299" s="20">
        <v>298.0</v>
      </c>
      <c r="C299" s="20">
        <v>65.0</v>
      </c>
      <c r="D299" s="20">
        <v>1.0</v>
      </c>
      <c r="E299" s="20">
        <f t="shared" si="1"/>
        <v>65</v>
      </c>
      <c r="F299" s="49">
        <v>44985.0</v>
      </c>
      <c r="G299" s="20" t="s">
        <v>40</v>
      </c>
      <c r="H299" s="20">
        <v>453.0</v>
      </c>
      <c r="I299" s="20" t="str">
        <f>VLOOKUP(B299,'товар'!$A$1:$C$433,2,FALSE)</f>
        <v>Крупа</v>
      </c>
      <c r="J299" s="50">
        <f t="shared" si="2"/>
        <v>255.1162791</v>
      </c>
      <c r="K299" s="51">
        <f t="shared" si="3"/>
        <v>-0.7452142206</v>
      </c>
      <c r="L299" s="20" t="str">
        <f>VLOOKUP(B299,'товар'!$A$1:$C$433,3,FALSE)</f>
        <v>Увелка</v>
      </c>
      <c r="M299" s="52">
        <f t="shared" si="4"/>
        <v>251.9166667</v>
      </c>
      <c r="N299" s="53">
        <f>VLOOKUP(H299,'клиенты'!$A$1:$F$435,5,FALSE)</f>
        <v>44635</v>
      </c>
      <c r="O299" s="20">
        <f t="shared" si="5"/>
        <v>350</v>
      </c>
      <c r="P299" s="20" t="str">
        <f>VLOOKUP(H299,'клиенты'!$A$2:$J$435,10,FALSE)</f>
        <v>Россия</v>
      </c>
      <c r="Q299" s="54">
        <f t="shared" si="6"/>
        <v>46078.45901</v>
      </c>
      <c r="R299" s="55">
        <f t="shared" si="7"/>
        <v>48.11530039</v>
      </c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41">
        <v>299.0</v>
      </c>
      <c r="B300" s="41">
        <v>436.0</v>
      </c>
      <c r="C300" s="41">
        <v>320.0</v>
      </c>
      <c r="D300" s="41">
        <v>3.0</v>
      </c>
      <c r="E300" s="41">
        <f t="shared" si="1"/>
        <v>960</v>
      </c>
      <c r="F300" s="42">
        <v>45388.0</v>
      </c>
      <c r="G300" s="41" t="s">
        <v>54</v>
      </c>
      <c r="H300" s="41">
        <v>16.0</v>
      </c>
      <c r="I300" s="41" t="str">
        <f>VLOOKUP(B300,'товар'!$A$1:$C$433,2,FALSE)</f>
        <v>Овощи</v>
      </c>
      <c r="J300" s="43">
        <f t="shared" si="2"/>
        <v>250.4878049</v>
      </c>
      <c r="K300" s="44">
        <f t="shared" si="3"/>
        <v>0.2775073028</v>
      </c>
      <c r="L300" s="41" t="str">
        <f>VLOOKUP(B300,'товар'!$A$1:$C$433,3,FALSE)</f>
        <v>Гавриш</v>
      </c>
      <c r="M300" s="45">
        <f t="shared" si="4"/>
        <v>247.6666667</v>
      </c>
      <c r="N300" s="46">
        <f>VLOOKUP(H300,'клиенты'!$A$1:$F$435,5,FALSE)</f>
        <v>44713</v>
      </c>
      <c r="O300" s="41">
        <f t="shared" si="5"/>
        <v>675</v>
      </c>
      <c r="P300" s="41" t="str">
        <f>VLOOKUP(H300,'клиенты'!$A$2:$J$435,10,FALSE)</f>
        <v>Украина</v>
      </c>
      <c r="Q300" s="47">
        <f t="shared" si="6"/>
        <v>46078.45901</v>
      </c>
      <c r="R300" s="48">
        <f t="shared" si="7"/>
        <v>45.51530039</v>
      </c>
      <c r="S300" s="41"/>
      <c r="T300" s="41"/>
      <c r="U300" s="41"/>
      <c r="V300" s="41"/>
      <c r="W300" s="41"/>
      <c r="X300" s="41"/>
      <c r="Y300" s="41"/>
      <c r="Z300" s="41"/>
    </row>
    <row r="301" ht="14.25" customHeight="1">
      <c r="A301" s="20">
        <v>300.0</v>
      </c>
      <c r="B301" s="20">
        <v>421.0</v>
      </c>
      <c r="C301" s="20">
        <v>145.0</v>
      </c>
      <c r="D301" s="20">
        <v>4.0</v>
      </c>
      <c r="E301" s="20">
        <f t="shared" si="1"/>
        <v>580</v>
      </c>
      <c r="F301" s="49">
        <v>45323.0</v>
      </c>
      <c r="G301" s="20" t="s">
        <v>54</v>
      </c>
      <c r="H301" s="20">
        <v>120.0</v>
      </c>
      <c r="I301" s="20" t="str">
        <f>VLOOKUP(B301,'товар'!$A$1:$C$433,2,FALSE)</f>
        <v>Чай</v>
      </c>
      <c r="J301" s="50">
        <f t="shared" si="2"/>
        <v>271.1818182</v>
      </c>
      <c r="K301" s="51">
        <f t="shared" si="3"/>
        <v>-0.4653033859</v>
      </c>
      <c r="L301" s="20" t="str">
        <f>VLOOKUP(B301,'товар'!$A$1:$C$433,3,FALSE)</f>
        <v>Greenfield</v>
      </c>
      <c r="M301" s="52">
        <f t="shared" si="4"/>
        <v>291.4545455</v>
      </c>
      <c r="N301" s="53">
        <f>VLOOKUP(H301,'клиенты'!$A$1:$F$435,5,FALSE)</f>
        <v>44691</v>
      </c>
      <c r="O301" s="20">
        <f t="shared" si="5"/>
        <v>632</v>
      </c>
      <c r="P301" s="20" t="str">
        <f>VLOOKUP(H301,'клиенты'!$A$2:$J$435,10,FALSE)</f>
        <v>Россия</v>
      </c>
      <c r="Q301" s="54">
        <f t="shared" si="6"/>
        <v>46078.45901</v>
      </c>
      <c r="R301" s="55">
        <f t="shared" si="7"/>
        <v>46.24863372</v>
      </c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41">
        <v>301.0</v>
      </c>
      <c r="B302" s="41">
        <v>223.0</v>
      </c>
      <c r="C302" s="41">
        <v>467.0</v>
      </c>
      <c r="D302" s="41">
        <v>5.0</v>
      </c>
      <c r="E302" s="41">
        <f t="shared" si="1"/>
        <v>2335</v>
      </c>
      <c r="F302" s="42">
        <v>45310.0</v>
      </c>
      <c r="G302" s="41" t="s">
        <v>53</v>
      </c>
      <c r="H302" s="41">
        <v>295.0</v>
      </c>
      <c r="I302" s="41" t="str">
        <f>VLOOKUP(B302,'товар'!$A$1:$C$433,2,FALSE)</f>
        <v>Чай</v>
      </c>
      <c r="J302" s="43">
        <f t="shared" si="2"/>
        <v>271.1818182</v>
      </c>
      <c r="K302" s="44">
        <f t="shared" si="3"/>
        <v>0.7220918538</v>
      </c>
      <c r="L302" s="41" t="str">
        <f>VLOOKUP(B302,'товар'!$A$1:$C$433,3,FALSE)</f>
        <v>Greenfield</v>
      </c>
      <c r="M302" s="45">
        <f t="shared" si="4"/>
        <v>291.4545455</v>
      </c>
      <c r="N302" s="46">
        <f>VLOOKUP(H302,'клиенты'!$A$1:$F$435,5,FALSE)</f>
        <v>44588</v>
      </c>
      <c r="O302" s="41">
        <f t="shared" si="5"/>
        <v>722</v>
      </c>
      <c r="P302" s="41" t="str">
        <f>VLOOKUP(H302,'клиенты'!$A$2:$J$435,10,FALSE)</f>
        <v>Россия</v>
      </c>
      <c r="Q302" s="47">
        <f t="shared" si="6"/>
        <v>46078.45901</v>
      </c>
      <c r="R302" s="48">
        <f t="shared" si="7"/>
        <v>49.68196706</v>
      </c>
      <c r="S302" s="41"/>
      <c r="T302" s="41"/>
      <c r="U302" s="41"/>
      <c r="V302" s="41"/>
      <c r="W302" s="41"/>
      <c r="X302" s="41"/>
      <c r="Y302" s="41"/>
      <c r="Z302" s="41"/>
    </row>
    <row r="303" ht="14.25" customHeight="1">
      <c r="A303" s="20">
        <v>302.0</v>
      </c>
      <c r="B303" s="20">
        <v>483.0</v>
      </c>
      <c r="C303" s="20">
        <v>124.0</v>
      </c>
      <c r="D303" s="20">
        <v>4.0</v>
      </c>
      <c r="E303" s="20">
        <f t="shared" si="1"/>
        <v>496</v>
      </c>
      <c r="F303" s="49">
        <v>45299.0</v>
      </c>
      <c r="G303" s="20" t="s">
        <v>42</v>
      </c>
      <c r="H303" s="20">
        <v>381.0</v>
      </c>
      <c r="I303" s="20" t="str">
        <f>VLOOKUP(B303,'товар'!$A$1:$C$433,2,FALSE)</f>
        <v>Колбаса</v>
      </c>
      <c r="J303" s="50">
        <f t="shared" si="2"/>
        <v>286.9230769</v>
      </c>
      <c r="K303" s="51">
        <f t="shared" si="3"/>
        <v>-0.5678284182</v>
      </c>
      <c r="L303" s="20" t="str">
        <f>VLOOKUP(B303,'товар'!$A$1:$C$433,3,FALSE)</f>
        <v>Дымов</v>
      </c>
      <c r="M303" s="52">
        <f t="shared" si="4"/>
        <v>312.6666667</v>
      </c>
      <c r="N303" s="53">
        <f>VLOOKUP(H303,'клиенты'!$A$1:$F$435,5,FALSE)</f>
        <v>44714</v>
      </c>
      <c r="O303" s="20">
        <f t="shared" si="5"/>
        <v>585</v>
      </c>
      <c r="P303" s="20" t="str">
        <f>VLOOKUP(H303,'клиенты'!$A$2:$J$435,10,FALSE)</f>
        <v>Узбекистан</v>
      </c>
      <c r="Q303" s="54">
        <f t="shared" si="6"/>
        <v>46078.45901</v>
      </c>
      <c r="R303" s="55">
        <f t="shared" si="7"/>
        <v>45.48196706</v>
      </c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41">
        <v>303.0</v>
      </c>
      <c r="B304" s="41">
        <v>414.0</v>
      </c>
      <c r="C304" s="41">
        <v>406.0</v>
      </c>
      <c r="D304" s="41">
        <v>3.0</v>
      </c>
      <c r="E304" s="41">
        <f t="shared" si="1"/>
        <v>1218</v>
      </c>
      <c r="F304" s="42">
        <v>45246.0</v>
      </c>
      <c r="G304" s="41" t="s">
        <v>52</v>
      </c>
      <c r="H304" s="41">
        <v>287.0</v>
      </c>
      <c r="I304" s="41" t="str">
        <f>VLOOKUP(B304,'товар'!$A$1:$C$433,2,FALSE)</f>
        <v>Фрукты</v>
      </c>
      <c r="J304" s="43">
        <f t="shared" si="2"/>
        <v>274.1627907</v>
      </c>
      <c r="K304" s="44">
        <f t="shared" si="3"/>
        <v>0.4808719993</v>
      </c>
      <c r="L304" s="41" t="str">
        <f>VLOOKUP(B304,'товар'!$A$1:$C$433,3,FALSE)</f>
        <v>Экзотик</v>
      </c>
      <c r="M304" s="45">
        <f t="shared" si="4"/>
        <v>253.6875</v>
      </c>
      <c r="N304" s="46">
        <f>VLOOKUP(H304,'клиенты'!$A$1:$F$435,5,FALSE)</f>
        <v>44608</v>
      </c>
      <c r="O304" s="41">
        <f t="shared" si="5"/>
        <v>638</v>
      </c>
      <c r="P304" s="41" t="str">
        <f>VLOOKUP(H304,'клиенты'!$A$2:$J$435,10,FALSE)</f>
        <v>Россия</v>
      </c>
      <c r="Q304" s="47">
        <f t="shared" si="6"/>
        <v>46078.45901</v>
      </c>
      <c r="R304" s="48">
        <f t="shared" si="7"/>
        <v>49.01530039</v>
      </c>
      <c r="S304" s="41"/>
      <c r="T304" s="41"/>
      <c r="U304" s="41"/>
      <c r="V304" s="41"/>
      <c r="W304" s="41"/>
      <c r="X304" s="41"/>
      <c r="Y304" s="41"/>
      <c r="Z304" s="41"/>
    </row>
    <row r="305" ht="14.25" customHeight="1">
      <c r="A305" s="20">
        <v>304.0</v>
      </c>
      <c r="B305" s="20">
        <v>389.0</v>
      </c>
      <c r="C305" s="20">
        <v>76.0</v>
      </c>
      <c r="D305" s="20">
        <v>4.0</v>
      </c>
      <c r="E305" s="20">
        <f t="shared" si="1"/>
        <v>304</v>
      </c>
      <c r="F305" s="49">
        <v>45067.0</v>
      </c>
      <c r="G305" s="20" t="s">
        <v>35</v>
      </c>
      <c r="H305" s="20">
        <v>415.0</v>
      </c>
      <c r="I305" s="20" t="str">
        <f>VLOOKUP(B305,'товар'!$A$1:$C$433,2,FALSE)</f>
        <v>Чай</v>
      </c>
      <c r="J305" s="50">
        <f t="shared" si="2"/>
        <v>271.1818182</v>
      </c>
      <c r="K305" s="51">
        <f t="shared" si="3"/>
        <v>-0.7197452229</v>
      </c>
      <c r="L305" s="20" t="str">
        <f>VLOOKUP(B305,'товар'!$A$1:$C$433,3,FALSE)</f>
        <v>Ахмад</v>
      </c>
      <c r="M305" s="52">
        <f t="shared" si="4"/>
        <v>243.3</v>
      </c>
      <c r="N305" s="53">
        <f>VLOOKUP(H305,'клиенты'!$A$1:$F$435,5,FALSE)</f>
        <v>44661</v>
      </c>
      <c r="O305" s="20">
        <f t="shared" si="5"/>
        <v>406</v>
      </c>
      <c r="P305" s="20" t="str">
        <f>VLOOKUP(H305,'клиенты'!$A$2:$J$435,10,FALSE)</f>
        <v>Украина</v>
      </c>
      <c r="Q305" s="54">
        <f t="shared" si="6"/>
        <v>46078.45901</v>
      </c>
      <c r="R305" s="55">
        <f t="shared" si="7"/>
        <v>47.24863372</v>
      </c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41">
        <v>305.0</v>
      </c>
      <c r="B306" s="41">
        <v>367.0</v>
      </c>
      <c r="C306" s="41">
        <v>79.0</v>
      </c>
      <c r="D306" s="41">
        <v>5.0</v>
      </c>
      <c r="E306" s="41">
        <f t="shared" si="1"/>
        <v>395</v>
      </c>
      <c r="F306" s="42">
        <v>45107.0</v>
      </c>
      <c r="G306" s="41" t="s">
        <v>47</v>
      </c>
      <c r="H306" s="41">
        <v>292.0</v>
      </c>
      <c r="I306" s="41" t="str">
        <f>VLOOKUP(B306,'товар'!$A$1:$C$433,2,FALSE)</f>
        <v>Колбаса</v>
      </c>
      <c r="J306" s="43">
        <f t="shared" si="2"/>
        <v>286.9230769</v>
      </c>
      <c r="K306" s="44">
        <f t="shared" si="3"/>
        <v>-0.7246648794</v>
      </c>
      <c r="L306" s="41" t="str">
        <f>VLOOKUP(B306,'товар'!$A$1:$C$433,3,FALSE)</f>
        <v>Окраина</v>
      </c>
      <c r="M306" s="45">
        <f t="shared" si="4"/>
        <v>273.5833333</v>
      </c>
      <c r="N306" s="46">
        <f>VLOOKUP(H306,'клиенты'!$A$1:$F$435,5,FALSE)</f>
        <v>44608</v>
      </c>
      <c r="O306" s="41">
        <f t="shared" si="5"/>
        <v>499</v>
      </c>
      <c r="P306" s="41" t="str">
        <f>VLOOKUP(H306,'клиенты'!$A$2:$J$435,10,FALSE)</f>
        <v>Россия</v>
      </c>
      <c r="Q306" s="47">
        <f t="shared" si="6"/>
        <v>46078.45901</v>
      </c>
      <c r="R306" s="48">
        <f t="shared" si="7"/>
        <v>49.01530039</v>
      </c>
      <c r="S306" s="41"/>
      <c r="T306" s="41"/>
      <c r="U306" s="41"/>
      <c r="V306" s="41"/>
      <c r="W306" s="41"/>
      <c r="X306" s="41"/>
      <c r="Y306" s="41"/>
      <c r="Z306" s="41"/>
    </row>
    <row r="307" ht="14.25" customHeight="1">
      <c r="A307" s="20">
        <v>306.0</v>
      </c>
      <c r="B307" s="20">
        <v>128.0</v>
      </c>
      <c r="C307" s="20">
        <v>466.0</v>
      </c>
      <c r="D307" s="20">
        <v>1.0</v>
      </c>
      <c r="E307" s="20">
        <f t="shared" si="1"/>
        <v>466</v>
      </c>
      <c r="F307" s="49">
        <v>44984.0</v>
      </c>
      <c r="G307" s="20" t="s">
        <v>40</v>
      </c>
      <c r="H307" s="20">
        <v>389.0</v>
      </c>
      <c r="I307" s="20" t="str">
        <f>VLOOKUP(B307,'товар'!$A$1:$C$433,2,FALSE)</f>
        <v>Мясо</v>
      </c>
      <c r="J307" s="50">
        <f t="shared" si="2"/>
        <v>271.7454545</v>
      </c>
      <c r="K307" s="51">
        <f t="shared" si="3"/>
        <v>0.714840091</v>
      </c>
      <c r="L307" s="20" t="str">
        <f>VLOOKUP(B307,'товар'!$A$1:$C$433,3,FALSE)</f>
        <v>Мираторг</v>
      </c>
      <c r="M307" s="52">
        <f t="shared" si="4"/>
        <v>316.5833333</v>
      </c>
      <c r="N307" s="53">
        <f>VLOOKUP(H307,'клиенты'!$A$1:$F$435,5,FALSE)</f>
        <v>44876</v>
      </c>
      <c r="O307" s="20">
        <f t="shared" si="5"/>
        <v>108</v>
      </c>
      <c r="P307" s="20" t="str">
        <f>VLOOKUP(H307,'клиенты'!$A$2:$J$435,10,FALSE)</f>
        <v>Россия</v>
      </c>
      <c r="Q307" s="54">
        <f t="shared" si="6"/>
        <v>46078.45901</v>
      </c>
      <c r="R307" s="55">
        <f t="shared" si="7"/>
        <v>40.08196706</v>
      </c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41">
        <v>307.0</v>
      </c>
      <c r="B308" s="41">
        <v>368.0</v>
      </c>
      <c r="C308" s="41">
        <v>265.0</v>
      </c>
      <c r="D308" s="41">
        <v>5.0</v>
      </c>
      <c r="E308" s="41">
        <f t="shared" si="1"/>
        <v>1325</v>
      </c>
      <c r="F308" s="42">
        <v>45192.0</v>
      </c>
      <c r="G308" s="41" t="s">
        <v>41</v>
      </c>
      <c r="H308" s="41">
        <v>106.0</v>
      </c>
      <c r="I308" s="41" t="str">
        <f>VLOOKUP(B308,'товар'!$A$1:$C$433,2,FALSE)</f>
        <v>Сыр</v>
      </c>
      <c r="J308" s="43">
        <f t="shared" si="2"/>
        <v>262.6349206</v>
      </c>
      <c r="K308" s="44">
        <f t="shared" si="3"/>
        <v>0.009005197631</v>
      </c>
      <c r="L308" s="41" t="str">
        <f>VLOOKUP(B308,'товар'!$A$1:$C$433,3,FALSE)</f>
        <v>Сырная долина</v>
      </c>
      <c r="M308" s="45">
        <f t="shared" si="4"/>
        <v>271</v>
      </c>
      <c r="N308" s="46">
        <f>VLOOKUP(H308,'клиенты'!$A$1:$F$435,5,FALSE)</f>
        <v>44858</v>
      </c>
      <c r="O308" s="41">
        <f t="shared" si="5"/>
        <v>334</v>
      </c>
      <c r="P308" s="41" t="str">
        <f>VLOOKUP(H308,'клиенты'!$A$2:$J$435,10,FALSE)</f>
        <v>Украина</v>
      </c>
      <c r="Q308" s="47">
        <f t="shared" si="6"/>
        <v>46078.45901</v>
      </c>
      <c r="R308" s="48">
        <f t="shared" si="7"/>
        <v>40.68196706</v>
      </c>
      <c r="S308" s="41"/>
      <c r="T308" s="41"/>
      <c r="U308" s="41"/>
      <c r="V308" s="41"/>
      <c r="W308" s="41"/>
      <c r="X308" s="41"/>
      <c r="Y308" s="41"/>
      <c r="Z308" s="41"/>
    </row>
    <row r="309" ht="14.25" customHeight="1">
      <c r="A309" s="20">
        <v>308.0</v>
      </c>
      <c r="B309" s="20">
        <v>74.0</v>
      </c>
      <c r="C309" s="20">
        <v>397.0</v>
      </c>
      <c r="D309" s="20">
        <v>2.0</v>
      </c>
      <c r="E309" s="20">
        <f t="shared" si="1"/>
        <v>794</v>
      </c>
      <c r="F309" s="49">
        <v>45178.0</v>
      </c>
      <c r="G309" s="20" t="s">
        <v>39</v>
      </c>
      <c r="H309" s="20">
        <v>458.0</v>
      </c>
      <c r="I309" s="20" t="str">
        <f>VLOOKUP(B309,'товар'!$A$1:$C$433,2,FALSE)</f>
        <v>Колбаса</v>
      </c>
      <c r="J309" s="50">
        <f t="shared" si="2"/>
        <v>286.9230769</v>
      </c>
      <c r="K309" s="51">
        <f t="shared" si="3"/>
        <v>0.3836461126</v>
      </c>
      <c r="L309" s="20" t="str">
        <f>VLOOKUP(B309,'товар'!$A$1:$C$433,3,FALSE)</f>
        <v>Черкизово</v>
      </c>
      <c r="M309" s="52">
        <f t="shared" si="4"/>
        <v>320.25</v>
      </c>
      <c r="N309" s="53">
        <f>VLOOKUP(H309,'клиенты'!$A$1:$F$435,5,FALSE)</f>
        <v>44694</v>
      </c>
      <c r="O309" s="20">
        <f t="shared" si="5"/>
        <v>484</v>
      </c>
      <c r="P309" s="20" t="str">
        <f>VLOOKUP(H309,'клиенты'!$A$2:$J$435,10,FALSE)</f>
        <v>Россия</v>
      </c>
      <c r="Q309" s="54">
        <f t="shared" si="6"/>
        <v>46078.45901</v>
      </c>
      <c r="R309" s="55">
        <f t="shared" si="7"/>
        <v>46.14863372</v>
      </c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41">
        <v>309.0</v>
      </c>
      <c r="B310" s="41">
        <v>276.0</v>
      </c>
      <c r="C310" s="41">
        <v>359.0</v>
      </c>
      <c r="D310" s="41">
        <v>2.0</v>
      </c>
      <c r="E310" s="41">
        <f t="shared" si="1"/>
        <v>718</v>
      </c>
      <c r="F310" s="42">
        <v>45147.0</v>
      </c>
      <c r="G310" s="41" t="s">
        <v>43</v>
      </c>
      <c r="H310" s="41">
        <v>203.0</v>
      </c>
      <c r="I310" s="41" t="str">
        <f>VLOOKUP(B310,'товар'!$A$1:$C$433,2,FALSE)</f>
        <v>Колбаса</v>
      </c>
      <c r="J310" s="43">
        <f t="shared" si="2"/>
        <v>286.9230769</v>
      </c>
      <c r="K310" s="44">
        <f t="shared" si="3"/>
        <v>0.2512064343</v>
      </c>
      <c r="L310" s="41" t="str">
        <f>VLOOKUP(B310,'товар'!$A$1:$C$433,3,FALSE)</f>
        <v>Дымов</v>
      </c>
      <c r="M310" s="45">
        <f t="shared" si="4"/>
        <v>312.6666667</v>
      </c>
      <c r="N310" s="46">
        <f>VLOOKUP(H310,'клиенты'!$A$1:$F$435,5,FALSE)</f>
        <v>44685</v>
      </c>
      <c r="O310" s="41">
        <f t="shared" si="5"/>
        <v>462</v>
      </c>
      <c r="P310" s="41" t="str">
        <f>VLOOKUP(H310,'клиенты'!$A$2:$J$435,10,FALSE)</f>
        <v>Россия</v>
      </c>
      <c r="Q310" s="47">
        <f t="shared" si="6"/>
        <v>46078.45901</v>
      </c>
      <c r="R310" s="48">
        <f t="shared" si="7"/>
        <v>46.44863372</v>
      </c>
      <c r="S310" s="41"/>
      <c r="T310" s="41"/>
      <c r="U310" s="41"/>
      <c r="V310" s="41"/>
      <c r="W310" s="41"/>
      <c r="X310" s="41"/>
      <c r="Y310" s="41"/>
      <c r="Z310" s="41"/>
    </row>
    <row r="311" ht="14.25" customHeight="1">
      <c r="A311" s="20">
        <v>310.0</v>
      </c>
      <c r="B311" s="20">
        <v>149.0</v>
      </c>
      <c r="C311" s="20">
        <v>168.0</v>
      </c>
      <c r="D311" s="20">
        <v>4.0</v>
      </c>
      <c r="E311" s="20">
        <f t="shared" si="1"/>
        <v>672</v>
      </c>
      <c r="F311" s="49">
        <v>44936.0</v>
      </c>
      <c r="G311" s="20" t="s">
        <v>46</v>
      </c>
      <c r="H311" s="20">
        <v>1.0</v>
      </c>
      <c r="I311" s="20" t="str">
        <f>VLOOKUP(B311,'товар'!$A$1:$C$433,2,FALSE)</f>
        <v>Конфеты</v>
      </c>
      <c r="J311" s="50">
        <f t="shared" si="2"/>
        <v>267.8548387</v>
      </c>
      <c r="K311" s="51">
        <f t="shared" si="3"/>
        <v>-0.3727946047</v>
      </c>
      <c r="L311" s="20" t="str">
        <f>VLOOKUP(B311,'товар'!$A$1:$C$433,3,FALSE)</f>
        <v>Бабаевский</v>
      </c>
      <c r="M311" s="52">
        <f t="shared" si="4"/>
        <v>250.2592593</v>
      </c>
      <c r="N311" s="53">
        <f>VLOOKUP(H311,'клиенты'!$A$1:$F$435,5,FALSE)</f>
        <v>44585</v>
      </c>
      <c r="O311" s="20">
        <f t="shared" si="5"/>
        <v>351</v>
      </c>
      <c r="P311" s="20" t="str">
        <f>VLOOKUP(H311,'клиенты'!$A$2:$J$435,10,FALSE)</f>
        <v>Россия</v>
      </c>
      <c r="Q311" s="54">
        <f t="shared" si="6"/>
        <v>46078.45901</v>
      </c>
      <c r="R311" s="55">
        <f t="shared" si="7"/>
        <v>49.78196706</v>
      </c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41">
        <v>311.0</v>
      </c>
      <c r="B312" s="41">
        <v>229.0</v>
      </c>
      <c r="C312" s="41">
        <v>156.0</v>
      </c>
      <c r="D312" s="41">
        <v>4.0</v>
      </c>
      <c r="E312" s="41">
        <f t="shared" si="1"/>
        <v>624</v>
      </c>
      <c r="F312" s="42">
        <v>45168.0</v>
      </c>
      <c r="G312" s="41" t="s">
        <v>50</v>
      </c>
      <c r="H312" s="41">
        <v>204.0</v>
      </c>
      <c r="I312" s="41" t="str">
        <f>VLOOKUP(B312,'товар'!$A$1:$C$433,2,FALSE)</f>
        <v>Мясо</v>
      </c>
      <c r="J312" s="43">
        <f t="shared" si="2"/>
        <v>271.7454545</v>
      </c>
      <c r="K312" s="44">
        <f t="shared" si="3"/>
        <v>-0.4259333601</v>
      </c>
      <c r="L312" s="41" t="str">
        <f>VLOOKUP(B312,'товар'!$A$1:$C$433,3,FALSE)</f>
        <v>Сава</v>
      </c>
      <c r="M312" s="45">
        <f t="shared" si="4"/>
        <v>212.8125</v>
      </c>
      <c r="N312" s="46">
        <f>VLOOKUP(H312,'клиенты'!$A$1:$F$435,5,FALSE)</f>
        <v>44867</v>
      </c>
      <c r="O312" s="41">
        <f t="shared" si="5"/>
        <v>301</v>
      </c>
      <c r="P312" s="41" t="str">
        <f>VLOOKUP(H312,'клиенты'!$A$2:$J$435,10,FALSE)</f>
        <v>Россия</v>
      </c>
      <c r="Q312" s="47">
        <f t="shared" si="6"/>
        <v>46078.45901</v>
      </c>
      <c r="R312" s="48">
        <f t="shared" si="7"/>
        <v>40.38196706</v>
      </c>
      <c r="S312" s="41"/>
      <c r="T312" s="41"/>
      <c r="U312" s="41"/>
      <c r="V312" s="41"/>
      <c r="W312" s="41"/>
      <c r="X312" s="41"/>
      <c r="Y312" s="41"/>
      <c r="Z312" s="41"/>
    </row>
    <row r="313" ht="14.25" customHeight="1">
      <c r="A313" s="20">
        <v>312.0</v>
      </c>
      <c r="B313" s="20">
        <v>28.0</v>
      </c>
      <c r="C313" s="20">
        <v>78.0</v>
      </c>
      <c r="D313" s="20">
        <v>4.0</v>
      </c>
      <c r="E313" s="20">
        <f t="shared" si="1"/>
        <v>312</v>
      </c>
      <c r="F313" s="49">
        <v>44955.0</v>
      </c>
      <c r="G313" s="20" t="s">
        <v>50</v>
      </c>
      <c r="H313" s="20">
        <v>490.0</v>
      </c>
      <c r="I313" s="20" t="str">
        <f>VLOOKUP(B313,'товар'!$A$1:$C$433,2,FALSE)</f>
        <v>Крупа</v>
      </c>
      <c r="J313" s="50">
        <f t="shared" si="2"/>
        <v>255.1162791</v>
      </c>
      <c r="K313" s="51">
        <f t="shared" si="3"/>
        <v>-0.6942570647</v>
      </c>
      <c r="L313" s="20" t="str">
        <f>VLOOKUP(B313,'товар'!$A$1:$C$433,3,FALSE)</f>
        <v>Националь</v>
      </c>
      <c r="M313" s="52">
        <f t="shared" si="4"/>
        <v>274.2857143</v>
      </c>
      <c r="N313" s="53">
        <f>VLOOKUP(H313,'клиенты'!$A$1:$F$435,5,FALSE)</f>
        <v>44603</v>
      </c>
      <c r="O313" s="20">
        <f t="shared" si="5"/>
        <v>352</v>
      </c>
      <c r="P313" s="20" t="str">
        <f>VLOOKUP(H313,'клиенты'!$A$2:$J$435,10,FALSE)</f>
        <v>Россия</v>
      </c>
      <c r="Q313" s="54">
        <f t="shared" si="6"/>
        <v>46078.45901</v>
      </c>
      <c r="R313" s="55">
        <f t="shared" si="7"/>
        <v>49.18196706</v>
      </c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41">
        <v>313.0</v>
      </c>
      <c r="B314" s="41">
        <v>260.0</v>
      </c>
      <c r="C314" s="41">
        <v>489.0</v>
      </c>
      <c r="D314" s="41">
        <v>3.0</v>
      </c>
      <c r="E314" s="41">
        <f t="shared" si="1"/>
        <v>1467</v>
      </c>
      <c r="F314" s="42">
        <v>45297.0</v>
      </c>
      <c r="G314" s="41" t="s">
        <v>36</v>
      </c>
      <c r="H314" s="41">
        <v>98.0</v>
      </c>
      <c r="I314" s="41" t="str">
        <f>VLOOKUP(B314,'товар'!$A$1:$C$433,2,FALSE)</f>
        <v>Соль</v>
      </c>
      <c r="J314" s="43">
        <f t="shared" si="2"/>
        <v>264.8679245</v>
      </c>
      <c r="K314" s="44">
        <f t="shared" si="3"/>
        <v>0.8462031628</v>
      </c>
      <c r="L314" s="41" t="str">
        <f>VLOOKUP(B314,'товар'!$A$1:$C$433,3,FALSE)</f>
        <v>Экстра</v>
      </c>
      <c r="M314" s="45">
        <f t="shared" si="4"/>
        <v>320.8461538</v>
      </c>
      <c r="N314" s="46">
        <f>VLOOKUP(H314,'клиенты'!$A$1:$F$435,5,FALSE)</f>
        <v>44637</v>
      </c>
      <c r="O314" s="41">
        <f t="shared" si="5"/>
        <v>660</v>
      </c>
      <c r="P314" s="41" t="str">
        <f>VLOOKUP(H314,'клиенты'!$A$2:$J$435,10,FALSE)</f>
        <v>Россия</v>
      </c>
      <c r="Q314" s="47">
        <f t="shared" si="6"/>
        <v>46078.45901</v>
      </c>
      <c r="R314" s="48">
        <f t="shared" si="7"/>
        <v>48.04863372</v>
      </c>
      <c r="S314" s="41"/>
      <c r="T314" s="41"/>
      <c r="U314" s="41"/>
      <c r="V314" s="41"/>
      <c r="W314" s="41"/>
      <c r="X314" s="41"/>
      <c r="Y314" s="41"/>
      <c r="Z314" s="41"/>
    </row>
    <row r="315" ht="14.25" customHeight="1">
      <c r="A315" s="20">
        <v>314.0</v>
      </c>
      <c r="B315" s="20">
        <v>140.0</v>
      </c>
      <c r="C315" s="20">
        <v>106.0</v>
      </c>
      <c r="D315" s="20">
        <v>3.0</v>
      </c>
      <c r="E315" s="20">
        <f t="shared" si="1"/>
        <v>318</v>
      </c>
      <c r="F315" s="49">
        <v>44949.0</v>
      </c>
      <c r="G315" s="20" t="s">
        <v>52</v>
      </c>
      <c r="H315" s="20">
        <v>181.0</v>
      </c>
      <c r="I315" s="20" t="str">
        <f>VLOOKUP(B315,'товар'!$A$1:$C$433,2,FALSE)</f>
        <v>Рис</v>
      </c>
      <c r="J315" s="50">
        <f t="shared" si="2"/>
        <v>258.375</v>
      </c>
      <c r="K315" s="51">
        <f t="shared" si="3"/>
        <v>-0.5897435897</v>
      </c>
      <c r="L315" s="20" t="str">
        <f>VLOOKUP(B315,'товар'!$A$1:$C$433,3,FALSE)</f>
        <v>Белый Злат</v>
      </c>
      <c r="M315" s="52">
        <f t="shared" si="4"/>
        <v>269.7058824</v>
      </c>
      <c r="N315" s="53">
        <f>VLOOKUP(H315,'клиенты'!$A$1:$F$435,5,FALSE)</f>
        <v>44568</v>
      </c>
      <c r="O315" s="20">
        <f t="shared" si="5"/>
        <v>381</v>
      </c>
      <c r="P315" s="20" t="str">
        <f>VLOOKUP(H315,'клиенты'!$A$2:$J$435,10,FALSE)</f>
        <v>Украина</v>
      </c>
      <c r="Q315" s="54">
        <f t="shared" si="6"/>
        <v>46078.45901</v>
      </c>
      <c r="R315" s="55">
        <f t="shared" si="7"/>
        <v>50.34863372</v>
      </c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41">
        <v>315.0</v>
      </c>
      <c r="B316" s="41">
        <v>270.0</v>
      </c>
      <c r="C316" s="41">
        <v>204.0</v>
      </c>
      <c r="D316" s="41">
        <v>3.0</v>
      </c>
      <c r="E316" s="41">
        <f t="shared" si="1"/>
        <v>612</v>
      </c>
      <c r="F316" s="42">
        <v>45009.0</v>
      </c>
      <c r="G316" s="41" t="s">
        <v>54</v>
      </c>
      <c r="H316" s="41">
        <v>226.0</v>
      </c>
      <c r="I316" s="41" t="str">
        <f>VLOOKUP(B316,'товар'!$A$1:$C$433,2,FALSE)</f>
        <v>Соль</v>
      </c>
      <c r="J316" s="43">
        <f t="shared" si="2"/>
        <v>264.8679245</v>
      </c>
      <c r="K316" s="44">
        <f t="shared" si="3"/>
        <v>-0.2298048155</v>
      </c>
      <c r="L316" s="41" t="str">
        <f>VLOOKUP(B316,'товар'!$A$1:$C$433,3,FALSE)</f>
        <v>Славянская</v>
      </c>
      <c r="M316" s="45">
        <f t="shared" si="4"/>
        <v>236.9166667</v>
      </c>
      <c r="N316" s="46">
        <f>VLOOKUP(H316,'клиенты'!$A$1:$F$435,5,FALSE)</f>
        <v>44702</v>
      </c>
      <c r="O316" s="41">
        <f t="shared" si="5"/>
        <v>307</v>
      </c>
      <c r="P316" s="41" t="str">
        <f>VLOOKUP(H316,'клиенты'!$A$2:$J$435,10,FALSE)</f>
        <v>Россия</v>
      </c>
      <c r="Q316" s="47">
        <f t="shared" si="6"/>
        <v>46078.45901</v>
      </c>
      <c r="R316" s="48">
        <f t="shared" si="7"/>
        <v>45.88196706</v>
      </c>
      <c r="S316" s="41"/>
      <c r="T316" s="41"/>
      <c r="U316" s="41"/>
      <c r="V316" s="41"/>
      <c r="W316" s="41"/>
      <c r="X316" s="41"/>
      <c r="Y316" s="41"/>
      <c r="Z316" s="41"/>
    </row>
    <row r="317" ht="14.25" customHeight="1">
      <c r="A317" s="20">
        <v>316.0</v>
      </c>
      <c r="B317" s="20">
        <v>67.0</v>
      </c>
      <c r="C317" s="20">
        <v>317.0</v>
      </c>
      <c r="D317" s="20">
        <v>4.0</v>
      </c>
      <c r="E317" s="20">
        <f t="shared" si="1"/>
        <v>1268</v>
      </c>
      <c r="F317" s="49">
        <v>45222.0</v>
      </c>
      <c r="G317" s="20" t="s">
        <v>53</v>
      </c>
      <c r="H317" s="20">
        <v>322.0</v>
      </c>
      <c r="I317" s="20" t="str">
        <f>VLOOKUP(B317,'товар'!$A$1:$C$433,2,FALSE)</f>
        <v>Йогурт</v>
      </c>
      <c r="J317" s="50">
        <f t="shared" si="2"/>
        <v>263.2542373</v>
      </c>
      <c r="K317" s="51">
        <f t="shared" si="3"/>
        <v>0.2041591553</v>
      </c>
      <c r="L317" s="20" t="str">
        <f>VLOOKUP(B317,'товар'!$A$1:$C$433,3,FALSE)</f>
        <v>Чудо</v>
      </c>
      <c r="M317" s="52">
        <f t="shared" si="4"/>
        <v>287.1</v>
      </c>
      <c r="N317" s="53">
        <f>VLOOKUP(H317,'клиенты'!$A$1:$F$435,5,FALSE)</f>
        <v>44886</v>
      </c>
      <c r="O317" s="20">
        <f t="shared" si="5"/>
        <v>336</v>
      </c>
      <c r="P317" s="20" t="str">
        <f>VLOOKUP(H317,'клиенты'!$A$2:$J$435,10,FALSE)</f>
        <v>Украина</v>
      </c>
      <c r="Q317" s="54">
        <f t="shared" si="6"/>
        <v>46078.45901</v>
      </c>
      <c r="R317" s="55">
        <f t="shared" si="7"/>
        <v>39.74863372</v>
      </c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41">
        <v>317.0</v>
      </c>
      <c r="B318" s="41">
        <v>448.0</v>
      </c>
      <c r="C318" s="41">
        <v>442.0</v>
      </c>
      <c r="D318" s="41">
        <v>1.0</v>
      </c>
      <c r="E318" s="41">
        <f t="shared" si="1"/>
        <v>442</v>
      </c>
      <c r="F318" s="42">
        <v>45040.0</v>
      </c>
      <c r="G318" s="41" t="s">
        <v>44</v>
      </c>
      <c r="H318" s="41">
        <v>296.0</v>
      </c>
      <c r="I318" s="41" t="str">
        <f>VLOOKUP(B318,'товар'!$A$1:$C$433,2,FALSE)</f>
        <v>Йогурт</v>
      </c>
      <c r="J318" s="43">
        <f t="shared" si="2"/>
        <v>263.2542373</v>
      </c>
      <c r="K318" s="44">
        <f t="shared" si="3"/>
        <v>0.6789853206</v>
      </c>
      <c r="L318" s="41" t="str">
        <f>VLOOKUP(B318,'товар'!$A$1:$C$433,3,FALSE)</f>
        <v>Ростагроэкспорт</v>
      </c>
      <c r="M318" s="45">
        <f t="shared" si="4"/>
        <v>257.7826087</v>
      </c>
      <c r="N318" s="46">
        <f>VLOOKUP(H318,'клиенты'!$A$1:$F$435,5,FALSE)</f>
        <v>44758</v>
      </c>
      <c r="O318" s="41">
        <f t="shared" si="5"/>
        <v>282</v>
      </c>
      <c r="P318" s="41" t="str">
        <f>VLOOKUP(H318,'клиенты'!$A$2:$J$435,10,FALSE)</f>
        <v>Узбекистан</v>
      </c>
      <c r="Q318" s="47">
        <f t="shared" si="6"/>
        <v>46078.45901</v>
      </c>
      <c r="R318" s="48">
        <f t="shared" si="7"/>
        <v>44.01530039</v>
      </c>
      <c r="S318" s="41"/>
      <c r="T318" s="41"/>
      <c r="U318" s="41"/>
      <c r="V318" s="41"/>
      <c r="W318" s="41"/>
      <c r="X318" s="41"/>
      <c r="Y318" s="41"/>
      <c r="Z318" s="41"/>
    </row>
    <row r="319" ht="14.25" customHeight="1">
      <c r="A319" s="20">
        <v>318.0</v>
      </c>
      <c r="B319" s="20">
        <v>331.0</v>
      </c>
      <c r="C319" s="20">
        <v>88.0</v>
      </c>
      <c r="D319" s="20">
        <v>3.0</v>
      </c>
      <c r="E319" s="20">
        <f t="shared" si="1"/>
        <v>264</v>
      </c>
      <c r="F319" s="49">
        <v>45211.0</v>
      </c>
      <c r="G319" s="20" t="s">
        <v>45</v>
      </c>
      <c r="H319" s="20">
        <v>458.0</v>
      </c>
      <c r="I319" s="20" t="str">
        <f>VLOOKUP(B319,'товар'!$A$1:$C$433,2,FALSE)</f>
        <v>Соль</v>
      </c>
      <c r="J319" s="50">
        <f t="shared" si="2"/>
        <v>264.8679245</v>
      </c>
      <c r="K319" s="51">
        <f t="shared" si="3"/>
        <v>-0.66775894</v>
      </c>
      <c r="L319" s="20" t="str">
        <f>VLOOKUP(B319,'товар'!$A$1:$C$433,3,FALSE)</f>
        <v>Салта</v>
      </c>
      <c r="M319" s="52">
        <f t="shared" si="4"/>
        <v>273.7</v>
      </c>
      <c r="N319" s="53">
        <f>VLOOKUP(H319,'клиенты'!$A$1:$F$435,5,FALSE)</f>
        <v>44694</v>
      </c>
      <c r="O319" s="20">
        <f t="shared" si="5"/>
        <v>517</v>
      </c>
      <c r="P319" s="20" t="str">
        <f>VLOOKUP(H319,'клиенты'!$A$2:$J$435,10,FALSE)</f>
        <v>Россия</v>
      </c>
      <c r="Q319" s="54">
        <f t="shared" si="6"/>
        <v>46078.45901</v>
      </c>
      <c r="R319" s="55">
        <f t="shared" si="7"/>
        <v>46.14863372</v>
      </c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41">
        <v>319.0</v>
      </c>
      <c r="B320" s="41">
        <v>325.0</v>
      </c>
      <c r="C320" s="41">
        <v>99.0</v>
      </c>
      <c r="D320" s="41">
        <v>2.0</v>
      </c>
      <c r="E320" s="41">
        <f t="shared" si="1"/>
        <v>198</v>
      </c>
      <c r="F320" s="42">
        <v>45184.0</v>
      </c>
      <c r="G320" s="41" t="s">
        <v>51</v>
      </c>
      <c r="H320" s="41">
        <v>11.0</v>
      </c>
      <c r="I320" s="41" t="str">
        <f>VLOOKUP(B320,'товар'!$A$1:$C$433,2,FALSE)</f>
        <v>Сок</v>
      </c>
      <c r="J320" s="43">
        <f t="shared" si="2"/>
        <v>268.6034483</v>
      </c>
      <c r="K320" s="44">
        <f t="shared" si="3"/>
        <v>-0.6314269209</v>
      </c>
      <c r="L320" s="41" t="str">
        <f>VLOOKUP(B320,'товар'!$A$1:$C$433,3,FALSE)</f>
        <v>Добрый</v>
      </c>
      <c r="M320" s="45">
        <f t="shared" si="4"/>
        <v>242.8181818</v>
      </c>
      <c r="N320" s="46">
        <f>VLOOKUP(H320,'клиенты'!$A$1:$F$435,5,FALSE)</f>
        <v>44690</v>
      </c>
      <c r="O320" s="41">
        <f t="shared" si="5"/>
        <v>494</v>
      </c>
      <c r="P320" s="41" t="str">
        <f>VLOOKUP(H320,'клиенты'!$A$2:$J$435,10,FALSE)</f>
        <v>Таджикистан</v>
      </c>
      <c r="Q320" s="47">
        <f t="shared" si="6"/>
        <v>46078.45901</v>
      </c>
      <c r="R320" s="48">
        <f t="shared" si="7"/>
        <v>46.28196706</v>
      </c>
      <c r="S320" s="41"/>
      <c r="T320" s="41"/>
      <c r="U320" s="41"/>
      <c r="V320" s="41"/>
      <c r="W320" s="41"/>
      <c r="X320" s="41"/>
      <c r="Y320" s="41"/>
      <c r="Z320" s="41"/>
    </row>
    <row r="321" ht="14.25" customHeight="1">
      <c r="A321" s="20">
        <v>320.0</v>
      </c>
      <c r="B321" s="20">
        <v>346.0</v>
      </c>
      <c r="C321" s="20">
        <v>178.0</v>
      </c>
      <c r="D321" s="20">
        <v>5.0</v>
      </c>
      <c r="E321" s="20">
        <f t="shared" si="1"/>
        <v>890</v>
      </c>
      <c r="F321" s="49">
        <v>45297.0</v>
      </c>
      <c r="G321" s="20" t="s">
        <v>50</v>
      </c>
      <c r="H321" s="20">
        <v>75.0</v>
      </c>
      <c r="I321" s="20" t="str">
        <f>VLOOKUP(B321,'товар'!$A$1:$C$433,2,FALSE)</f>
        <v>Чай</v>
      </c>
      <c r="J321" s="50">
        <f t="shared" si="2"/>
        <v>271.1818182</v>
      </c>
      <c r="K321" s="51">
        <f t="shared" si="3"/>
        <v>-0.3436138116</v>
      </c>
      <c r="L321" s="20" t="str">
        <f>VLOOKUP(B321,'товар'!$A$1:$C$433,3,FALSE)</f>
        <v>Greenfield</v>
      </c>
      <c r="M321" s="52">
        <f t="shared" si="4"/>
        <v>291.4545455</v>
      </c>
      <c r="N321" s="53">
        <f>VLOOKUP(H321,'клиенты'!$A$1:$F$435,5,FALSE)</f>
        <v>44796</v>
      </c>
      <c r="O321" s="20">
        <f t="shared" si="5"/>
        <v>501</v>
      </c>
      <c r="P321" s="20" t="str">
        <f>VLOOKUP(H321,'клиенты'!$A$2:$J$435,10,FALSE)</f>
        <v>Украина</v>
      </c>
      <c r="Q321" s="54">
        <f t="shared" si="6"/>
        <v>46078.45901</v>
      </c>
      <c r="R321" s="55">
        <f t="shared" si="7"/>
        <v>42.74863372</v>
      </c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41">
        <v>321.0</v>
      </c>
      <c r="B322" s="41">
        <v>397.0</v>
      </c>
      <c r="C322" s="41">
        <v>299.0</v>
      </c>
      <c r="D322" s="41">
        <v>3.0</v>
      </c>
      <c r="E322" s="41">
        <f t="shared" si="1"/>
        <v>897</v>
      </c>
      <c r="F322" s="42">
        <v>45064.0</v>
      </c>
      <c r="G322" s="41" t="s">
        <v>41</v>
      </c>
      <c r="H322" s="41">
        <v>29.0</v>
      </c>
      <c r="I322" s="41" t="str">
        <f>VLOOKUP(B322,'товар'!$A$1:$C$433,2,FALSE)</f>
        <v>Йогурт</v>
      </c>
      <c r="J322" s="43">
        <f t="shared" si="2"/>
        <v>263.2542373</v>
      </c>
      <c r="K322" s="44">
        <f t="shared" si="3"/>
        <v>0.1357841875</v>
      </c>
      <c r="L322" s="41" t="str">
        <f>VLOOKUP(B322,'товар'!$A$1:$C$433,3,FALSE)</f>
        <v>Ростагроэкспорт</v>
      </c>
      <c r="M322" s="45">
        <f t="shared" si="4"/>
        <v>257.7826087</v>
      </c>
      <c r="N322" s="46">
        <f>VLOOKUP(H322,'клиенты'!$A$1:$F$435,5,FALSE)</f>
        <v>44704</v>
      </c>
      <c r="O322" s="41">
        <f t="shared" si="5"/>
        <v>360</v>
      </c>
      <c r="P322" s="41" t="str">
        <f>VLOOKUP(H322,'клиенты'!$A$2:$J$435,10,FALSE)</f>
        <v>Россия</v>
      </c>
      <c r="Q322" s="47">
        <f t="shared" si="6"/>
        <v>46078.45901</v>
      </c>
      <c r="R322" s="48">
        <f t="shared" si="7"/>
        <v>45.81530039</v>
      </c>
      <c r="S322" s="41"/>
      <c r="T322" s="41"/>
      <c r="U322" s="41"/>
      <c r="V322" s="41"/>
      <c r="W322" s="41"/>
      <c r="X322" s="41"/>
      <c r="Y322" s="41"/>
      <c r="Z322" s="41"/>
    </row>
    <row r="323" ht="14.25" customHeight="1">
      <c r="A323" s="20">
        <v>322.0</v>
      </c>
      <c r="B323" s="20">
        <v>115.0</v>
      </c>
      <c r="C323" s="20">
        <v>479.0</v>
      </c>
      <c r="D323" s="20">
        <v>1.0</v>
      </c>
      <c r="E323" s="20">
        <f t="shared" si="1"/>
        <v>479</v>
      </c>
      <c r="F323" s="49">
        <v>45283.0</v>
      </c>
      <c r="G323" s="20" t="s">
        <v>38</v>
      </c>
      <c r="H323" s="20">
        <v>297.0</v>
      </c>
      <c r="I323" s="20" t="str">
        <f>VLOOKUP(B323,'товар'!$A$1:$C$433,2,FALSE)</f>
        <v>Сыр</v>
      </c>
      <c r="J323" s="50">
        <f t="shared" si="2"/>
        <v>262.6349206</v>
      </c>
      <c r="K323" s="51">
        <f t="shared" si="3"/>
        <v>0.8238244893</v>
      </c>
      <c r="L323" s="20" t="str">
        <f>VLOOKUP(B323,'товар'!$A$1:$C$433,3,FALSE)</f>
        <v>President</v>
      </c>
      <c r="M323" s="52">
        <f t="shared" si="4"/>
        <v>238.7222222</v>
      </c>
      <c r="N323" s="53">
        <f>VLOOKUP(H323,'клиенты'!$A$1:$F$435,5,FALSE)</f>
        <v>44666</v>
      </c>
      <c r="O323" s="20">
        <f t="shared" si="5"/>
        <v>617</v>
      </c>
      <c r="P323" s="20" t="str">
        <f>VLOOKUP(H323,'клиенты'!$A$2:$J$435,10,FALSE)</f>
        <v>Украина</v>
      </c>
      <c r="Q323" s="54">
        <f t="shared" si="6"/>
        <v>46078.45901</v>
      </c>
      <c r="R323" s="55">
        <f t="shared" si="7"/>
        <v>47.08196706</v>
      </c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41">
        <v>323.0</v>
      </c>
      <c r="B324" s="41">
        <v>360.0</v>
      </c>
      <c r="C324" s="41">
        <v>463.0</v>
      </c>
      <c r="D324" s="41">
        <v>3.0</v>
      </c>
      <c r="E324" s="41">
        <f t="shared" si="1"/>
        <v>1389</v>
      </c>
      <c r="F324" s="42">
        <v>45258.0</v>
      </c>
      <c r="G324" s="41" t="s">
        <v>40</v>
      </c>
      <c r="H324" s="41">
        <v>497.0</v>
      </c>
      <c r="I324" s="41" t="str">
        <f>VLOOKUP(B324,'товар'!$A$1:$C$433,2,FALSE)</f>
        <v>Соль</v>
      </c>
      <c r="J324" s="43">
        <f t="shared" si="2"/>
        <v>264.8679245</v>
      </c>
      <c r="K324" s="44">
        <f t="shared" si="3"/>
        <v>0.7480410315</v>
      </c>
      <c r="L324" s="41" t="str">
        <f>VLOOKUP(B324,'товар'!$A$1:$C$433,3,FALSE)</f>
        <v>Славянская</v>
      </c>
      <c r="M324" s="45">
        <f t="shared" si="4"/>
        <v>236.9166667</v>
      </c>
      <c r="N324" s="46">
        <f>VLOOKUP(H324,'клиенты'!$A$1:$F$435,5,FALSE)</f>
        <v>44826</v>
      </c>
      <c r="O324" s="41">
        <f t="shared" si="5"/>
        <v>432</v>
      </c>
      <c r="P324" s="41" t="str">
        <f>VLOOKUP(H324,'клиенты'!$A$2:$J$435,10,FALSE)</f>
        <v>Узбекистан</v>
      </c>
      <c r="Q324" s="47">
        <f t="shared" si="6"/>
        <v>46078.45901</v>
      </c>
      <c r="R324" s="48">
        <f t="shared" si="7"/>
        <v>41.74863372</v>
      </c>
      <c r="S324" s="41"/>
      <c r="T324" s="41"/>
      <c r="U324" s="41"/>
      <c r="V324" s="41"/>
      <c r="W324" s="41"/>
      <c r="X324" s="41"/>
      <c r="Y324" s="41"/>
      <c r="Z324" s="41"/>
    </row>
    <row r="325" ht="14.25" customHeight="1">
      <c r="A325" s="20">
        <v>324.0</v>
      </c>
      <c r="B325" s="20">
        <v>230.0</v>
      </c>
      <c r="C325" s="20">
        <v>431.0</v>
      </c>
      <c r="D325" s="20">
        <v>3.0</v>
      </c>
      <c r="E325" s="20">
        <f t="shared" si="1"/>
        <v>1293</v>
      </c>
      <c r="F325" s="49">
        <v>45282.0</v>
      </c>
      <c r="G325" s="20" t="s">
        <v>47</v>
      </c>
      <c r="H325" s="20">
        <v>191.0</v>
      </c>
      <c r="I325" s="20" t="str">
        <f>VLOOKUP(B325,'товар'!$A$1:$C$433,2,FALSE)</f>
        <v>Сок</v>
      </c>
      <c r="J325" s="50">
        <f t="shared" si="2"/>
        <v>268.6034483</v>
      </c>
      <c r="K325" s="51">
        <f t="shared" si="3"/>
        <v>0.6045959304</v>
      </c>
      <c r="L325" s="20" t="str">
        <f>VLOOKUP(B325,'товар'!$A$1:$C$433,3,FALSE)</f>
        <v>Фруктовый сад</v>
      </c>
      <c r="M325" s="52">
        <f t="shared" si="4"/>
        <v>281.96875</v>
      </c>
      <c r="N325" s="53">
        <f>VLOOKUP(H325,'клиенты'!$A$1:$F$435,5,FALSE)</f>
        <v>44866</v>
      </c>
      <c r="O325" s="20">
        <f t="shared" si="5"/>
        <v>416</v>
      </c>
      <c r="P325" s="20" t="str">
        <f>VLOOKUP(H325,'клиенты'!$A$2:$J$435,10,FALSE)</f>
        <v>Украина</v>
      </c>
      <c r="Q325" s="54">
        <f t="shared" si="6"/>
        <v>46078.45901</v>
      </c>
      <c r="R325" s="55">
        <f t="shared" si="7"/>
        <v>40.41530039</v>
      </c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41">
        <v>325.0</v>
      </c>
      <c r="B326" s="41">
        <v>229.0</v>
      </c>
      <c r="C326" s="41">
        <v>173.0</v>
      </c>
      <c r="D326" s="41">
        <v>4.0</v>
      </c>
      <c r="E326" s="41">
        <f t="shared" si="1"/>
        <v>692</v>
      </c>
      <c r="F326" s="42">
        <v>45038.0</v>
      </c>
      <c r="G326" s="41" t="s">
        <v>49</v>
      </c>
      <c r="H326" s="41">
        <v>327.0</v>
      </c>
      <c r="I326" s="41" t="str">
        <f>VLOOKUP(B326,'товар'!$A$1:$C$433,2,FALSE)</f>
        <v>Мясо</v>
      </c>
      <c r="J326" s="43">
        <f t="shared" si="2"/>
        <v>271.7454545</v>
      </c>
      <c r="K326" s="44">
        <f t="shared" si="3"/>
        <v>-0.363374816</v>
      </c>
      <c r="L326" s="41" t="str">
        <f>VLOOKUP(B326,'товар'!$A$1:$C$433,3,FALSE)</f>
        <v>Сава</v>
      </c>
      <c r="M326" s="45">
        <f t="shared" si="4"/>
        <v>212.8125</v>
      </c>
      <c r="N326" s="46">
        <f>VLOOKUP(H326,'клиенты'!$A$1:$F$435,5,FALSE)</f>
        <v>44565</v>
      </c>
      <c r="O326" s="41">
        <f t="shared" si="5"/>
        <v>473</v>
      </c>
      <c r="P326" s="41" t="str">
        <f>VLOOKUP(H326,'клиенты'!$A$2:$J$435,10,FALSE)</f>
        <v>Таджикистан</v>
      </c>
      <c r="Q326" s="47">
        <f t="shared" si="6"/>
        <v>46078.45901</v>
      </c>
      <c r="R326" s="48">
        <f t="shared" si="7"/>
        <v>50.44863372</v>
      </c>
      <c r="S326" s="41"/>
      <c r="T326" s="41"/>
      <c r="U326" s="41"/>
      <c r="V326" s="41"/>
      <c r="W326" s="41"/>
      <c r="X326" s="41"/>
      <c r="Y326" s="41"/>
      <c r="Z326" s="41"/>
    </row>
    <row r="327" ht="14.25" customHeight="1">
      <c r="A327" s="20">
        <v>326.0</v>
      </c>
      <c r="B327" s="20">
        <v>486.0</v>
      </c>
      <c r="C327" s="20">
        <v>213.0</v>
      </c>
      <c r="D327" s="20">
        <v>1.0</v>
      </c>
      <c r="E327" s="20">
        <f t="shared" si="1"/>
        <v>213</v>
      </c>
      <c r="F327" s="49">
        <v>45279.0</v>
      </c>
      <c r="G327" s="20" t="s">
        <v>47</v>
      </c>
      <c r="H327" s="20">
        <v>58.0</v>
      </c>
      <c r="I327" s="20" t="str">
        <f>VLOOKUP(B327,'товар'!$A$1:$C$433,2,FALSE)</f>
        <v>Соль</v>
      </c>
      <c r="J327" s="50">
        <f t="shared" si="2"/>
        <v>264.8679245</v>
      </c>
      <c r="K327" s="51">
        <f t="shared" si="3"/>
        <v>-0.1958256162</v>
      </c>
      <c r="L327" s="20" t="str">
        <f>VLOOKUP(B327,'товар'!$A$1:$C$433,3,FALSE)</f>
        <v>Илецкая</v>
      </c>
      <c r="M327" s="52">
        <f t="shared" si="4"/>
        <v>238.1666667</v>
      </c>
      <c r="N327" s="53">
        <f>VLOOKUP(H327,'клиенты'!$A$1:$F$435,5,FALSE)</f>
        <v>44628</v>
      </c>
      <c r="O327" s="20">
        <f t="shared" si="5"/>
        <v>651</v>
      </c>
      <c r="P327" s="20" t="str">
        <f>VLOOKUP(H327,'клиенты'!$A$2:$J$435,10,FALSE)</f>
        <v>Беларусь</v>
      </c>
      <c r="Q327" s="54">
        <f t="shared" si="6"/>
        <v>46078.45901</v>
      </c>
      <c r="R327" s="55">
        <f t="shared" si="7"/>
        <v>48.34863372</v>
      </c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41">
        <v>327.0</v>
      </c>
      <c r="B328" s="41">
        <v>353.0</v>
      </c>
      <c r="C328" s="41">
        <v>115.0</v>
      </c>
      <c r="D328" s="41">
        <v>2.0</v>
      </c>
      <c r="E328" s="41">
        <f t="shared" si="1"/>
        <v>230</v>
      </c>
      <c r="F328" s="42">
        <v>45087.0</v>
      </c>
      <c r="G328" s="41" t="s">
        <v>54</v>
      </c>
      <c r="H328" s="41">
        <v>446.0</v>
      </c>
      <c r="I328" s="41" t="str">
        <f>VLOOKUP(B328,'товар'!$A$1:$C$433,2,FALSE)</f>
        <v>Макароны</v>
      </c>
      <c r="J328" s="43">
        <f t="shared" si="2"/>
        <v>265.4767442</v>
      </c>
      <c r="K328" s="44">
        <f t="shared" si="3"/>
        <v>-0.566817047</v>
      </c>
      <c r="L328" s="41" t="str">
        <f>VLOOKUP(B328,'товар'!$A$1:$C$433,3,FALSE)</f>
        <v>Паста Зара</v>
      </c>
      <c r="M328" s="45">
        <f t="shared" si="4"/>
        <v>276.6756757</v>
      </c>
      <c r="N328" s="46">
        <f>VLOOKUP(H328,'клиенты'!$A$1:$F$435,5,FALSE)</f>
        <v>44671</v>
      </c>
      <c r="O328" s="41">
        <f t="shared" si="5"/>
        <v>416</v>
      </c>
      <c r="P328" s="41" t="str">
        <f>VLOOKUP(H328,'клиенты'!$A$2:$J$435,10,FALSE)</f>
        <v>Таджикистан</v>
      </c>
      <c r="Q328" s="47">
        <f t="shared" si="6"/>
        <v>46078.45901</v>
      </c>
      <c r="R328" s="48">
        <f t="shared" si="7"/>
        <v>46.91530039</v>
      </c>
      <c r="S328" s="41"/>
      <c r="T328" s="41"/>
      <c r="U328" s="41"/>
      <c r="V328" s="41"/>
      <c r="W328" s="41"/>
      <c r="X328" s="41"/>
      <c r="Y328" s="41"/>
      <c r="Z328" s="41"/>
    </row>
    <row r="329" ht="14.25" customHeight="1">
      <c r="A329" s="20">
        <v>328.0</v>
      </c>
      <c r="B329" s="20">
        <v>65.0</v>
      </c>
      <c r="C329" s="20">
        <v>455.0</v>
      </c>
      <c r="D329" s="20">
        <v>5.0</v>
      </c>
      <c r="E329" s="20">
        <f t="shared" si="1"/>
        <v>2275</v>
      </c>
      <c r="F329" s="49">
        <v>45370.0</v>
      </c>
      <c r="G329" s="20" t="s">
        <v>48</v>
      </c>
      <c r="H329" s="20">
        <v>117.0</v>
      </c>
      <c r="I329" s="20" t="str">
        <f>VLOOKUP(B329,'товар'!$A$1:$C$433,2,FALSE)</f>
        <v>Хлеб</v>
      </c>
      <c r="J329" s="50">
        <f t="shared" si="2"/>
        <v>300.3181818</v>
      </c>
      <c r="K329" s="51">
        <f t="shared" si="3"/>
        <v>0.5150597851</v>
      </c>
      <c r="L329" s="20" t="str">
        <f>VLOOKUP(B329,'товар'!$A$1:$C$433,3,FALSE)</f>
        <v>Хлебный Дом</v>
      </c>
      <c r="M329" s="52">
        <f t="shared" si="4"/>
        <v>281.7333333</v>
      </c>
      <c r="N329" s="53">
        <f>VLOOKUP(H329,'клиенты'!$A$1:$F$435,5,FALSE)</f>
        <v>44706</v>
      </c>
      <c r="O329" s="20">
        <f t="shared" si="5"/>
        <v>664</v>
      </c>
      <c r="P329" s="20" t="str">
        <f>VLOOKUP(H329,'клиенты'!$A$2:$J$435,10,FALSE)</f>
        <v>Украина</v>
      </c>
      <c r="Q329" s="54">
        <f t="shared" si="6"/>
        <v>46078.45901</v>
      </c>
      <c r="R329" s="55">
        <f t="shared" si="7"/>
        <v>45.74863372</v>
      </c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41">
        <v>329.0</v>
      </c>
      <c r="B330" s="41">
        <v>490.0</v>
      </c>
      <c r="C330" s="41">
        <v>176.0</v>
      </c>
      <c r="D330" s="41">
        <v>3.0</v>
      </c>
      <c r="E330" s="41">
        <f t="shared" si="1"/>
        <v>528</v>
      </c>
      <c r="F330" s="42">
        <v>45183.0</v>
      </c>
      <c r="G330" s="41" t="s">
        <v>44</v>
      </c>
      <c r="H330" s="41">
        <v>32.0</v>
      </c>
      <c r="I330" s="41" t="str">
        <f>VLOOKUP(B330,'товар'!$A$1:$C$433,2,FALSE)</f>
        <v>Сыр</v>
      </c>
      <c r="J330" s="43">
        <f t="shared" si="2"/>
        <v>262.6349206</v>
      </c>
      <c r="K330" s="44">
        <f t="shared" si="3"/>
        <v>-0.3298682461</v>
      </c>
      <c r="L330" s="41" t="str">
        <f>VLOOKUP(B330,'товар'!$A$1:$C$433,3,FALSE)</f>
        <v>Сырная долина</v>
      </c>
      <c r="M330" s="45">
        <f t="shared" si="4"/>
        <v>271</v>
      </c>
      <c r="N330" s="46">
        <f>VLOOKUP(H330,'клиенты'!$A$1:$F$435,5,FALSE)</f>
        <v>44922</v>
      </c>
      <c r="O330" s="41">
        <f t="shared" si="5"/>
        <v>261</v>
      </c>
      <c r="P330" s="41" t="str">
        <f>VLOOKUP(H330,'клиенты'!$A$2:$J$435,10,FALSE)</f>
        <v>Узбекистан</v>
      </c>
      <c r="Q330" s="47">
        <f t="shared" si="6"/>
        <v>46078.45901</v>
      </c>
      <c r="R330" s="48">
        <f t="shared" si="7"/>
        <v>38.54863372</v>
      </c>
      <c r="S330" s="41"/>
      <c r="T330" s="41"/>
      <c r="U330" s="41"/>
      <c r="V330" s="41"/>
      <c r="W330" s="41"/>
      <c r="X330" s="41"/>
      <c r="Y330" s="41"/>
      <c r="Z330" s="41"/>
    </row>
    <row r="331" ht="14.25" customHeight="1">
      <c r="A331" s="20">
        <v>330.0</v>
      </c>
      <c r="B331" s="20">
        <v>188.0</v>
      </c>
      <c r="C331" s="20">
        <v>154.0</v>
      </c>
      <c r="D331" s="20">
        <v>4.0</v>
      </c>
      <c r="E331" s="20">
        <f t="shared" si="1"/>
        <v>616</v>
      </c>
      <c r="F331" s="49">
        <v>45243.0</v>
      </c>
      <c r="G331" s="20" t="s">
        <v>47</v>
      </c>
      <c r="H331" s="20">
        <v>187.0</v>
      </c>
      <c r="I331" s="20" t="str">
        <f>VLOOKUP(B331,'товар'!$A$1:$C$433,2,FALSE)</f>
        <v>Молоко</v>
      </c>
      <c r="J331" s="50">
        <f t="shared" si="2"/>
        <v>294.952381</v>
      </c>
      <c r="K331" s="51">
        <f t="shared" si="3"/>
        <v>-0.4778818211</v>
      </c>
      <c r="L331" s="20" t="str">
        <f>VLOOKUP(B331,'товар'!$A$1:$C$433,3,FALSE)</f>
        <v>Вимм-Билль-Данн</v>
      </c>
      <c r="M331" s="52">
        <f t="shared" si="4"/>
        <v>193.5</v>
      </c>
      <c r="N331" s="53">
        <f>VLOOKUP(H331,'клиенты'!$A$1:$F$435,5,FALSE)</f>
        <v>44848</v>
      </c>
      <c r="O331" s="20">
        <f t="shared" si="5"/>
        <v>395</v>
      </c>
      <c r="P331" s="20" t="str">
        <f>VLOOKUP(H331,'клиенты'!$A$2:$J$435,10,FALSE)</f>
        <v>Россия</v>
      </c>
      <c r="Q331" s="54">
        <f t="shared" si="6"/>
        <v>46078.45901</v>
      </c>
      <c r="R331" s="55">
        <f t="shared" si="7"/>
        <v>41.01530039</v>
      </c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41">
        <v>331.0</v>
      </c>
      <c r="B332" s="41">
        <v>17.0</v>
      </c>
      <c r="C332" s="41">
        <v>212.0</v>
      </c>
      <c r="D332" s="41">
        <v>3.0</v>
      </c>
      <c r="E332" s="41">
        <f t="shared" si="1"/>
        <v>636</v>
      </c>
      <c r="F332" s="42">
        <v>45366.0</v>
      </c>
      <c r="G332" s="41" t="s">
        <v>49</v>
      </c>
      <c r="H332" s="41">
        <v>111.0</v>
      </c>
      <c r="I332" s="41" t="str">
        <f>VLOOKUP(B332,'товар'!$A$1:$C$433,2,FALSE)</f>
        <v>Кофе</v>
      </c>
      <c r="J332" s="43">
        <f t="shared" si="2"/>
        <v>249.0238095</v>
      </c>
      <c r="K332" s="44">
        <f t="shared" si="3"/>
        <v>-0.1486757816</v>
      </c>
      <c r="L332" s="41" t="str">
        <f>VLOOKUP(B332,'товар'!$A$1:$C$433,3,FALSE)</f>
        <v>Jacobs</v>
      </c>
      <c r="M332" s="45">
        <f t="shared" si="4"/>
        <v>276.2105263</v>
      </c>
      <c r="N332" s="46">
        <f>VLOOKUP(H332,'клиенты'!$A$1:$F$435,5,FALSE)</f>
        <v>44804</v>
      </c>
      <c r="O332" s="41">
        <f t="shared" si="5"/>
        <v>562</v>
      </c>
      <c r="P332" s="41" t="str">
        <f>VLOOKUP(H332,'клиенты'!$A$2:$J$435,10,FALSE)</f>
        <v>Узбекистан</v>
      </c>
      <c r="Q332" s="47">
        <f t="shared" si="6"/>
        <v>46078.45901</v>
      </c>
      <c r="R332" s="48">
        <f t="shared" si="7"/>
        <v>42.48196706</v>
      </c>
      <c r="S332" s="41"/>
      <c r="T332" s="41"/>
      <c r="U332" s="41"/>
      <c r="V332" s="41"/>
      <c r="W332" s="41"/>
      <c r="X332" s="41"/>
      <c r="Y332" s="41"/>
      <c r="Z332" s="41"/>
    </row>
    <row r="333" ht="14.25" customHeight="1">
      <c r="A333" s="20">
        <v>332.0</v>
      </c>
      <c r="B333" s="20">
        <v>405.0</v>
      </c>
      <c r="C333" s="20">
        <v>389.0</v>
      </c>
      <c r="D333" s="20">
        <v>5.0</v>
      </c>
      <c r="E333" s="20">
        <f t="shared" si="1"/>
        <v>1945</v>
      </c>
      <c r="F333" s="49">
        <v>45009.0</v>
      </c>
      <c r="G333" s="20" t="s">
        <v>42</v>
      </c>
      <c r="H333" s="20">
        <v>231.0</v>
      </c>
      <c r="I333" s="20" t="str">
        <f>VLOOKUP(B333,'товар'!$A$1:$C$433,2,FALSE)</f>
        <v>Хлеб</v>
      </c>
      <c r="J333" s="50">
        <f t="shared" si="2"/>
        <v>300.3181818</v>
      </c>
      <c r="K333" s="51">
        <f t="shared" si="3"/>
        <v>0.2952928712</v>
      </c>
      <c r="L333" s="20" t="str">
        <f>VLOOKUP(B333,'товар'!$A$1:$C$433,3,FALSE)</f>
        <v>Каравай</v>
      </c>
      <c r="M333" s="52">
        <f t="shared" si="4"/>
        <v>331.1666667</v>
      </c>
      <c r="N333" s="53">
        <f>VLOOKUP(H333,'клиенты'!$A$1:$F$435,5,FALSE)</f>
        <v>44752</v>
      </c>
      <c r="O333" s="20">
        <f t="shared" si="5"/>
        <v>257</v>
      </c>
      <c r="P333" s="20" t="str">
        <f>VLOOKUP(H333,'клиенты'!$A$2:$J$435,10,FALSE)</f>
        <v>Россия</v>
      </c>
      <c r="Q333" s="54">
        <f t="shared" si="6"/>
        <v>46078.45901</v>
      </c>
      <c r="R333" s="55">
        <f t="shared" si="7"/>
        <v>44.21530039</v>
      </c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41">
        <v>333.0</v>
      </c>
      <c r="B334" s="41">
        <v>23.0</v>
      </c>
      <c r="C334" s="41">
        <v>476.0</v>
      </c>
      <c r="D334" s="41">
        <v>3.0</v>
      </c>
      <c r="E334" s="41">
        <f t="shared" si="1"/>
        <v>1428</v>
      </c>
      <c r="F334" s="42">
        <v>45102.0</v>
      </c>
      <c r="G334" s="41" t="s">
        <v>37</v>
      </c>
      <c r="H334" s="41">
        <v>283.0</v>
      </c>
      <c r="I334" s="41" t="str">
        <f>VLOOKUP(B334,'товар'!$A$1:$C$433,2,FALSE)</f>
        <v>Рыба</v>
      </c>
      <c r="J334" s="43">
        <f t="shared" si="2"/>
        <v>258.5128205</v>
      </c>
      <c r="K334" s="44">
        <f t="shared" si="3"/>
        <v>0.8413013291</v>
      </c>
      <c r="L334" s="41" t="str">
        <f>VLOOKUP(B334,'товар'!$A$1:$C$433,3,FALSE)</f>
        <v>Санта Бремор</v>
      </c>
      <c r="M334" s="45">
        <f t="shared" si="4"/>
        <v>216.4</v>
      </c>
      <c r="N334" s="46">
        <f>VLOOKUP(H334,'клиенты'!$A$1:$F$435,5,FALSE)</f>
        <v>44889</v>
      </c>
      <c r="O334" s="41">
        <f t="shared" si="5"/>
        <v>213</v>
      </c>
      <c r="P334" s="41" t="str">
        <f>VLOOKUP(H334,'клиенты'!$A$2:$J$435,10,FALSE)</f>
        <v>Таджикистан</v>
      </c>
      <c r="Q334" s="47">
        <f t="shared" si="6"/>
        <v>46078.45901</v>
      </c>
      <c r="R334" s="48">
        <f t="shared" si="7"/>
        <v>39.64863372</v>
      </c>
      <c r="S334" s="41"/>
      <c r="T334" s="41"/>
      <c r="U334" s="41"/>
      <c r="V334" s="41"/>
      <c r="W334" s="41"/>
      <c r="X334" s="41"/>
      <c r="Y334" s="41"/>
      <c r="Z334" s="41"/>
    </row>
    <row r="335" ht="14.25" customHeight="1">
      <c r="A335" s="20">
        <v>334.0</v>
      </c>
      <c r="B335" s="20">
        <v>99.0</v>
      </c>
      <c r="C335" s="20">
        <v>51.0</v>
      </c>
      <c r="D335" s="20">
        <v>5.0</v>
      </c>
      <c r="E335" s="20">
        <f t="shared" si="1"/>
        <v>255</v>
      </c>
      <c r="F335" s="49">
        <v>45423.0</v>
      </c>
      <c r="G335" s="20" t="s">
        <v>51</v>
      </c>
      <c r="H335" s="20">
        <v>265.0</v>
      </c>
      <c r="I335" s="20" t="str">
        <f>VLOOKUP(B335,'товар'!$A$1:$C$433,2,FALSE)</f>
        <v>Овощи</v>
      </c>
      <c r="J335" s="50">
        <f t="shared" si="2"/>
        <v>250.4878049</v>
      </c>
      <c r="K335" s="51">
        <f t="shared" si="3"/>
        <v>-0.7963972736</v>
      </c>
      <c r="L335" s="20" t="str">
        <f>VLOOKUP(B335,'товар'!$A$1:$C$433,3,FALSE)</f>
        <v>Семко</v>
      </c>
      <c r="M335" s="52">
        <f t="shared" si="4"/>
        <v>208</v>
      </c>
      <c r="N335" s="53">
        <f>VLOOKUP(H335,'клиенты'!$A$1:$F$435,5,FALSE)</f>
        <v>44756</v>
      </c>
      <c r="O335" s="20">
        <f t="shared" si="5"/>
        <v>667</v>
      </c>
      <c r="P335" s="20" t="str">
        <f>VLOOKUP(H335,'клиенты'!$A$2:$J$435,10,FALSE)</f>
        <v>Узбекистан</v>
      </c>
      <c r="Q335" s="54">
        <f t="shared" si="6"/>
        <v>46078.45901</v>
      </c>
      <c r="R335" s="55">
        <f t="shared" si="7"/>
        <v>44.08196706</v>
      </c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41">
        <v>335.0</v>
      </c>
      <c r="B336" s="41">
        <v>196.0</v>
      </c>
      <c r="C336" s="41">
        <v>452.0</v>
      </c>
      <c r="D336" s="41">
        <v>2.0</v>
      </c>
      <c r="E336" s="41">
        <f t="shared" si="1"/>
        <v>904</v>
      </c>
      <c r="F336" s="42">
        <v>45337.0</v>
      </c>
      <c r="G336" s="41" t="s">
        <v>45</v>
      </c>
      <c r="H336" s="41">
        <v>136.0</v>
      </c>
      <c r="I336" s="41" t="str">
        <f>VLOOKUP(B336,'товар'!$A$1:$C$433,2,FALSE)</f>
        <v>Конфеты</v>
      </c>
      <c r="J336" s="43">
        <f t="shared" si="2"/>
        <v>267.8548387</v>
      </c>
      <c r="K336" s="44">
        <f t="shared" si="3"/>
        <v>0.6874811826</v>
      </c>
      <c r="L336" s="41" t="str">
        <f>VLOOKUP(B336,'товар'!$A$1:$C$433,3,FALSE)</f>
        <v>Рот Фронт</v>
      </c>
      <c r="M336" s="45">
        <f t="shared" si="4"/>
        <v>288.2380952</v>
      </c>
      <c r="N336" s="46">
        <f>VLOOKUP(H336,'клиенты'!$A$1:$F$435,5,FALSE)</f>
        <v>44860</v>
      </c>
      <c r="O336" s="41">
        <f t="shared" si="5"/>
        <v>477</v>
      </c>
      <c r="P336" s="41" t="str">
        <f>VLOOKUP(H336,'клиенты'!$A$2:$J$435,10,FALSE)</f>
        <v>Украина</v>
      </c>
      <c r="Q336" s="47">
        <f t="shared" si="6"/>
        <v>46078.45901</v>
      </c>
      <c r="R336" s="48">
        <f t="shared" si="7"/>
        <v>40.61530039</v>
      </c>
      <c r="S336" s="41"/>
      <c r="T336" s="41"/>
      <c r="U336" s="41"/>
      <c r="V336" s="41"/>
      <c r="W336" s="41"/>
      <c r="X336" s="41"/>
      <c r="Y336" s="41"/>
      <c r="Z336" s="41"/>
    </row>
    <row r="337" ht="14.25" customHeight="1">
      <c r="A337" s="20">
        <v>336.0</v>
      </c>
      <c r="B337" s="20">
        <v>415.0</v>
      </c>
      <c r="C337" s="20">
        <v>222.0</v>
      </c>
      <c r="D337" s="20">
        <v>3.0</v>
      </c>
      <c r="E337" s="20">
        <f t="shared" si="1"/>
        <v>666</v>
      </c>
      <c r="F337" s="49">
        <v>45161.0</v>
      </c>
      <c r="G337" s="20" t="s">
        <v>36</v>
      </c>
      <c r="H337" s="20">
        <v>395.0</v>
      </c>
      <c r="I337" s="20" t="str">
        <f>VLOOKUP(B337,'товар'!$A$1:$C$433,2,FALSE)</f>
        <v>Чипсы</v>
      </c>
      <c r="J337" s="50">
        <f t="shared" si="2"/>
        <v>273.7254902</v>
      </c>
      <c r="K337" s="51">
        <f t="shared" si="3"/>
        <v>-0.1889684814</v>
      </c>
      <c r="L337" s="20" t="str">
        <f>VLOOKUP(B337,'товар'!$A$1:$C$433,3,FALSE)</f>
        <v>Pringles</v>
      </c>
      <c r="M337" s="52">
        <f t="shared" si="4"/>
        <v>280.2380952</v>
      </c>
      <c r="N337" s="53">
        <f>VLOOKUP(H337,'клиенты'!$A$1:$F$435,5,FALSE)</f>
        <v>44890</v>
      </c>
      <c r="O337" s="20">
        <f t="shared" si="5"/>
        <v>271</v>
      </c>
      <c r="P337" s="20" t="str">
        <f>VLOOKUP(H337,'клиенты'!$A$2:$J$435,10,FALSE)</f>
        <v>Узбекистан</v>
      </c>
      <c r="Q337" s="54">
        <f t="shared" si="6"/>
        <v>46078.45901</v>
      </c>
      <c r="R337" s="55">
        <f t="shared" si="7"/>
        <v>39.61530039</v>
      </c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41">
        <v>337.0</v>
      </c>
      <c r="B338" s="41">
        <v>328.0</v>
      </c>
      <c r="C338" s="41">
        <v>100.0</v>
      </c>
      <c r="D338" s="41">
        <v>1.0</v>
      </c>
      <c r="E338" s="41">
        <f t="shared" si="1"/>
        <v>100</v>
      </c>
      <c r="F338" s="42">
        <v>45077.0</v>
      </c>
      <c r="G338" s="41" t="s">
        <v>43</v>
      </c>
      <c r="H338" s="41">
        <v>391.0</v>
      </c>
      <c r="I338" s="41" t="str">
        <f>VLOOKUP(B338,'товар'!$A$1:$C$433,2,FALSE)</f>
        <v>Чипсы</v>
      </c>
      <c r="J338" s="43">
        <f t="shared" si="2"/>
        <v>273.7254902</v>
      </c>
      <c r="K338" s="44">
        <f t="shared" si="3"/>
        <v>-0.6346704871</v>
      </c>
      <c r="L338" s="41" t="str">
        <f>VLOOKUP(B338,'товар'!$A$1:$C$433,3,FALSE)</f>
        <v>Русская картошка</v>
      </c>
      <c r="M338" s="45">
        <f t="shared" si="4"/>
        <v>241.8333333</v>
      </c>
      <c r="N338" s="46">
        <f>VLOOKUP(H338,'клиенты'!$A$1:$F$435,5,FALSE)</f>
        <v>44675</v>
      </c>
      <c r="O338" s="41">
        <f t="shared" si="5"/>
        <v>402</v>
      </c>
      <c r="P338" s="41" t="str">
        <f>VLOOKUP(H338,'клиенты'!$A$2:$J$435,10,FALSE)</f>
        <v>Таджикистан</v>
      </c>
      <c r="Q338" s="47">
        <f t="shared" si="6"/>
        <v>46078.45901</v>
      </c>
      <c r="R338" s="48">
        <f t="shared" si="7"/>
        <v>46.78196706</v>
      </c>
      <c r="S338" s="41"/>
      <c r="T338" s="41"/>
      <c r="U338" s="41"/>
      <c r="V338" s="41"/>
      <c r="W338" s="41"/>
      <c r="X338" s="41"/>
      <c r="Y338" s="41"/>
      <c r="Z338" s="41"/>
    </row>
    <row r="339" ht="14.25" customHeight="1">
      <c r="A339" s="20">
        <v>338.0</v>
      </c>
      <c r="B339" s="20">
        <v>271.0</v>
      </c>
      <c r="C339" s="20">
        <v>382.0</v>
      </c>
      <c r="D339" s="20">
        <v>1.0</v>
      </c>
      <c r="E339" s="20">
        <f t="shared" si="1"/>
        <v>382</v>
      </c>
      <c r="F339" s="49">
        <v>45182.0</v>
      </c>
      <c r="G339" s="20" t="s">
        <v>46</v>
      </c>
      <c r="H339" s="20">
        <v>355.0</v>
      </c>
      <c r="I339" s="20" t="str">
        <f>VLOOKUP(B339,'товар'!$A$1:$C$433,2,FALSE)</f>
        <v>Сыр</v>
      </c>
      <c r="J339" s="50">
        <f t="shared" si="2"/>
        <v>262.6349206</v>
      </c>
      <c r="K339" s="51">
        <f t="shared" si="3"/>
        <v>0.4544905113</v>
      </c>
      <c r="L339" s="20" t="str">
        <f>VLOOKUP(B339,'товар'!$A$1:$C$433,3,FALSE)</f>
        <v>Сырная долина</v>
      </c>
      <c r="M339" s="52">
        <f t="shared" si="4"/>
        <v>271</v>
      </c>
      <c r="N339" s="53">
        <f>VLOOKUP(H339,'клиенты'!$A$1:$F$435,5,FALSE)</f>
        <v>44631</v>
      </c>
      <c r="O339" s="20">
        <f t="shared" si="5"/>
        <v>551</v>
      </c>
      <c r="P339" s="20" t="str">
        <f>VLOOKUP(H339,'клиенты'!$A$2:$J$435,10,FALSE)</f>
        <v>Россия</v>
      </c>
      <c r="Q339" s="54">
        <f t="shared" si="6"/>
        <v>46078.45901</v>
      </c>
      <c r="R339" s="55">
        <f t="shared" si="7"/>
        <v>48.24863372</v>
      </c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41">
        <v>339.0</v>
      </c>
      <c r="B340" s="41">
        <v>204.0</v>
      </c>
      <c r="C340" s="41">
        <v>279.0</v>
      </c>
      <c r="D340" s="41">
        <v>4.0</v>
      </c>
      <c r="E340" s="41">
        <f t="shared" si="1"/>
        <v>1116</v>
      </c>
      <c r="F340" s="42">
        <v>45227.0</v>
      </c>
      <c r="G340" s="41" t="s">
        <v>53</v>
      </c>
      <c r="H340" s="41">
        <v>277.0</v>
      </c>
      <c r="I340" s="41" t="str">
        <f>VLOOKUP(B340,'товар'!$A$1:$C$433,2,FALSE)</f>
        <v>Печенье</v>
      </c>
      <c r="J340" s="43">
        <f t="shared" si="2"/>
        <v>283.4680851</v>
      </c>
      <c r="K340" s="44">
        <f t="shared" si="3"/>
        <v>-0.01576221572</v>
      </c>
      <c r="L340" s="41" t="str">
        <f>VLOOKUP(B340,'товар'!$A$1:$C$433,3,FALSE)</f>
        <v>Юбилейное</v>
      </c>
      <c r="M340" s="45">
        <f t="shared" si="4"/>
        <v>232.4444444</v>
      </c>
      <c r="N340" s="46">
        <f>VLOOKUP(H340,'клиенты'!$A$1:$F$435,5,FALSE)</f>
        <v>44750</v>
      </c>
      <c r="O340" s="41">
        <f t="shared" si="5"/>
        <v>477</v>
      </c>
      <c r="P340" s="41" t="str">
        <f>VLOOKUP(H340,'клиенты'!$A$2:$J$435,10,FALSE)</f>
        <v>Россия</v>
      </c>
      <c r="Q340" s="47">
        <f t="shared" si="6"/>
        <v>46078.45901</v>
      </c>
      <c r="R340" s="48">
        <f t="shared" si="7"/>
        <v>44.28196706</v>
      </c>
      <c r="S340" s="41"/>
      <c r="T340" s="41"/>
      <c r="U340" s="41"/>
      <c r="V340" s="41"/>
      <c r="W340" s="41"/>
      <c r="X340" s="41"/>
      <c r="Y340" s="41"/>
      <c r="Z340" s="41"/>
    </row>
    <row r="341" ht="14.25" customHeight="1">
      <c r="A341" s="20">
        <v>340.0</v>
      </c>
      <c r="B341" s="20">
        <v>60.0</v>
      </c>
      <c r="C341" s="20">
        <v>500.0</v>
      </c>
      <c r="D341" s="20">
        <v>2.0</v>
      </c>
      <c r="E341" s="20">
        <f t="shared" si="1"/>
        <v>1000</v>
      </c>
      <c r="F341" s="49">
        <v>45125.0</v>
      </c>
      <c r="G341" s="20" t="s">
        <v>40</v>
      </c>
      <c r="H341" s="20">
        <v>145.0</v>
      </c>
      <c r="I341" s="20" t="str">
        <f>VLOOKUP(B341,'товар'!$A$1:$C$433,2,FALSE)</f>
        <v>Кофе</v>
      </c>
      <c r="J341" s="50">
        <f t="shared" si="2"/>
        <v>249.0238095</v>
      </c>
      <c r="K341" s="51">
        <f t="shared" si="3"/>
        <v>1.007840138</v>
      </c>
      <c r="L341" s="20" t="str">
        <f>VLOOKUP(B341,'товар'!$A$1:$C$433,3,FALSE)</f>
        <v>Jacobs</v>
      </c>
      <c r="M341" s="52">
        <f t="shared" si="4"/>
        <v>276.2105263</v>
      </c>
      <c r="N341" s="53">
        <f>VLOOKUP(H341,'клиенты'!$A$1:$F$435,5,FALSE)</f>
        <v>44653</v>
      </c>
      <c r="O341" s="20">
        <f t="shared" si="5"/>
        <v>472</v>
      </c>
      <c r="P341" s="20" t="str">
        <f>VLOOKUP(H341,'клиенты'!$A$2:$J$435,10,FALSE)</f>
        <v>Украина</v>
      </c>
      <c r="Q341" s="54">
        <f t="shared" si="6"/>
        <v>46078.45901</v>
      </c>
      <c r="R341" s="55">
        <f t="shared" si="7"/>
        <v>47.51530039</v>
      </c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41">
        <v>341.0</v>
      </c>
      <c r="B342" s="41">
        <v>76.0</v>
      </c>
      <c r="C342" s="41">
        <v>92.0</v>
      </c>
      <c r="D342" s="41">
        <v>2.0</v>
      </c>
      <c r="E342" s="41">
        <f t="shared" si="1"/>
        <v>184</v>
      </c>
      <c r="F342" s="42">
        <v>45232.0</v>
      </c>
      <c r="G342" s="41" t="s">
        <v>45</v>
      </c>
      <c r="H342" s="41">
        <v>104.0</v>
      </c>
      <c r="I342" s="41" t="str">
        <f>VLOOKUP(B342,'товар'!$A$1:$C$433,2,FALSE)</f>
        <v>Печенье</v>
      </c>
      <c r="J342" s="43">
        <f t="shared" si="2"/>
        <v>283.4680851</v>
      </c>
      <c r="K342" s="44">
        <f t="shared" si="3"/>
        <v>-0.6754484726</v>
      </c>
      <c r="L342" s="41" t="str">
        <f>VLOOKUP(B342,'товар'!$A$1:$C$433,3,FALSE)</f>
        <v>Юбилейное</v>
      </c>
      <c r="M342" s="45">
        <f t="shared" si="4"/>
        <v>232.4444444</v>
      </c>
      <c r="N342" s="46">
        <f>VLOOKUP(H342,'клиенты'!$A$1:$F$435,5,FALSE)</f>
        <v>44772</v>
      </c>
      <c r="O342" s="41">
        <f t="shared" si="5"/>
        <v>460</v>
      </c>
      <c r="P342" s="41" t="str">
        <f>VLOOKUP(H342,'клиенты'!$A$2:$J$435,10,FALSE)</f>
        <v>Узбекистан</v>
      </c>
      <c r="Q342" s="47">
        <f t="shared" si="6"/>
        <v>46078.45901</v>
      </c>
      <c r="R342" s="48">
        <f t="shared" si="7"/>
        <v>43.54863372</v>
      </c>
      <c r="S342" s="41"/>
      <c r="T342" s="41"/>
      <c r="U342" s="41"/>
      <c r="V342" s="41"/>
      <c r="W342" s="41"/>
      <c r="X342" s="41"/>
      <c r="Y342" s="41"/>
      <c r="Z342" s="41"/>
    </row>
    <row r="343" ht="14.25" customHeight="1">
      <c r="A343" s="20">
        <v>342.0</v>
      </c>
      <c r="B343" s="20">
        <v>201.0</v>
      </c>
      <c r="C343" s="20">
        <v>179.0</v>
      </c>
      <c r="D343" s="20">
        <v>5.0</v>
      </c>
      <c r="E343" s="20">
        <f t="shared" si="1"/>
        <v>895</v>
      </c>
      <c r="F343" s="49">
        <v>45091.0</v>
      </c>
      <c r="G343" s="20" t="s">
        <v>42</v>
      </c>
      <c r="H343" s="20">
        <v>109.0</v>
      </c>
      <c r="I343" s="20" t="str">
        <f>VLOOKUP(B343,'товар'!$A$1:$C$433,2,FALSE)</f>
        <v>Печенье</v>
      </c>
      <c r="J343" s="50">
        <f t="shared" si="2"/>
        <v>283.4680851</v>
      </c>
      <c r="K343" s="51">
        <f t="shared" si="3"/>
        <v>-0.3685356151</v>
      </c>
      <c r="L343" s="20" t="str">
        <f>VLOOKUP(B343,'товар'!$A$1:$C$433,3,FALSE)</f>
        <v>Белогорье</v>
      </c>
      <c r="M343" s="52">
        <f t="shared" si="4"/>
        <v>249.5</v>
      </c>
      <c r="N343" s="53">
        <f>VLOOKUP(H343,'клиенты'!$A$1:$F$435,5,FALSE)</f>
        <v>44732</v>
      </c>
      <c r="O343" s="20">
        <f t="shared" si="5"/>
        <v>359</v>
      </c>
      <c r="P343" s="20" t="str">
        <f>VLOOKUP(H343,'клиенты'!$A$2:$J$435,10,FALSE)</f>
        <v>Украина</v>
      </c>
      <c r="Q343" s="54">
        <f t="shared" si="6"/>
        <v>46078.45901</v>
      </c>
      <c r="R343" s="55">
        <f t="shared" si="7"/>
        <v>44.88196706</v>
      </c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41">
        <v>343.0</v>
      </c>
      <c r="B344" s="41">
        <v>462.0</v>
      </c>
      <c r="C344" s="41">
        <v>209.0</v>
      </c>
      <c r="D344" s="41">
        <v>4.0</v>
      </c>
      <c r="E344" s="41">
        <f t="shared" si="1"/>
        <v>836</v>
      </c>
      <c r="F344" s="42">
        <v>45116.0</v>
      </c>
      <c r="G344" s="41" t="s">
        <v>50</v>
      </c>
      <c r="H344" s="41">
        <v>369.0</v>
      </c>
      <c r="I344" s="41" t="str">
        <f>VLOOKUP(B344,'товар'!$A$1:$C$433,2,FALSE)</f>
        <v>Рис</v>
      </c>
      <c r="J344" s="43">
        <f t="shared" si="2"/>
        <v>258.375</v>
      </c>
      <c r="K344" s="44">
        <f t="shared" si="3"/>
        <v>-0.19109821</v>
      </c>
      <c r="L344" s="41" t="str">
        <f>VLOOKUP(B344,'товар'!$A$1:$C$433,3,FALSE)</f>
        <v>Белый Злат</v>
      </c>
      <c r="M344" s="45">
        <f t="shared" si="4"/>
        <v>269.7058824</v>
      </c>
      <c r="N344" s="46">
        <f>VLOOKUP(H344,'клиенты'!$A$1:$F$435,5,FALSE)</f>
        <v>44678</v>
      </c>
      <c r="O344" s="41">
        <f t="shared" si="5"/>
        <v>438</v>
      </c>
      <c r="P344" s="41" t="str">
        <f>VLOOKUP(H344,'клиенты'!$A$2:$J$435,10,FALSE)</f>
        <v>Россия</v>
      </c>
      <c r="Q344" s="47">
        <f t="shared" si="6"/>
        <v>46078.45901</v>
      </c>
      <c r="R344" s="48">
        <f t="shared" si="7"/>
        <v>46.68196706</v>
      </c>
      <c r="S344" s="41"/>
      <c r="T344" s="41"/>
      <c r="U344" s="41"/>
      <c r="V344" s="41"/>
      <c r="W344" s="41"/>
      <c r="X344" s="41"/>
      <c r="Y344" s="41"/>
      <c r="Z344" s="41"/>
    </row>
    <row r="345" ht="14.25" customHeight="1">
      <c r="A345" s="20">
        <v>344.0</v>
      </c>
      <c r="B345" s="20">
        <v>210.0</v>
      </c>
      <c r="C345" s="20">
        <v>486.0</v>
      </c>
      <c r="D345" s="20">
        <v>5.0</v>
      </c>
      <c r="E345" s="20">
        <f t="shared" si="1"/>
        <v>2430</v>
      </c>
      <c r="F345" s="49">
        <v>45350.0</v>
      </c>
      <c r="G345" s="20" t="s">
        <v>52</v>
      </c>
      <c r="H345" s="20">
        <v>78.0</v>
      </c>
      <c r="I345" s="20" t="str">
        <f>VLOOKUP(B345,'товар'!$A$1:$C$433,2,FALSE)</f>
        <v>Колбаса</v>
      </c>
      <c r="J345" s="50">
        <f t="shared" si="2"/>
        <v>286.9230769</v>
      </c>
      <c r="K345" s="51">
        <f t="shared" si="3"/>
        <v>0.6938337802</v>
      </c>
      <c r="L345" s="20" t="str">
        <f>VLOOKUP(B345,'товар'!$A$1:$C$433,3,FALSE)</f>
        <v>Окраина</v>
      </c>
      <c r="M345" s="52">
        <f t="shared" si="4"/>
        <v>273.5833333</v>
      </c>
      <c r="N345" s="53">
        <f>VLOOKUP(H345,'клиенты'!$A$1:$F$435,5,FALSE)</f>
        <v>44658</v>
      </c>
      <c r="O345" s="20">
        <f t="shared" si="5"/>
        <v>692</v>
      </c>
      <c r="P345" s="20" t="str">
        <f>VLOOKUP(H345,'клиенты'!$A$2:$J$435,10,FALSE)</f>
        <v>Украина</v>
      </c>
      <c r="Q345" s="54">
        <f t="shared" si="6"/>
        <v>46078.45901</v>
      </c>
      <c r="R345" s="55">
        <f t="shared" si="7"/>
        <v>47.34863372</v>
      </c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41">
        <v>345.0</v>
      </c>
      <c r="B346" s="41">
        <v>404.0</v>
      </c>
      <c r="C346" s="41">
        <v>123.0</v>
      </c>
      <c r="D346" s="41">
        <v>1.0</v>
      </c>
      <c r="E346" s="41">
        <f t="shared" si="1"/>
        <v>123</v>
      </c>
      <c r="F346" s="42">
        <v>45346.0</v>
      </c>
      <c r="G346" s="41" t="s">
        <v>38</v>
      </c>
      <c r="H346" s="41">
        <v>298.0</v>
      </c>
      <c r="I346" s="41" t="str">
        <f>VLOOKUP(B346,'товар'!$A$1:$C$433,2,FALSE)</f>
        <v>Йогурт</v>
      </c>
      <c r="J346" s="43">
        <f t="shared" si="2"/>
        <v>263.2542373</v>
      </c>
      <c r="K346" s="44">
        <f t="shared" si="3"/>
        <v>-0.5327710533</v>
      </c>
      <c r="L346" s="41" t="str">
        <f>VLOOKUP(B346,'товар'!$A$1:$C$433,3,FALSE)</f>
        <v>Ростагроэкспорт</v>
      </c>
      <c r="M346" s="45">
        <f t="shared" si="4"/>
        <v>257.7826087</v>
      </c>
      <c r="N346" s="46">
        <f>VLOOKUP(H346,'клиенты'!$A$1:$F$435,5,FALSE)</f>
        <v>44821</v>
      </c>
      <c r="O346" s="41">
        <f t="shared" si="5"/>
        <v>525</v>
      </c>
      <c r="P346" s="41" t="str">
        <f>VLOOKUP(H346,'клиенты'!$A$2:$J$435,10,FALSE)</f>
        <v>Украина</v>
      </c>
      <c r="Q346" s="47">
        <f t="shared" si="6"/>
        <v>46078.45901</v>
      </c>
      <c r="R346" s="48">
        <f t="shared" si="7"/>
        <v>41.91530039</v>
      </c>
      <c r="S346" s="41"/>
      <c r="T346" s="41"/>
      <c r="U346" s="41"/>
      <c r="V346" s="41"/>
      <c r="W346" s="41"/>
      <c r="X346" s="41"/>
      <c r="Y346" s="41"/>
      <c r="Z346" s="41"/>
    </row>
    <row r="347" ht="14.25" customHeight="1">
      <c r="A347" s="20">
        <v>346.0</v>
      </c>
      <c r="B347" s="20">
        <v>178.0</v>
      </c>
      <c r="C347" s="20">
        <v>179.0</v>
      </c>
      <c r="D347" s="20">
        <v>1.0</v>
      </c>
      <c r="E347" s="20">
        <f t="shared" si="1"/>
        <v>179</v>
      </c>
      <c r="F347" s="49">
        <v>44938.0</v>
      </c>
      <c r="G347" s="20" t="s">
        <v>54</v>
      </c>
      <c r="H347" s="20">
        <v>130.0</v>
      </c>
      <c r="I347" s="20" t="str">
        <f>VLOOKUP(B347,'товар'!$A$1:$C$433,2,FALSE)</f>
        <v>Йогурт</v>
      </c>
      <c r="J347" s="50">
        <f t="shared" si="2"/>
        <v>263.2542373</v>
      </c>
      <c r="K347" s="51">
        <f t="shared" si="3"/>
        <v>-0.3200489312</v>
      </c>
      <c r="L347" s="20" t="str">
        <f>VLOOKUP(B347,'товар'!$A$1:$C$433,3,FALSE)</f>
        <v>Ростагроэкспорт</v>
      </c>
      <c r="M347" s="52">
        <f t="shared" si="4"/>
        <v>257.7826087</v>
      </c>
      <c r="N347" s="53">
        <f>VLOOKUP(H347,'клиенты'!$A$1:$F$435,5,FALSE)</f>
        <v>44863</v>
      </c>
      <c r="O347" s="20">
        <f t="shared" si="5"/>
        <v>75</v>
      </c>
      <c r="P347" s="20" t="str">
        <f>VLOOKUP(H347,'клиенты'!$A$2:$J$435,10,FALSE)</f>
        <v>Таджикистан</v>
      </c>
      <c r="Q347" s="54">
        <f t="shared" si="6"/>
        <v>46078.45901</v>
      </c>
      <c r="R347" s="55">
        <f t="shared" si="7"/>
        <v>40.51530039</v>
      </c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41">
        <v>347.0</v>
      </c>
      <c r="B348" s="41">
        <v>423.0</v>
      </c>
      <c r="C348" s="41">
        <v>218.0</v>
      </c>
      <c r="D348" s="41">
        <v>3.0</v>
      </c>
      <c r="E348" s="41">
        <f t="shared" si="1"/>
        <v>654</v>
      </c>
      <c r="F348" s="42">
        <v>45036.0</v>
      </c>
      <c r="G348" s="41" t="s">
        <v>51</v>
      </c>
      <c r="H348" s="41">
        <v>66.0</v>
      </c>
      <c r="I348" s="41" t="str">
        <f>VLOOKUP(B348,'товар'!$A$1:$C$433,2,FALSE)</f>
        <v>Чипсы</v>
      </c>
      <c r="J348" s="43">
        <f t="shared" si="2"/>
        <v>273.7254902</v>
      </c>
      <c r="K348" s="44">
        <f t="shared" si="3"/>
        <v>-0.2035816619</v>
      </c>
      <c r="L348" s="41" t="str">
        <f>VLOOKUP(B348,'товар'!$A$1:$C$433,3,FALSE)</f>
        <v>Pringles</v>
      </c>
      <c r="M348" s="45">
        <f t="shared" si="4"/>
        <v>280.2380952</v>
      </c>
      <c r="N348" s="46">
        <f>VLOOKUP(H348,'клиенты'!$A$1:$F$435,5,FALSE)</f>
        <v>44777</v>
      </c>
      <c r="O348" s="41">
        <f t="shared" si="5"/>
        <v>259</v>
      </c>
      <c r="P348" s="41" t="str">
        <f>VLOOKUP(H348,'клиенты'!$A$2:$J$435,10,FALSE)</f>
        <v>Россия</v>
      </c>
      <c r="Q348" s="47">
        <f t="shared" si="6"/>
        <v>46078.45901</v>
      </c>
      <c r="R348" s="48">
        <f t="shared" si="7"/>
        <v>43.38196706</v>
      </c>
      <c r="S348" s="41"/>
      <c r="T348" s="41"/>
      <c r="U348" s="41"/>
      <c r="V348" s="41"/>
      <c r="W348" s="41"/>
      <c r="X348" s="41"/>
      <c r="Y348" s="41"/>
      <c r="Z348" s="41"/>
    </row>
    <row r="349" ht="14.25" customHeight="1">
      <c r="A349" s="20">
        <v>348.0</v>
      </c>
      <c r="B349" s="20">
        <v>70.0</v>
      </c>
      <c r="C349" s="20">
        <v>51.0</v>
      </c>
      <c r="D349" s="20">
        <v>1.0</v>
      </c>
      <c r="E349" s="20">
        <f t="shared" si="1"/>
        <v>51</v>
      </c>
      <c r="F349" s="49">
        <v>45314.0</v>
      </c>
      <c r="G349" s="20" t="s">
        <v>46</v>
      </c>
      <c r="H349" s="20">
        <v>261.0</v>
      </c>
      <c r="I349" s="20" t="str">
        <f>VLOOKUP(B349,'товар'!$A$1:$C$433,2,FALSE)</f>
        <v>Рис</v>
      </c>
      <c r="J349" s="50">
        <f t="shared" si="2"/>
        <v>258.375</v>
      </c>
      <c r="K349" s="51">
        <f t="shared" si="3"/>
        <v>-0.8026124819</v>
      </c>
      <c r="L349" s="20" t="str">
        <f>VLOOKUP(B349,'товар'!$A$1:$C$433,3,FALSE)</f>
        <v>Мистраль</v>
      </c>
      <c r="M349" s="52">
        <f t="shared" si="4"/>
        <v>181.5714286</v>
      </c>
      <c r="N349" s="53">
        <f>VLOOKUP(H349,'клиенты'!$A$1:$F$435,5,FALSE)</f>
        <v>44848</v>
      </c>
      <c r="O349" s="20">
        <f t="shared" si="5"/>
        <v>466</v>
      </c>
      <c r="P349" s="20" t="str">
        <f>VLOOKUP(H349,'клиенты'!$A$2:$J$435,10,FALSE)</f>
        <v>Россия</v>
      </c>
      <c r="Q349" s="54">
        <f t="shared" si="6"/>
        <v>46078.45901</v>
      </c>
      <c r="R349" s="55">
        <f t="shared" si="7"/>
        <v>41.01530039</v>
      </c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41">
        <v>349.0</v>
      </c>
      <c r="B350" s="41">
        <v>335.0</v>
      </c>
      <c r="C350" s="41">
        <v>392.0</v>
      </c>
      <c r="D350" s="41">
        <v>5.0</v>
      </c>
      <c r="E350" s="41">
        <f t="shared" si="1"/>
        <v>1960</v>
      </c>
      <c r="F350" s="42">
        <v>45217.0</v>
      </c>
      <c r="G350" s="41" t="s">
        <v>51</v>
      </c>
      <c r="H350" s="41">
        <v>307.0</v>
      </c>
      <c r="I350" s="41" t="str">
        <f>VLOOKUP(B350,'товар'!$A$1:$C$433,2,FALSE)</f>
        <v>Хлеб</v>
      </c>
      <c r="J350" s="43">
        <f t="shared" si="2"/>
        <v>300.3181818</v>
      </c>
      <c r="K350" s="44">
        <f t="shared" si="3"/>
        <v>0.3052822764</v>
      </c>
      <c r="L350" s="41" t="str">
        <f>VLOOKUP(B350,'товар'!$A$1:$C$433,3,FALSE)</f>
        <v>Каравай</v>
      </c>
      <c r="M350" s="45">
        <f t="shared" si="4"/>
        <v>331.1666667</v>
      </c>
      <c r="N350" s="46">
        <f>VLOOKUP(H350,'клиенты'!$A$1:$F$435,5,FALSE)</f>
        <v>44764</v>
      </c>
      <c r="O350" s="41">
        <f t="shared" si="5"/>
        <v>453</v>
      </c>
      <c r="P350" s="41" t="str">
        <f>VLOOKUP(H350,'клиенты'!$A$2:$J$435,10,FALSE)</f>
        <v>Беларусь</v>
      </c>
      <c r="Q350" s="47">
        <f t="shared" si="6"/>
        <v>46078.45901</v>
      </c>
      <c r="R350" s="48">
        <f t="shared" si="7"/>
        <v>43.81530039</v>
      </c>
      <c r="S350" s="41"/>
      <c r="T350" s="41"/>
      <c r="U350" s="41"/>
      <c r="V350" s="41"/>
      <c r="W350" s="41"/>
      <c r="X350" s="41"/>
      <c r="Y350" s="41"/>
      <c r="Z350" s="41"/>
    </row>
    <row r="351" ht="14.25" customHeight="1">
      <c r="A351" s="20">
        <v>350.0</v>
      </c>
      <c r="B351" s="20">
        <v>427.0</v>
      </c>
      <c r="C351" s="20">
        <v>273.0</v>
      </c>
      <c r="D351" s="20">
        <v>5.0</v>
      </c>
      <c r="E351" s="20">
        <f t="shared" si="1"/>
        <v>1365</v>
      </c>
      <c r="F351" s="49">
        <v>45398.0</v>
      </c>
      <c r="G351" s="20" t="s">
        <v>50</v>
      </c>
      <c r="H351" s="20">
        <v>190.0</v>
      </c>
      <c r="I351" s="20" t="str">
        <f>VLOOKUP(B351,'товар'!$A$1:$C$433,2,FALSE)</f>
        <v>Хлеб</v>
      </c>
      <c r="J351" s="50">
        <f t="shared" si="2"/>
        <v>300.3181818</v>
      </c>
      <c r="K351" s="51">
        <f t="shared" si="3"/>
        <v>-0.09096412895</v>
      </c>
      <c r="L351" s="20" t="str">
        <f>VLOOKUP(B351,'товар'!$A$1:$C$433,3,FALSE)</f>
        <v>Русский Хлеб</v>
      </c>
      <c r="M351" s="52">
        <f t="shared" si="4"/>
        <v>316.6</v>
      </c>
      <c r="N351" s="53">
        <f>VLOOKUP(H351,'клиенты'!$A$1:$F$435,5,FALSE)</f>
        <v>44689</v>
      </c>
      <c r="O351" s="20">
        <f t="shared" si="5"/>
        <v>709</v>
      </c>
      <c r="P351" s="20" t="str">
        <f>VLOOKUP(H351,'клиенты'!$A$2:$J$435,10,FALSE)</f>
        <v>Беларусь</v>
      </c>
      <c r="Q351" s="54">
        <f t="shared" si="6"/>
        <v>46078.45901</v>
      </c>
      <c r="R351" s="55">
        <f t="shared" si="7"/>
        <v>46.31530039</v>
      </c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41">
        <v>351.0</v>
      </c>
      <c r="B352" s="41">
        <v>137.0</v>
      </c>
      <c r="C352" s="41">
        <v>154.0</v>
      </c>
      <c r="D352" s="41">
        <v>1.0</v>
      </c>
      <c r="E352" s="41">
        <f t="shared" si="1"/>
        <v>154</v>
      </c>
      <c r="F352" s="42">
        <v>45193.0</v>
      </c>
      <c r="G352" s="41" t="s">
        <v>49</v>
      </c>
      <c r="H352" s="41">
        <v>144.0</v>
      </c>
      <c r="I352" s="41" t="str">
        <f>VLOOKUP(B352,'товар'!$A$1:$C$433,2,FALSE)</f>
        <v>Фрукты</v>
      </c>
      <c r="J352" s="43">
        <f t="shared" si="2"/>
        <v>274.1627907</v>
      </c>
      <c r="K352" s="44">
        <f t="shared" si="3"/>
        <v>-0.4382899313</v>
      </c>
      <c r="L352" s="41" t="str">
        <f>VLOOKUP(B352,'товар'!$A$1:$C$433,3,FALSE)</f>
        <v>Экзотик</v>
      </c>
      <c r="M352" s="45">
        <f t="shared" si="4"/>
        <v>253.6875</v>
      </c>
      <c r="N352" s="46">
        <f>VLOOKUP(H352,'клиенты'!$A$1:$F$435,5,FALSE)</f>
        <v>44705</v>
      </c>
      <c r="O352" s="41">
        <f t="shared" si="5"/>
        <v>488</v>
      </c>
      <c r="P352" s="41" t="str">
        <f>VLOOKUP(H352,'клиенты'!$A$2:$J$435,10,FALSE)</f>
        <v>Украина</v>
      </c>
      <c r="Q352" s="47">
        <f t="shared" si="6"/>
        <v>46078.45901</v>
      </c>
      <c r="R352" s="48">
        <f t="shared" si="7"/>
        <v>45.78196706</v>
      </c>
      <c r="S352" s="41"/>
      <c r="T352" s="41"/>
      <c r="U352" s="41"/>
      <c r="V352" s="41"/>
      <c r="W352" s="41"/>
      <c r="X352" s="41"/>
      <c r="Y352" s="41"/>
      <c r="Z352" s="41"/>
    </row>
    <row r="353" ht="14.25" customHeight="1">
      <c r="A353" s="20">
        <v>352.0</v>
      </c>
      <c r="B353" s="20">
        <v>303.0</v>
      </c>
      <c r="C353" s="20">
        <v>68.0</v>
      </c>
      <c r="D353" s="20">
        <v>4.0</v>
      </c>
      <c r="E353" s="20">
        <f t="shared" si="1"/>
        <v>272</v>
      </c>
      <c r="F353" s="49">
        <v>44947.0</v>
      </c>
      <c r="G353" s="20" t="s">
        <v>49</v>
      </c>
      <c r="H353" s="20">
        <v>76.0</v>
      </c>
      <c r="I353" s="20" t="str">
        <f>VLOOKUP(B353,'товар'!$A$1:$C$433,2,FALSE)</f>
        <v>Фрукты</v>
      </c>
      <c r="J353" s="50">
        <f t="shared" si="2"/>
        <v>274.1627907</v>
      </c>
      <c r="K353" s="51">
        <f t="shared" si="3"/>
        <v>-0.7519721775</v>
      </c>
      <c r="L353" s="20" t="str">
        <f>VLOOKUP(B353,'товар'!$A$1:$C$433,3,FALSE)</f>
        <v>Фруктовый Рай</v>
      </c>
      <c r="M353" s="52">
        <f t="shared" si="4"/>
        <v>258.3076923</v>
      </c>
      <c r="N353" s="53">
        <f>VLOOKUP(H353,'клиенты'!$A$1:$F$435,5,FALSE)</f>
        <v>44575</v>
      </c>
      <c r="O353" s="20">
        <f t="shared" si="5"/>
        <v>372</v>
      </c>
      <c r="P353" s="20" t="str">
        <f>VLOOKUP(H353,'клиенты'!$A$2:$J$435,10,FALSE)</f>
        <v>Беларусь</v>
      </c>
      <c r="Q353" s="54">
        <f t="shared" si="6"/>
        <v>46078.45901</v>
      </c>
      <c r="R353" s="55">
        <f t="shared" si="7"/>
        <v>50.11530039</v>
      </c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41">
        <v>353.0</v>
      </c>
      <c r="B354" s="41">
        <v>23.0</v>
      </c>
      <c r="C354" s="41">
        <v>380.0</v>
      </c>
      <c r="D354" s="41">
        <v>1.0</v>
      </c>
      <c r="E354" s="41">
        <f t="shared" si="1"/>
        <v>380</v>
      </c>
      <c r="F354" s="42">
        <v>45199.0</v>
      </c>
      <c r="G354" s="41" t="s">
        <v>51</v>
      </c>
      <c r="H354" s="41">
        <v>84.0</v>
      </c>
      <c r="I354" s="41" t="str">
        <f>VLOOKUP(B354,'товар'!$A$1:$C$433,2,FALSE)</f>
        <v>Рыба</v>
      </c>
      <c r="J354" s="43">
        <f t="shared" si="2"/>
        <v>258.5128205</v>
      </c>
      <c r="K354" s="44">
        <f t="shared" si="3"/>
        <v>0.4699464392</v>
      </c>
      <c r="L354" s="41" t="str">
        <f>VLOOKUP(B354,'товар'!$A$1:$C$433,3,FALSE)</f>
        <v>Санта Бремор</v>
      </c>
      <c r="M354" s="45">
        <f t="shared" si="4"/>
        <v>216.4</v>
      </c>
      <c r="N354" s="46">
        <f>VLOOKUP(H354,'клиенты'!$A$1:$F$435,5,FALSE)</f>
        <v>44805</v>
      </c>
      <c r="O354" s="41">
        <f t="shared" si="5"/>
        <v>394</v>
      </c>
      <c r="P354" s="41" t="str">
        <f>VLOOKUP(H354,'клиенты'!$A$2:$J$435,10,FALSE)</f>
        <v>Таджикистан</v>
      </c>
      <c r="Q354" s="47">
        <f t="shared" si="6"/>
        <v>46078.45901</v>
      </c>
      <c r="R354" s="48">
        <f t="shared" si="7"/>
        <v>42.44863372</v>
      </c>
      <c r="S354" s="41"/>
      <c r="T354" s="41"/>
      <c r="U354" s="41"/>
      <c r="V354" s="41"/>
      <c r="W354" s="41"/>
      <c r="X354" s="41"/>
      <c r="Y354" s="41"/>
      <c r="Z354" s="41"/>
    </row>
    <row r="355" ht="14.25" customHeight="1">
      <c r="A355" s="20">
        <v>354.0</v>
      </c>
      <c r="B355" s="20">
        <v>398.0</v>
      </c>
      <c r="C355" s="20">
        <v>417.0</v>
      </c>
      <c r="D355" s="20">
        <v>4.0</v>
      </c>
      <c r="E355" s="20">
        <f t="shared" si="1"/>
        <v>1668</v>
      </c>
      <c r="F355" s="49">
        <v>45167.0</v>
      </c>
      <c r="G355" s="20" t="s">
        <v>44</v>
      </c>
      <c r="H355" s="20">
        <v>81.0</v>
      </c>
      <c r="I355" s="20" t="str">
        <f>VLOOKUP(B355,'товар'!$A$1:$C$433,2,FALSE)</f>
        <v>Сок</v>
      </c>
      <c r="J355" s="50">
        <f t="shared" si="2"/>
        <v>268.6034483</v>
      </c>
      <c r="K355" s="51">
        <f t="shared" si="3"/>
        <v>0.5524744849</v>
      </c>
      <c r="L355" s="20" t="str">
        <f>VLOOKUP(B355,'товар'!$A$1:$C$433,3,FALSE)</f>
        <v>Фруктовый сад</v>
      </c>
      <c r="M355" s="52">
        <f t="shared" si="4"/>
        <v>281.96875</v>
      </c>
      <c r="N355" s="53">
        <f>VLOOKUP(H355,'клиенты'!$A$1:$F$435,5,FALSE)</f>
        <v>44825</v>
      </c>
      <c r="O355" s="20">
        <f t="shared" si="5"/>
        <v>342</v>
      </c>
      <c r="P355" s="20" t="str">
        <f>VLOOKUP(H355,'клиенты'!$A$2:$J$435,10,FALSE)</f>
        <v>Россия</v>
      </c>
      <c r="Q355" s="54">
        <f t="shared" si="6"/>
        <v>46078.45901</v>
      </c>
      <c r="R355" s="55">
        <f t="shared" si="7"/>
        <v>41.78196706</v>
      </c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41">
        <v>355.0</v>
      </c>
      <c r="B356" s="41">
        <v>8.0</v>
      </c>
      <c r="C356" s="41">
        <v>404.0</v>
      </c>
      <c r="D356" s="41">
        <v>1.0</v>
      </c>
      <c r="E356" s="41">
        <f t="shared" si="1"/>
        <v>404</v>
      </c>
      <c r="F356" s="42">
        <v>45077.0</v>
      </c>
      <c r="G356" s="41" t="s">
        <v>50</v>
      </c>
      <c r="H356" s="41">
        <v>157.0</v>
      </c>
      <c r="I356" s="41" t="str">
        <f>VLOOKUP(B356,'товар'!$A$1:$C$433,2,FALSE)</f>
        <v>Макароны</v>
      </c>
      <c r="J356" s="43">
        <f t="shared" si="2"/>
        <v>265.4767442</v>
      </c>
      <c r="K356" s="44">
        <f t="shared" si="3"/>
        <v>0.5217905479</v>
      </c>
      <c r="L356" s="41" t="str">
        <f>VLOOKUP(B356,'товар'!$A$1:$C$433,3,FALSE)</f>
        <v>Паста Зара</v>
      </c>
      <c r="M356" s="45">
        <f t="shared" si="4"/>
        <v>276.6756757</v>
      </c>
      <c r="N356" s="46">
        <f>VLOOKUP(H356,'клиенты'!$A$1:$F$435,5,FALSE)</f>
        <v>44783</v>
      </c>
      <c r="O356" s="41">
        <f t="shared" si="5"/>
        <v>294</v>
      </c>
      <c r="P356" s="41" t="str">
        <f>VLOOKUP(H356,'клиенты'!$A$2:$J$435,10,FALSE)</f>
        <v>Россия</v>
      </c>
      <c r="Q356" s="47">
        <f t="shared" si="6"/>
        <v>46078.45901</v>
      </c>
      <c r="R356" s="48">
        <f t="shared" si="7"/>
        <v>43.18196706</v>
      </c>
      <c r="S356" s="41"/>
      <c r="T356" s="41"/>
      <c r="U356" s="41"/>
      <c r="V356" s="41"/>
      <c r="W356" s="41"/>
      <c r="X356" s="41"/>
      <c r="Y356" s="41"/>
      <c r="Z356" s="41"/>
    </row>
    <row r="357" ht="14.25" customHeight="1">
      <c r="A357" s="20">
        <v>356.0</v>
      </c>
      <c r="B357" s="20">
        <v>485.0</v>
      </c>
      <c r="C357" s="20">
        <v>193.0</v>
      </c>
      <c r="D357" s="20">
        <v>1.0</v>
      </c>
      <c r="E357" s="20">
        <f t="shared" si="1"/>
        <v>193</v>
      </c>
      <c r="F357" s="49">
        <v>45105.0</v>
      </c>
      <c r="G357" s="20" t="s">
        <v>38</v>
      </c>
      <c r="H357" s="20">
        <v>57.0</v>
      </c>
      <c r="I357" s="20" t="str">
        <f>VLOOKUP(B357,'товар'!$A$1:$C$433,2,FALSE)</f>
        <v>Макароны</v>
      </c>
      <c r="J357" s="50">
        <f t="shared" si="2"/>
        <v>265.4767442</v>
      </c>
      <c r="K357" s="51">
        <f t="shared" si="3"/>
        <v>-0.2730060006</v>
      </c>
      <c r="L357" s="20" t="str">
        <f>VLOOKUP(B357,'товар'!$A$1:$C$433,3,FALSE)</f>
        <v>Борилла</v>
      </c>
      <c r="M357" s="52">
        <f t="shared" si="4"/>
        <v>236.2758621</v>
      </c>
      <c r="N357" s="53">
        <f>VLOOKUP(H357,'клиенты'!$A$1:$F$435,5,FALSE)</f>
        <v>44669</v>
      </c>
      <c r="O357" s="20">
        <f t="shared" si="5"/>
        <v>436</v>
      </c>
      <c r="P357" s="20" t="str">
        <f>VLOOKUP(H357,'клиенты'!$A$2:$J$435,10,FALSE)</f>
        <v>Россия</v>
      </c>
      <c r="Q357" s="54">
        <f t="shared" si="6"/>
        <v>46078.45901</v>
      </c>
      <c r="R357" s="55">
        <f t="shared" si="7"/>
        <v>46.98196706</v>
      </c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41">
        <v>357.0</v>
      </c>
      <c r="B358" s="41">
        <v>60.0</v>
      </c>
      <c r="C358" s="41">
        <v>320.0</v>
      </c>
      <c r="D358" s="41">
        <v>4.0</v>
      </c>
      <c r="E358" s="41">
        <f t="shared" si="1"/>
        <v>1280</v>
      </c>
      <c r="F358" s="42">
        <v>45292.0</v>
      </c>
      <c r="G358" s="41" t="s">
        <v>35</v>
      </c>
      <c r="H358" s="41">
        <v>273.0</v>
      </c>
      <c r="I358" s="41" t="str">
        <f>VLOOKUP(B358,'товар'!$A$1:$C$433,2,FALSE)</f>
        <v>Кофе</v>
      </c>
      <c r="J358" s="43">
        <f t="shared" si="2"/>
        <v>249.0238095</v>
      </c>
      <c r="K358" s="44">
        <f t="shared" si="3"/>
        <v>0.2850176881</v>
      </c>
      <c r="L358" s="41" t="str">
        <f>VLOOKUP(B358,'товар'!$A$1:$C$433,3,FALSE)</f>
        <v>Jacobs</v>
      </c>
      <c r="M358" s="45">
        <f t="shared" si="4"/>
        <v>276.2105263</v>
      </c>
      <c r="N358" s="46">
        <f>VLOOKUP(H358,'клиенты'!$A$1:$F$435,5,FALSE)</f>
        <v>44599</v>
      </c>
      <c r="O358" s="41">
        <f t="shared" si="5"/>
        <v>693</v>
      </c>
      <c r="P358" s="41" t="str">
        <f>VLOOKUP(H358,'клиенты'!$A$2:$J$435,10,FALSE)</f>
        <v>Узбекистан</v>
      </c>
      <c r="Q358" s="47">
        <f t="shared" si="6"/>
        <v>46078.45901</v>
      </c>
      <c r="R358" s="48">
        <f t="shared" si="7"/>
        <v>49.31530039</v>
      </c>
      <c r="S358" s="41"/>
      <c r="T358" s="41"/>
      <c r="U358" s="41"/>
      <c r="V358" s="41"/>
      <c r="W358" s="41"/>
      <c r="X358" s="41"/>
      <c r="Y358" s="41"/>
      <c r="Z358" s="41"/>
    </row>
    <row r="359" ht="14.25" customHeight="1">
      <c r="A359" s="20">
        <v>358.0</v>
      </c>
      <c r="B359" s="20">
        <v>290.0</v>
      </c>
      <c r="C359" s="20">
        <v>470.0</v>
      </c>
      <c r="D359" s="20">
        <v>5.0</v>
      </c>
      <c r="E359" s="20">
        <f t="shared" si="1"/>
        <v>2350</v>
      </c>
      <c r="F359" s="49">
        <v>45039.0</v>
      </c>
      <c r="G359" s="20" t="s">
        <v>38</v>
      </c>
      <c r="H359" s="20">
        <v>479.0</v>
      </c>
      <c r="I359" s="20" t="str">
        <f>VLOOKUP(B359,'товар'!$A$1:$C$433,2,FALSE)</f>
        <v>Сахар</v>
      </c>
      <c r="J359" s="50">
        <f t="shared" si="2"/>
        <v>252.7627119</v>
      </c>
      <c r="K359" s="51">
        <f t="shared" si="3"/>
        <v>0.8594514853</v>
      </c>
      <c r="L359" s="20" t="str">
        <f>VLOOKUP(B359,'товар'!$A$1:$C$433,3,FALSE)</f>
        <v>Продимекс</v>
      </c>
      <c r="M359" s="52">
        <f t="shared" si="4"/>
        <v>240.5</v>
      </c>
      <c r="N359" s="53">
        <f>VLOOKUP(H359,'клиенты'!$A$1:$F$435,5,FALSE)</f>
        <v>44793</v>
      </c>
      <c r="O359" s="20">
        <f t="shared" si="5"/>
        <v>246</v>
      </c>
      <c r="P359" s="20" t="str">
        <f>VLOOKUP(H359,'клиенты'!$A$2:$J$435,10,FALSE)</f>
        <v>Россия</v>
      </c>
      <c r="Q359" s="54">
        <f t="shared" si="6"/>
        <v>46078.45901</v>
      </c>
      <c r="R359" s="55">
        <f t="shared" si="7"/>
        <v>42.84863372</v>
      </c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41">
        <v>359.0</v>
      </c>
      <c r="B360" s="41">
        <v>386.0</v>
      </c>
      <c r="C360" s="41">
        <v>424.0</v>
      </c>
      <c r="D360" s="41">
        <v>3.0</v>
      </c>
      <c r="E360" s="41">
        <f t="shared" si="1"/>
        <v>1272</v>
      </c>
      <c r="F360" s="42">
        <v>45166.0</v>
      </c>
      <c r="G360" s="41" t="s">
        <v>40</v>
      </c>
      <c r="H360" s="41">
        <v>406.0</v>
      </c>
      <c r="I360" s="41" t="str">
        <f>VLOOKUP(B360,'товар'!$A$1:$C$433,2,FALSE)</f>
        <v>Крупа</v>
      </c>
      <c r="J360" s="43">
        <f t="shared" si="2"/>
        <v>255.1162791</v>
      </c>
      <c r="K360" s="44">
        <f t="shared" si="3"/>
        <v>0.6619872379</v>
      </c>
      <c r="L360" s="41" t="str">
        <f>VLOOKUP(B360,'товар'!$A$1:$C$433,3,FALSE)</f>
        <v>Увелка</v>
      </c>
      <c r="M360" s="45">
        <f t="shared" si="4"/>
        <v>251.9166667</v>
      </c>
      <c r="N360" s="46">
        <f>VLOOKUP(H360,'клиенты'!$A$1:$F$435,5,FALSE)</f>
        <v>44895</v>
      </c>
      <c r="O360" s="41">
        <f t="shared" si="5"/>
        <v>271</v>
      </c>
      <c r="P360" s="41" t="str">
        <f>VLOOKUP(H360,'клиенты'!$A$2:$J$435,10,FALSE)</f>
        <v>Украина</v>
      </c>
      <c r="Q360" s="47">
        <f t="shared" si="6"/>
        <v>46078.45901</v>
      </c>
      <c r="R360" s="48">
        <f t="shared" si="7"/>
        <v>39.44863372</v>
      </c>
      <c r="S360" s="41"/>
      <c r="T360" s="41"/>
      <c r="U360" s="41"/>
      <c r="V360" s="41"/>
      <c r="W360" s="41"/>
      <c r="X360" s="41"/>
      <c r="Y360" s="41"/>
      <c r="Z360" s="41"/>
    </row>
    <row r="361" ht="14.25" customHeight="1">
      <c r="A361" s="20">
        <v>360.0</v>
      </c>
      <c r="B361" s="20">
        <v>348.0</v>
      </c>
      <c r="C361" s="20">
        <v>147.0</v>
      </c>
      <c r="D361" s="20">
        <v>4.0</v>
      </c>
      <c r="E361" s="20">
        <f t="shared" si="1"/>
        <v>588</v>
      </c>
      <c r="F361" s="49">
        <v>45006.0</v>
      </c>
      <c r="G361" s="20" t="s">
        <v>50</v>
      </c>
      <c r="H361" s="20">
        <v>157.0</v>
      </c>
      <c r="I361" s="20" t="str">
        <f>VLOOKUP(B361,'товар'!$A$1:$C$433,2,FALSE)</f>
        <v>Чипсы</v>
      </c>
      <c r="J361" s="50">
        <f t="shared" si="2"/>
        <v>273.7254902</v>
      </c>
      <c r="K361" s="51">
        <f t="shared" si="3"/>
        <v>-0.462965616</v>
      </c>
      <c r="L361" s="20" t="str">
        <f>VLOOKUP(B361,'товар'!$A$1:$C$433,3,FALSE)</f>
        <v>Estrella</v>
      </c>
      <c r="M361" s="52">
        <f t="shared" si="4"/>
        <v>266.2727273</v>
      </c>
      <c r="N361" s="53">
        <f>VLOOKUP(H361,'клиенты'!$A$1:$F$435,5,FALSE)</f>
        <v>44783</v>
      </c>
      <c r="O361" s="20">
        <f t="shared" si="5"/>
        <v>223</v>
      </c>
      <c r="P361" s="20" t="str">
        <f>VLOOKUP(H361,'клиенты'!$A$2:$J$435,10,FALSE)</f>
        <v>Россия</v>
      </c>
      <c r="Q361" s="54">
        <f t="shared" si="6"/>
        <v>46078.45901</v>
      </c>
      <c r="R361" s="55">
        <f t="shared" si="7"/>
        <v>43.18196706</v>
      </c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41">
        <v>361.0</v>
      </c>
      <c r="B362" s="41">
        <v>350.0</v>
      </c>
      <c r="C362" s="41">
        <v>319.0</v>
      </c>
      <c r="D362" s="41">
        <v>3.0</v>
      </c>
      <c r="E362" s="41">
        <f t="shared" si="1"/>
        <v>957</v>
      </c>
      <c r="F362" s="42">
        <v>45385.0</v>
      </c>
      <c r="G362" s="41" t="s">
        <v>45</v>
      </c>
      <c r="H362" s="41">
        <v>56.0</v>
      </c>
      <c r="I362" s="41" t="str">
        <f>VLOOKUP(B362,'товар'!$A$1:$C$433,2,FALSE)</f>
        <v>Фрукты</v>
      </c>
      <c r="J362" s="43">
        <f t="shared" si="2"/>
        <v>274.1627907</v>
      </c>
      <c r="K362" s="44">
        <f t="shared" si="3"/>
        <v>0.1635422852</v>
      </c>
      <c r="L362" s="41" t="str">
        <f>VLOOKUP(B362,'товар'!$A$1:$C$433,3,FALSE)</f>
        <v>Фрукты-Ягоды</v>
      </c>
      <c r="M362" s="45">
        <f t="shared" si="4"/>
        <v>280.6666667</v>
      </c>
      <c r="N362" s="46">
        <f>VLOOKUP(H362,'клиенты'!$A$1:$F$435,5,FALSE)</f>
        <v>44662</v>
      </c>
      <c r="O362" s="41">
        <f t="shared" si="5"/>
        <v>723</v>
      </c>
      <c r="P362" s="41" t="str">
        <f>VLOOKUP(H362,'клиенты'!$A$2:$J$435,10,FALSE)</f>
        <v>Таджикистан</v>
      </c>
      <c r="Q362" s="47">
        <f t="shared" si="6"/>
        <v>46078.45901</v>
      </c>
      <c r="R362" s="48">
        <f t="shared" si="7"/>
        <v>47.21530039</v>
      </c>
      <c r="S362" s="41"/>
      <c r="T362" s="41"/>
      <c r="U362" s="41"/>
      <c r="V362" s="41"/>
      <c r="W362" s="41"/>
      <c r="X362" s="41"/>
      <c r="Y362" s="41"/>
      <c r="Z362" s="41"/>
    </row>
    <row r="363" ht="14.25" customHeight="1">
      <c r="A363" s="20">
        <v>362.0</v>
      </c>
      <c r="B363" s="20">
        <v>126.0</v>
      </c>
      <c r="C363" s="20">
        <v>479.0</v>
      </c>
      <c r="D363" s="20">
        <v>2.0</v>
      </c>
      <c r="E363" s="20">
        <f t="shared" si="1"/>
        <v>958</v>
      </c>
      <c r="F363" s="49">
        <v>45045.0</v>
      </c>
      <c r="G363" s="20" t="s">
        <v>49</v>
      </c>
      <c r="H363" s="20">
        <v>10.0</v>
      </c>
      <c r="I363" s="20" t="str">
        <f>VLOOKUP(B363,'товар'!$A$1:$C$433,2,FALSE)</f>
        <v>Сахар</v>
      </c>
      <c r="J363" s="50">
        <f t="shared" si="2"/>
        <v>252.7627119</v>
      </c>
      <c r="K363" s="51">
        <f t="shared" si="3"/>
        <v>0.8950580031</v>
      </c>
      <c r="L363" s="20" t="str">
        <f>VLOOKUP(B363,'товар'!$A$1:$C$433,3,FALSE)</f>
        <v>Русский сахар</v>
      </c>
      <c r="M363" s="52">
        <f t="shared" si="4"/>
        <v>293.4117647</v>
      </c>
      <c r="N363" s="53">
        <f>VLOOKUP(H363,'клиенты'!$A$1:$F$435,5,FALSE)</f>
        <v>44881</v>
      </c>
      <c r="O363" s="20">
        <f t="shared" si="5"/>
        <v>164</v>
      </c>
      <c r="P363" s="20" t="str">
        <f>VLOOKUP(H363,'клиенты'!$A$2:$J$435,10,FALSE)</f>
        <v>Украина</v>
      </c>
      <c r="Q363" s="54">
        <f t="shared" si="6"/>
        <v>46078.45901</v>
      </c>
      <c r="R363" s="55">
        <f t="shared" si="7"/>
        <v>39.91530039</v>
      </c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41">
        <v>363.0</v>
      </c>
      <c r="B364" s="41">
        <v>258.0</v>
      </c>
      <c r="C364" s="41">
        <v>181.0</v>
      </c>
      <c r="D364" s="41">
        <v>5.0</v>
      </c>
      <c r="E364" s="41">
        <f t="shared" si="1"/>
        <v>905</v>
      </c>
      <c r="F364" s="42">
        <v>45054.0</v>
      </c>
      <c r="G364" s="41" t="s">
        <v>40</v>
      </c>
      <c r="H364" s="41">
        <v>174.0</v>
      </c>
      <c r="I364" s="41" t="str">
        <f>VLOOKUP(B364,'товар'!$A$1:$C$433,2,FALSE)</f>
        <v>Рыба</v>
      </c>
      <c r="J364" s="43">
        <f t="shared" si="2"/>
        <v>258.5128205</v>
      </c>
      <c r="K364" s="44">
        <f t="shared" si="3"/>
        <v>-0.2998413013</v>
      </c>
      <c r="L364" s="41" t="str">
        <f>VLOOKUP(B364,'товар'!$A$1:$C$433,3,FALSE)</f>
        <v>Санта Бремор</v>
      </c>
      <c r="M364" s="45">
        <f t="shared" si="4"/>
        <v>216.4</v>
      </c>
      <c r="N364" s="46">
        <f>VLOOKUP(H364,'клиенты'!$A$1:$F$435,5,FALSE)</f>
        <v>44779</v>
      </c>
      <c r="O364" s="41">
        <f t="shared" si="5"/>
        <v>275</v>
      </c>
      <c r="P364" s="41" t="str">
        <f>VLOOKUP(H364,'клиенты'!$A$2:$J$435,10,FALSE)</f>
        <v>Таджикистан</v>
      </c>
      <c r="Q364" s="47">
        <f t="shared" si="6"/>
        <v>46078.45901</v>
      </c>
      <c r="R364" s="48">
        <f t="shared" si="7"/>
        <v>43.31530039</v>
      </c>
      <c r="S364" s="41"/>
      <c r="T364" s="41"/>
      <c r="U364" s="41"/>
      <c r="V364" s="41"/>
      <c r="W364" s="41"/>
      <c r="X364" s="41"/>
      <c r="Y364" s="41"/>
      <c r="Z364" s="41"/>
    </row>
    <row r="365" ht="14.25" customHeight="1">
      <c r="A365" s="20">
        <v>364.0</v>
      </c>
      <c r="B365" s="20">
        <v>325.0</v>
      </c>
      <c r="C365" s="20">
        <v>361.0</v>
      </c>
      <c r="D365" s="20">
        <v>5.0</v>
      </c>
      <c r="E365" s="20">
        <f t="shared" si="1"/>
        <v>1805</v>
      </c>
      <c r="F365" s="49">
        <v>45243.0</v>
      </c>
      <c r="G365" s="20" t="s">
        <v>52</v>
      </c>
      <c r="H365" s="20">
        <v>110.0</v>
      </c>
      <c r="I365" s="20" t="str">
        <f>VLOOKUP(B365,'товар'!$A$1:$C$433,2,FALSE)</f>
        <v>Сок</v>
      </c>
      <c r="J365" s="50">
        <f t="shared" si="2"/>
        <v>268.6034483</v>
      </c>
      <c r="K365" s="51">
        <f t="shared" si="3"/>
        <v>0.3439887027</v>
      </c>
      <c r="L365" s="20" t="str">
        <f>VLOOKUP(B365,'товар'!$A$1:$C$433,3,FALSE)</f>
        <v>Добрый</v>
      </c>
      <c r="M365" s="52">
        <f t="shared" si="4"/>
        <v>242.8181818</v>
      </c>
      <c r="N365" s="53">
        <f>VLOOKUP(H365,'клиенты'!$A$1:$F$435,5,FALSE)</f>
        <v>44580</v>
      </c>
      <c r="O365" s="20">
        <f t="shared" si="5"/>
        <v>663</v>
      </c>
      <c r="P365" s="20" t="str">
        <f>VLOOKUP(H365,'клиенты'!$A$2:$J$435,10,FALSE)</f>
        <v>Узбекистан</v>
      </c>
      <c r="Q365" s="54">
        <f t="shared" si="6"/>
        <v>46078.45901</v>
      </c>
      <c r="R365" s="55">
        <f t="shared" si="7"/>
        <v>49.94863372</v>
      </c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41">
        <v>365.0</v>
      </c>
      <c r="B366" s="41">
        <v>320.0</v>
      </c>
      <c r="C366" s="41">
        <v>254.0</v>
      </c>
      <c r="D366" s="41">
        <v>1.0</v>
      </c>
      <c r="E366" s="41">
        <f t="shared" si="1"/>
        <v>254</v>
      </c>
      <c r="F366" s="42">
        <v>45316.0</v>
      </c>
      <c r="G366" s="41" t="s">
        <v>39</v>
      </c>
      <c r="H366" s="41">
        <v>72.0</v>
      </c>
      <c r="I366" s="41" t="str">
        <f>VLOOKUP(B366,'товар'!$A$1:$C$433,2,FALSE)</f>
        <v>Конфеты</v>
      </c>
      <c r="J366" s="43">
        <f t="shared" si="2"/>
        <v>267.8548387</v>
      </c>
      <c r="K366" s="44">
        <f t="shared" si="3"/>
        <v>-0.05172517613</v>
      </c>
      <c r="L366" s="41" t="str">
        <f>VLOOKUP(B366,'товар'!$A$1:$C$433,3,FALSE)</f>
        <v>Бабаевский</v>
      </c>
      <c r="M366" s="45">
        <f t="shared" si="4"/>
        <v>250.2592593</v>
      </c>
      <c r="N366" s="46">
        <f>VLOOKUP(H366,'клиенты'!$A$1:$F$435,5,FALSE)</f>
        <v>44906</v>
      </c>
      <c r="O366" s="41">
        <f t="shared" si="5"/>
        <v>410</v>
      </c>
      <c r="P366" s="41" t="str">
        <f>VLOOKUP(H366,'клиенты'!$A$2:$J$435,10,FALSE)</f>
        <v>Таджикистан</v>
      </c>
      <c r="Q366" s="47">
        <f t="shared" si="6"/>
        <v>46078.45901</v>
      </c>
      <c r="R366" s="48">
        <f t="shared" si="7"/>
        <v>39.08196706</v>
      </c>
      <c r="S366" s="41"/>
      <c r="T366" s="41"/>
      <c r="U366" s="41"/>
      <c r="V366" s="41"/>
      <c r="W366" s="41"/>
      <c r="X366" s="41"/>
      <c r="Y366" s="41"/>
      <c r="Z366" s="41"/>
    </row>
    <row r="367" ht="14.25" customHeight="1">
      <c r="A367" s="20">
        <v>366.0</v>
      </c>
      <c r="B367" s="20">
        <v>329.0</v>
      </c>
      <c r="C367" s="20">
        <v>187.0</v>
      </c>
      <c r="D367" s="20">
        <v>4.0</v>
      </c>
      <c r="E367" s="20">
        <f t="shared" si="1"/>
        <v>748</v>
      </c>
      <c r="F367" s="49">
        <v>45274.0</v>
      </c>
      <c r="G367" s="20" t="s">
        <v>38</v>
      </c>
      <c r="H367" s="20">
        <v>307.0</v>
      </c>
      <c r="I367" s="20" t="str">
        <f>VLOOKUP(B367,'товар'!$A$1:$C$433,2,FALSE)</f>
        <v>Соль</v>
      </c>
      <c r="J367" s="50">
        <f t="shared" si="2"/>
        <v>264.8679245</v>
      </c>
      <c r="K367" s="51">
        <f t="shared" si="3"/>
        <v>-0.2939877475</v>
      </c>
      <c r="L367" s="20" t="str">
        <f>VLOOKUP(B367,'товар'!$A$1:$C$433,3,FALSE)</f>
        <v>Славянская</v>
      </c>
      <c r="M367" s="52">
        <f t="shared" si="4"/>
        <v>236.9166667</v>
      </c>
      <c r="N367" s="53">
        <f>VLOOKUP(H367,'клиенты'!$A$1:$F$435,5,FALSE)</f>
        <v>44764</v>
      </c>
      <c r="O367" s="20">
        <f t="shared" si="5"/>
        <v>510</v>
      </c>
      <c r="P367" s="20" t="str">
        <f>VLOOKUP(H367,'клиенты'!$A$2:$J$435,10,FALSE)</f>
        <v>Беларусь</v>
      </c>
      <c r="Q367" s="54">
        <f t="shared" si="6"/>
        <v>46078.45901</v>
      </c>
      <c r="R367" s="55">
        <f t="shared" si="7"/>
        <v>43.81530039</v>
      </c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41">
        <v>367.0</v>
      </c>
      <c r="B368" s="41">
        <v>226.0</v>
      </c>
      <c r="C368" s="41">
        <v>155.0</v>
      </c>
      <c r="D368" s="41">
        <v>4.0</v>
      </c>
      <c r="E368" s="41">
        <f t="shared" si="1"/>
        <v>620</v>
      </c>
      <c r="F368" s="42">
        <v>44967.0</v>
      </c>
      <c r="G368" s="41" t="s">
        <v>54</v>
      </c>
      <c r="H368" s="41">
        <v>202.0</v>
      </c>
      <c r="I368" s="41" t="str">
        <f>VLOOKUP(B368,'товар'!$A$1:$C$433,2,FALSE)</f>
        <v>Сыр</v>
      </c>
      <c r="J368" s="43">
        <f t="shared" si="2"/>
        <v>262.6349206</v>
      </c>
      <c r="K368" s="44">
        <f t="shared" si="3"/>
        <v>-0.4098271486</v>
      </c>
      <c r="L368" s="41" t="str">
        <f>VLOOKUP(B368,'товар'!$A$1:$C$433,3,FALSE)</f>
        <v>Карат</v>
      </c>
      <c r="M368" s="45">
        <f t="shared" si="4"/>
        <v>311.3333333</v>
      </c>
      <c r="N368" s="46">
        <f>VLOOKUP(H368,'клиенты'!$A$1:$F$435,5,FALSE)</f>
        <v>44766</v>
      </c>
      <c r="O368" s="41">
        <f t="shared" si="5"/>
        <v>201</v>
      </c>
      <c r="P368" s="41" t="str">
        <f>VLOOKUP(H368,'клиенты'!$A$2:$J$435,10,FALSE)</f>
        <v>Беларусь</v>
      </c>
      <c r="Q368" s="47">
        <f t="shared" si="6"/>
        <v>46078.45901</v>
      </c>
      <c r="R368" s="48">
        <f t="shared" si="7"/>
        <v>43.74863372</v>
      </c>
      <c r="S368" s="41"/>
      <c r="T368" s="41"/>
      <c r="U368" s="41"/>
      <c r="V368" s="41"/>
      <c r="W368" s="41"/>
      <c r="X368" s="41"/>
      <c r="Y368" s="41"/>
      <c r="Z368" s="41"/>
    </row>
    <row r="369" ht="14.25" customHeight="1">
      <c r="A369" s="20">
        <v>368.0</v>
      </c>
      <c r="B369" s="20">
        <v>270.0</v>
      </c>
      <c r="C369" s="20">
        <v>78.0</v>
      </c>
      <c r="D369" s="20">
        <v>4.0</v>
      </c>
      <c r="E369" s="20">
        <f t="shared" si="1"/>
        <v>312</v>
      </c>
      <c r="F369" s="49">
        <v>44932.0</v>
      </c>
      <c r="G369" s="20" t="s">
        <v>49</v>
      </c>
      <c r="H369" s="20">
        <v>157.0</v>
      </c>
      <c r="I369" s="20" t="str">
        <f>VLOOKUP(B369,'товар'!$A$1:$C$433,2,FALSE)</f>
        <v>Соль</v>
      </c>
      <c r="J369" s="50">
        <f t="shared" si="2"/>
        <v>264.8679245</v>
      </c>
      <c r="K369" s="51">
        <f t="shared" si="3"/>
        <v>-0.7055136059</v>
      </c>
      <c r="L369" s="20" t="str">
        <f>VLOOKUP(B369,'товар'!$A$1:$C$433,3,FALSE)</f>
        <v>Славянская</v>
      </c>
      <c r="M369" s="52">
        <f t="shared" si="4"/>
        <v>236.9166667</v>
      </c>
      <c r="N369" s="53">
        <f>VLOOKUP(H369,'клиенты'!$A$1:$F$435,5,FALSE)</f>
        <v>44783</v>
      </c>
      <c r="O369" s="20">
        <f t="shared" si="5"/>
        <v>149</v>
      </c>
      <c r="P369" s="20" t="str">
        <f>VLOOKUP(H369,'клиенты'!$A$2:$J$435,10,FALSE)</f>
        <v>Россия</v>
      </c>
      <c r="Q369" s="54">
        <f t="shared" si="6"/>
        <v>46078.45901</v>
      </c>
      <c r="R369" s="55">
        <f t="shared" si="7"/>
        <v>43.18196706</v>
      </c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41">
        <v>369.0</v>
      </c>
      <c r="B370" s="41">
        <v>233.0</v>
      </c>
      <c r="C370" s="41">
        <v>478.0</v>
      </c>
      <c r="D370" s="41">
        <v>2.0</v>
      </c>
      <c r="E370" s="41">
        <f t="shared" si="1"/>
        <v>956</v>
      </c>
      <c r="F370" s="42">
        <v>45129.0</v>
      </c>
      <c r="G370" s="41" t="s">
        <v>50</v>
      </c>
      <c r="H370" s="41">
        <v>270.0</v>
      </c>
      <c r="I370" s="41" t="str">
        <f>VLOOKUP(B370,'товар'!$A$1:$C$433,2,FALSE)</f>
        <v>Йогурт</v>
      </c>
      <c r="J370" s="43">
        <f t="shared" si="2"/>
        <v>263.2542373</v>
      </c>
      <c r="K370" s="44">
        <f t="shared" si="3"/>
        <v>0.8157352562</v>
      </c>
      <c r="L370" s="41" t="str">
        <f>VLOOKUP(B370,'товар'!$A$1:$C$433,3,FALSE)</f>
        <v>Ростагроэкспорт</v>
      </c>
      <c r="M370" s="45">
        <f t="shared" si="4"/>
        <v>257.7826087</v>
      </c>
      <c r="N370" s="46">
        <f>VLOOKUP(H370,'клиенты'!$A$1:$F$435,5,FALSE)</f>
        <v>44827</v>
      </c>
      <c r="O370" s="41">
        <f t="shared" si="5"/>
        <v>302</v>
      </c>
      <c r="P370" s="41" t="str">
        <f>VLOOKUP(H370,'клиенты'!$A$2:$J$435,10,FALSE)</f>
        <v>Таджикистан</v>
      </c>
      <c r="Q370" s="47">
        <f t="shared" si="6"/>
        <v>46078.45901</v>
      </c>
      <c r="R370" s="48">
        <f t="shared" si="7"/>
        <v>41.71530039</v>
      </c>
      <c r="S370" s="41"/>
      <c r="T370" s="41"/>
      <c r="U370" s="41"/>
      <c r="V370" s="41"/>
      <c r="W370" s="41"/>
      <c r="X370" s="41"/>
      <c r="Y370" s="41"/>
      <c r="Z370" s="41"/>
    </row>
    <row r="371" ht="14.25" customHeight="1">
      <c r="A371" s="20">
        <v>370.0</v>
      </c>
      <c r="B371" s="20">
        <v>178.0</v>
      </c>
      <c r="C371" s="20">
        <v>176.0</v>
      </c>
      <c r="D371" s="20">
        <v>5.0</v>
      </c>
      <c r="E371" s="20">
        <f t="shared" si="1"/>
        <v>880</v>
      </c>
      <c r="F371" s="49">
        <v>45183.0</v>
      </c>
      <c r="G371" s="20" t="s">
        <v>48</v>
      </c>
      <c r="H371" s="20">
        <v>65.0</v>
      </c>
      <c r="I371" s="20" t="str">
        <f>VLOOKUP(B371,'товар'!$A$1:$C$433,2,FALSE)</f>
        <v>Йогурт</v>
      </c>
      <c r="J371" s="50">
        <f t="shared" si="2"/>
        <v>263.2542373</v>
      </c>
      <c r="K371" s="51">
        <f t="shared" si="3"/>
        <v>-0.3314447592</v>
      </c>
      <c r="L371" s="20" t="str">
        <f>VLOOKUP(B371,'товар'!$A$1:$C$433,3,FALSE)</f>
        <v>Ростагроэкспорт</v>
      </c>
      <c r="M371" s="52">
        <f t="shared" si="4"/>
        <v>257.7826087</v>
      </c>
      <c r="N371" s="53">
        <f>VLOOKUP(H371,'клиенты'!$A$1:$F$435,5,FALSE)</f>
        <v>44623</v>
      </c>
      <c r="O371" s="20">
        <f t="shared" si="5"/>
        <v>560</v>
      </c>
      <c r="P371" s="20" t="str">
        <f>VLOOKUP(H371,'клиенты'!$A$2:$J$435,10,FALSE)</f>
        <v>Украина</v>
      </c>
      <c r="Q371" s="54">
        <f t="shared" si="6"/>
        <v>46078.45901</v>
      </c>
      <c r="R371" s="55">
        <f t="shared" si="7"/>
        <v>48.51530039</v>
      </c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41">
        <v>371.0</v>
      </c>
      <c r="B372" s="41">
        <v>293.0</v>
      </c>
      <c r="C372" s="41">
        <v>179.0</v>
      </c>
      <c r="D372" s="41">
        <v>4.0</v>
      </c>
      <c r="E372" s="41">
        <f t="shared" si="1"/>
        <v>716</v>
      </c>
      <c r="F372" s="42">
        <v>45258.0</v>
      </c>
      <c r="G372" s="41" t="s">
        <v>52</v>
      </c>
      <c r="H372" s="41">
        <v>38.0</v>
      </c>
      <c r="I372" s="41" t="str">
        <f>VLOOKUP(B372,'товар'!$A$1:$C$433,2,FALSE)</f>
        <v>Конфеты</v>
      </c>
      <c r="J372" s="43">
        <f t="shared" si="2"/>
        <v>267.8548387</v>
      </c>
      <c r="K372" s="44">
        <f t="shared" si="3"/>
        <v>-0.3317275848</v>
      </c>
      <c r="L372" s="41" t="str">
        <f>VLOOKUP(B372,'товар'!$A$1:$C$433,3,FALSE)</f>
        <v>Бабаевский</v>
      </c>
      <c r="M372" s="45">
        <f t="shared" si="4"/>
        <v>250.2592593</v>
      </c>
      <c r="N372" s="46">
        <f>VLOOKUP(H372,'клиенты'!$A$1:$F$435,5,FALSE)</f>
        <v>44819</v>
      </c>
      <c r="O372" s="41">
        <f t="shared" si="5"/>
        <v>439</v>
      </c>
      <c r="P372" s="41" t="str">
        <f>VLOOKUP(H372,'клиенты'!$A$2:$J$435,10,FALSE)</f>
        <v>Таджикистан</v>
      </c>
      <c r="Q372" s="47">
        <f t="shared" si="6"/>
        <v>46078.45901</v>
      </c>
      <c r="R372" s="48">
        <f t="shared" si="7"/>
        <v>41.98196706</v>
      </c>
      <c r="S372" s="41"/>
      <c r="T372" s="41"/>
      <c r="U372" s="41"/>
      <c r="V372" s="41"/>
      <c r="W372" s="41"/>
      <c r="X372" s="41"/>
      <c r="Y372" s="41"/>
      <c r="Z372" s="41"/>
    </row>
    <row r="373" ht="14.25" customHeight="1">
      <c r="A373" s="20">
        <v>372.0</v>
      </c>
      <c r="B373" s="20">
        <v>286.0</v>
      </c>
      <c r="C373" s="20">
        <v>122.0</v>
      </c>
      <c r="D373" s="20">
        <v>5.0</v>
      </c>
      <c r="E373" s="20">
        <f t="shared" si="1"/>
        <v>610</v>
      </c>
      <c r="F373" s="49">
        <v>45147.0</v>
      </c>
      <c r="G373" s="20" t="s">
        <v>43</v>
      </c>
      <c r="H373" s="20">
        <v>356.0</v>
      </c>
      <c r="I373" s="20" t="str">
        <f>VLOOKUP(B373,'товар'!$A$1:$C$433,2,FALSE)</f>
        <v>Йогурт</v>
      </c>
      <c r="J373" s="50">
        <f t="shared" si="2"/>
        <v>263.2542373</v>
      </c>
      <c r="K373" s="51">
        <f t="shared" si="3"/>
        <v>-0.5365696626</v>
      </c>
      <c r="L373" s="20" t="str">
        <f>VLOOKUP(B373,'товар'!$A$1:$C$433,3,FALSE)</f>
        <v>Ростагроэкспорт</v>
      </c>
      <c r="M373" s="52">
        <f t="shared" si="4"/>
        <v>257.7826087</v>
      </c>
      <c r="N373" s="53">
        <f>VLOOKUP(H373,'клиенты'!$A$1:$F$435,5,FALSE)</f>
        <v>44570</v>
      </c>
      <c r="O373" s="20">
        <f t="shared" si="5"/>
        <v>577</v>
      </c>
      <c r="P373" s="20" t="str">
        <f>VLOOKUP(H373,'клиенты'!$A$2:$J$435,10,FALSE)</f>
        <v>Таджикистан</v>
      </c>
      <c r="Q373" s="54">
        <f t="shared" si="6"/>
        <v>46078.45901</v>
      </c>
      <c r="R373" s="55">
        <f t="shared" si="7"/>
        <v>50.28196706</v>
      </c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41">
        <v>373.0</v>
      </c>
      <c r="B374" s="41">
        <v>11.0</v>
      </c>
      <c r="C374" s="41">
        <v>199.0</v>
      </c>
      <c r="D374" s="41">
        <v>4.0</v>
      </c>
      <c r="E374" s="41">
        <f t="shared" si="1"/>
        <v>796</v>
      </c>
      <c r="F374" s="42">
        <v>45374.0</v>
      </c>
      <c r="G374" s="41" t="s">
        <v>48</v>
      </c>
      <c r="H374" s="41">
        <v>296.0</v>
      </c>
      <c r="I374" s="41" t="str">
        <f>VLOOKUP(B374,'товар'!$A$1:$C$433,2,FALSE)</f>
        <v>Хлеб</v>
      </c>
      <c r="J374" s="43">
        <f t="shared" si="2"/>
        <v>300.3181818</v>
      </c>
      <c r="K374" s="44">
        <f t="shared" si="3"/>
        <v>-0.3373694566</v>
      </c>
      <c r="L374" s="41" t="str">
        <f>VLOOKUP(B374,'товар'!$A$1:$C$433,3,FALSE)</f>
        <v>Русский Хлеб</v>
      </c>
      <c r="M374" s="45">
        <f t="shared" si="4"/>
        <v>316.6</v>
      </c>
      <c r="N374" s="46">
        <f>VLOOKUP(H374,'клиенты'!$A$1:$F$435,5,FALSE)</f>
        <v>44758</v>
      </c>
      <c r="O374" s="41">
        <f t="shared" si="5"/>
        <v>616</v>
      </c>
      <c r="P374" s="41" t="str">
        <f>VLOOKUP(H374,'клиенты'!$A$2:$J$435,10,FALSE)</f>
        <v>Узбекистан</v>
      </c>
      <c r="Q374" s="47">
        <f t="shared" si="6"/>
        <v>46078.45901</v>
      </c>
      <c r="R374" s="48">
        <f t="shared" si="7"/>
        <v>44.01530039</v>
      </c>
      <c r="S374" s="41"/>
      <c r="T374" s="41"/>
      <c r="U374" s="41"/>
      <c r="V374" s="41"/>
      <c r="W374" s="41"/>
      <c r="X374" s="41"/>
      <c r="Y374" s="41"/>
      <c r="Z374" s="41"/>
    </row>
    <row r="375" ht="14.25" customHeight="1">
      <c r="A375" s="20">
        <v>374.0</v>
      </c>
      <c r="B375" s="20">
        <v>441.0</v>
      </c>
      <c r="C375" s="20">
        <v>173.0</v>
      </c>
      <c r="D375" s="20">
        <v>3.0</v>
      </c>
      <c r="E375" s="20">
        <f t="shared" si="1"/>
        <v>519</v>
      </c>
      <c r="F375" s="49">
        <v>45349.0</v>
      </c>
      <c r="G375" s="20" t="s">
        <v>42</v>
      </c>
      <c r="H375" s="20">
        <v>62.0</v>
      </c>
      <c r="I375" s="20" t="str">
        <f>VLOOKUP(B375,'товар'!$A$1:$C$433,2,FALSE)</f>
        <v>Чай</v>
      </c>
      <c r="J375" s="50">
        <f t="shared" si="2"/>
        <v>271.1818182</v>
      </c>
      <c r="K375" s="51">
        <f t="shared" si="3"/>
        <v>-0.3620516259</v>
      </c>
      <c r="L375" s="20" t="str">
        <f>VLOOKUP(B375,'товар'!$A$1:$C$433,3,FALSE)</f>
        <v>Lipton</v>
      </c>
      <c r="M375" s="52">
        <f t="shared" si="4"/>
        <v>260.1578947</v>
      </c>
      <c r="N375" s="53">
        <f>VLOOKUP(H375,'клиенты'!$A$1:$F$435,5,FALSE)</f>
        <v>44671</v>
      </c>
      <c r="O375" s="20">
        <f t="shared" si="5"/>
        <v>678</v>
      </c>
      <c r="P375" s="20" t="str">
        <f>VLOOKUP(H375,'клиенты'!$A$2:$J$435,10,FALSE)</f>
        <v>Россия</v>
      </c>
      <c r="Q375" s="54">
        <f t="shared" si="6"/>
        <v>46078.45901</v>
      </c>
      <c r="R375" s="55">
        <f t="shared" si="7"/>
        <v>46.91530039</v>
      </c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41">
        <v>375.0</v>
      </c>
      <c r="B376" s="41">
        <v>19.0</v>
      </c>
      <c r="C376" s="41">
        <v>142.0</v>
      </c>
      <c r="D376" s="41">
        <v>3.0</v>
      </c>
      <c r="E376" s="41">
        <f t="shared" si="1"/>
        <v>426</v>
      </c>
      <c r="F376" s="42">
        <v>45157.0</v>
      </c>
      <c r="G376" s="41" t="s">
        <v>37</v>
      </c>
      <c r="H376" s="41">
        <v>18.0</v>
      </c>
      <c r="I376" s="41" t="str">
        <f>VLOOKUP(B376,'товар'!$A$1:$C$433,2,FALSE)</f>
        <v>Мясо</v>
      </c>
      <c r="J376" s="43">
        <f t="shared" si="2"/>
        <v>271.7454545</v>
      </c>
      <c r="K376" s="44">
        <f t="shared" si="3"/>
        <v>-0.4774521611</v>
      </c>
      <c r="L376" s="41" t="str">
        <f>VLOOKUP(B376,'товар'!$A$1:$C$433,3,FALSE)</f>
        <v>Снежана</v>
      </c>
      <c r="M376" s="45">
        <f t="shared" si="4"/>
        <v>272.3529412</v>
      </c>
      <c r="N376" s="46">
        <f>VLOOKUP(H376,'клиенты'!$A$1:$F$435,5,FALSE)</f>
        <v>44578</v>
      </c>
      <c r="O376" s="41">
        <f t="shared" si="5"/>
        <v>579</v>
      </c>
      <c r="P376" s="41" t="str">
        <f>VLOOKUP(H376,'клиенты'!$A$2:$J$435,10,FALSE)</f>
        <v>Украина</v>
      </c>
      <c r="Q376" s="47">
        <f t="shared" si="6"/>
        <v>46078.45901</v>
      </c>
      <c r="R376" s="48">
        <f t="shared" si="7"/>
        <v>50.01530039</v>
      </c>
      <c r="S376" s="41"/>
      <c r="T376" s="41"/>
      <c r="U376" s="41"/>
      <c r="V376" s="41"/>
      <c r="W376" s="41"/>
      <c r="X376" s="41"/>
      <c r="Y376" s="41"/>
      <c r="Z376" s="41"/>
    </row>
    <row r="377" ht="14.25" customHeight="1">
      <c r="A377" s="20">
        <v>376.0</v>
      </c>
      <c r="B377" s="20">
        <v>340.0</v>
      </c>
      <c r="C377" s="20">
        <v>157.0</v>
      </c>
      <c r="D377" s="20">
        <v>2.0</v>
      </c>
      <c r="E377" s="20">
        <f t="shared" si="1"/>
        <v>314</v>
      </c>
      <c r="F377" s="49">
        <v>45075.0</v>
      </c>
      <c r="G377" s="20" t="s">
        <v>35</v>
      </c>
      <c r="H377" s="20">
        <v>376.0</v>
      </c>
      <c r="I377" s="20" t="str">
        <f>VLOOKUP(B377,'товар'!$A$1:$C$433,2,FALSE)</f>
        <v>Сыр</v>
      </c>
      <c r="J377" s="50">
        <f t="shared" si="2"/>
        <v>262.6349206</v>
      </c>
      <c r="K377" s="51">
        <f t="shared" si="3"/>
        <v>-0.402212015</v>
      </c>
      <c r="L377" s="20" t="str">
        <f>VLOOKUP(B377,'товар'!$A$1:$C$433,3,FALSE)</f>
        <v>Карат</v>
      </c>
      <c r="M377" s="52">
        <f t="shared" si="4"/>
        <v>311.3333333</v>
      </c>
      <c r="N377" s="53">
        <f>VLOOKUP(H377,'клиенты'!$A$1:$F$435,5,FALSE)</f>
        <v>44730</v>
      </c>
      <c r="O377" s="20">
        <f t="shared" si="5"/>
        <v>345</v>
      </c>
      <c r="P377" s="20" t="str">
        <f>VLOOKUP(H377,'клиенты'!$A$2:$J$435,10,FALSE)</f>
        <v>Беларусь</v>
      </c>
      <c r="Q377" s="54">
        <f t="shared" si="6"/>
        <v>46078.45901</v>
      </c>
      <c r="R377" s="55">
        <f t="shared" si="7"/>
        <v>44.94863372</v>
      </c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41">
        <v>377.0</v>
      </c>
      <c r="B378" s="41">
        <v>142.0</v>
      </c>
      <c r="C378" s="41">
        <v>160.0</v>
      </c>
      <c r="D378" s="41">
        <v>4.0</v>
      </c>
      <c r="E378" s="41">
        <f t="shared" si="1"/>
        <v>640</v>
      </c>
      <c r="F378" s="42">
        <v>45414.0</v>
      </c>
      <c r="G378" s="41" t="s">
        <v>37</v>
      </c>
      <c r="H378" s="41">
        <v>459.0</v>
      </c>
      <c r="I378" s="41" t="str">
        <f>VLOOKUP(B378,'товар'!$A$1:$C$433,2,FALSE)</f>
        <v>Фрукты</v>
      </c>
      <c r="J378" s="43">
        <f t="shared" si="2"/>
        <v>274.1627907</v>
      </c>
      <c r="K378" s="44">
        <f t="shared" si="3"/>
        <v>-0.4164051234</v>
      </c>
      <c r="L378" s="41" t="str">
        <f>VLOOKUP(B378,'товар'!$A$1:$C$433,3,FALSE)</f>
        <v>Фруктовый Рай</v>
      </c>
      <c r="M378" s="45">
        <f t="shared" si="4"/>
        <v>258.3076923</v>
      </c>
      <c r="N378" s="46">
        <f>VLOOKUP(H378,'клиенты'!$A$1:$F$435,5,FALSE)</f>
        <v>44743</v>
      </c>
      <c r="O378" s="41">
        <f t="shared" si="5"/>
        <v>671</v>
      </c>
      <c r="P378" s="41" t="str">
        <f>VLOOKUP(H378,'клиенты'!$A$2:$J$435,10,FALSE)</f>
        <v>Россия</v>
      </c>
      <c r="Q378" s="47">
        <f t="shared" si="6"/>
        <v>46078.45901</v>
      </c>
      <c r="R378" s="48">
        <f t="shared" si="7"/>
        <v>44.51530039</v>
      </c>
      <c r="S378" s="41"/>
      <c r="T378" s="41"/>
      <c r="U378" s="41"/>
      <c r="V378" s="41"/>
      <c r="W378" s="41"/>
      <c r="X378" s="41"/>
      <c r="Y378" s="41"/>
      <c r="Z378" s="41"/>
    </row>
    <row r="379" ht="14.25" customHeight="1">
      <c r="A379" s="20">
        <v>378.0</v>
      </c>
      <c r="B379" s="20">
        <v>452.0</v>
      </c>
      <c r="C379" s="20">
        <v>325.0</v>
      </c>
      <c r="D379" s="20">
        <v>2.0</v>
      </c>
      <c r="E379" s="20">
        <f t="shared" si="1"/>
        <v>650</v>
      </c>
      <c r="F379" s="49">
        <v>45160.0</v>
      </c>
      <c r="G379" s="20" t="s">
        <v>41</v>
      </c>
      <c r="H379" s="20">
        <v>88.0</v>
      </c>
      <c r="I379" s="20" t="str">
        <f>VLOOKUP(B379,'товар'!$A$1:$C$433,2,FALSE)</f>
        <v>Фрукты</v>
      </c>
      <c r="J379" s="50">
        <f t="shared" si="2"/>
        <v>274.1627907</v>
      </c>
      <c r="K379" s="51">
        <f t="shared" si="3"/>
        <v>0.1854270931</v>
      </c>
      <c r="L379" s="20" t="str">
        <f>VLOOKUP(B379,'товар'!$A$1:$C$433,3,FALSE)</f>
        <v>Экзотик</v>
      </c>
      <c r="M379" s="52">
        <f t="shared" si="4"/>
        <v>253.6875</v>
      </c>
      <c r="N379" s="53">
        <f>VLOOKUP(H379,'клиенты'!$A$1:$F$435,5,FALSE)</f>
        <v>44630</v>
      </c>
      <c r="O379" s="20">
        <f t="shared" si="5"/>
        <v>530</v>
      </c>
      <c r="P379" s="20" t="str">
        <f>VLOOKUP(H379,'клиенты'!$A$2:$J$435,10,FALSE)</f>
        <v>Украина</v>
      </c>
      <c r="Q379" s="54">
        <f t="shared" si="6"/>
        <v>46078.45901</v>
      </c>
      <c r="R379" s="55">
        <f t="shared" si="7"/>
        <v>48.28196706</v>
      </c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41">
        <v>379.0</v>
      </c>
      <c r="B380" s="41">
        <v>340.0</v>
      </c>
      <c r="C380" s="41">
        <v>457.0</v>
      </c>
      <c r="D380" s="41">
        <v>1.0</v>
      </c>
      <c r="E380" s="41">
        <f t="shared" si="1"/>
        <v>457</v>
      </c>
      <c r="F380" s="42">
        <v>44945.0</v>
      </c>
      <c r="G380" s="41" t="s">
        <v>43</v>
      </c>
      <c r="H380" s="41">
        <v>325.0</v>
      </c>
      <c r="I380" s="41" t="str">
        <f>VLOOKUP(B380,'товар'!$A$1:$C$433,2,FALSE)</f>
        <v>Сыр</v>
      </c>
      <c r="J380" s="43">
        <f t="shared" si="2"/>
        <v>262.6349206</v>
      </c>
      <c r="K380" s="44">
        <f t="shared" si="3"/>
        <v>0.7400580201</v>
      </c>
      <c r="L380" s="41" t="str">
        <f>VLOOKUP(B380,'товар'!$A$1:$C$433,3,FALSE)</f>
        <v>Карат</v>
      </c>
      <c r="M380" s="45">
        <f t="shared" si="4"/>
        <v>311.3333333</v>
      </c>
      <c r="N380" s="46">
        <f>VLOOKUP(H380,'клиенты'!$A$1:$F$435,5,FALSE)</f>
        <v>44875</v>
      </c>
      <c r="O380" s="41">
        <f t="shared" si="5"/>
        <v>70</v>
      </c>
      <c r="P380" s="41" t="str">
        <f>VLOOKUP(H380,'клиенты'!$A$2:$J$435,10,FALSE)</f>
        <v>Таджикистан</v>
      </c>
      <c r="Q380" s="47">
        <f t="shared" si="6"/>
        <v>46078.45901</v>
      </c>
      <c r="R380" s="48">
        <f t="shared" si="7"/>
        <v>40.11530039</v>
      </c>
      <c r="S380" s="41"/>
      <c r="T380" s="41"/>
      <c r="U380" s="41"/>
      <c r="V380" s="41"/>
      <c r="W380" s="41"/>
      <c r="X380" s="41"/>
      <c r="Y380" s="41"/>
      <c r="Z380" s="41"/>
    </row>
    <row r="381" ht="14.25" customHeight="1">
      <c r="A381" s="20">
        <v>380.0</v>
      </c>
      <c r="B381" s="20">
        <v>466.0</v>
      </c>
      <c r="C381" s="20">
        <v>425.0</v>
      </c>
      <c r="D381" s="20">
        <v>5.0</v>
      </c>
      <c r="E381" s="20">
        <f t="shared" si="1"/>
        <v>2125</v>
      </c>
      <c r="F381" s="49">
        <v>45132.0</v>
      </c>
      <c r="G381" s="20" t="s">
        <v>54</v>
      </c>
      <c r="H381" s="20">
        <v>129.0</v>
      </c>
      <c r="I381" s="20" t="str">
        <f>VLOOKUP(B381,'товар'!$A$1:$C$433,2,FALSE)</f>
        <v>Фрукты</v>
      </c>
      <c r="J381" s="50">
        <f t="shared" si="2"/>
        <v>274.1627907</v>
      </c>
      <c r="K381" s="51">
        <f t="shared" si="3"/>
        <v>0.5501738909</v>
      </c>
      <c r="L381" s="20" t="str">
        <f>VLOOKUP(B381,'товар'!$A$1:$C$433,3,FALSE)</f>
        <v>Green Garden</v>
      </c>
      <c r="M381" s="52">
        <f t="shared" si="4"/>
        <v>369.2</v>
      </c>
      <c r="N381" s="53">
        <f>VLOOKUP(H381,'клиенты'!$A$1:$F$435,5,FALSE)</f>
        <v>44868</v>
      </c>
      <c r="O381" s="20">
        <f t="shared" si="5"/>
        <v>264</v>
      </c>
      <c r="P381" s="20" t="str">
        <f>VLOOKUP(H381,'клиенты'!$A$2:$J$435,10,FALSE)</f>
        <v>Беларусь</v>
      </c>
      <c r="Q381" s="54">
        <f t="shared" si="6"/>
        <v>46078.45901</v>
      </c>
      <c r="R381" s="55">
        <f t="shared" si="7"/>
        <v>40.34863372</v>
      </c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41">
        <v>381.0</v>
      </c>
      <c r="B382" s="41">
        <v>71.0</v>
      </c>
      <c r="C382" s="41">
        <v>125.0</v>
      </c>
      <c r="D382" s="41">
        <v>4.0</v>
      </c>
      <c r="E382" s="41">
        <f t="shared" si="1"/>
        <v>500</v>
      </c>
      <c r="F382" s="42">
        <v>45182.0</v>
      </c>
      <c r="G382" s="41" t="s">
        <v>48</v>
      </c>
      <c r="H382" s="41">
        <v>19.0</v>
      </c>
      <c r="I382" s="41" t="str">
        <f>VLOOKUP(B382,'товар'!$A$1:$C$433,2,FALSE)</f>
        <v>Печенье</v>
      </c>
      <c r="J382" s="43">
        <f t="shared" si="2"/>
        <v>283.4680851</v>
      </c>
      <c r="K382" s="44">
        <f t="shared" si="3"/>
        <v>-0.5590332508</v>
      </c>
      <c r="L382" s="41" t="str">
        <f>VLOOKUP(B382,'товар'!$A$1:$C$433,3,FALSE)</f>
        <v>Белогорье</v>
      </c>
      <c r="M382" s="45">
        <f t="shared" si="4"/>
        <v>249.5</v>
      </c>
      <c r="N382" s="46">
        <f>VLOOKUP(H382,'клиенты'!$A$1:$F$435,5,FALSE)</f>
        <v>44902</v>
      </c>
      <c r="O382" s="41">
        <f t="shared" si="5"/>
        <v>280</v>
      </c>
      <c r="P382" s="41" t="str">
        <f>VLOOKUP(H382,'клиенты'!$A$2:$J$435,10,FALSE)</f>
        <v>Россия</v>
      </c>
      <c r="Q382" s="47">
        <f t="shared" si="6"/>
        <v>46078.45901</v>
      </c>
      <c r="R382" s="48">
        <f t="shared" si="7"/>
        <v>39.21530039</v>
      </c>
      <c r="S382" s="41"/>
      <c r="T382" s="41"/>
      <c r="U382" s="41"/>
      <c r="V382" s="41"/>
      <c r="W382" s="41"/>
      <c r="X382" s="41"/>
      <c r="Y382" s="41"/>
      <c r="Z382" s="41"/>
    </row>
    <row r="383" ht="14.25" customHeight="1">
      <c r="A383" s="20">
        <v>382.0</v>
      </c>
      <c r="B383" s="20">
        <v>451.0</v>
      </c>
      <c r="C383" s="20">
        <v>227.0</v>
      </c>
      <c r="D383" s="20">
        <v>3.0</v>
      </c>
      <c r="E383" s="20">
        <f t="shared" si="1"/>
        <v>681</v>
      </c>
      <c r="F383" s="49">
        <v>45098.0</v>
      </c>
      <c r="G383" s="20" t="s">
        <v>35</v>
      </c>
      <c r="H383" s="20">
        <v>304.0</v>
      </c>
      <c r="I383" s="20" t="str">
        <f>VLOOKUP(B383,'товар'!$A$1:$C$433,2,FALSE)</f>
        <v>Рис</v>
      </c>
      <c r="J383" s="50">
        <f t="shared" si="2"/>
        <v>258.375</v>
      </c>
      <c r="K383" s="51">
        <f t="shared" si="3"/>
        <v>-0.1214320271</v>
      </c>
      <c r="L383" s="20" t="str">
        <f>VLOOKUP(B383,'товар'!$A$1:$C$433,3,FALSE)</f>
        <v>Белый Злат</v>
      </c>
      <c r="M383" s="52">
        <f t="shared" si="4"/>
        <v>269.7058824</v>
      </c>
      <c r="N383" s="53">
        <f>VLOOKUP(H383,'клиенты'!$A$1:$F$435,5,FALSE)</f>
        <v>44886</v>
      </c>
      <c r="O383" s="20">
        <f t="shared" si="5"/>
        <v>212</v>
      </c>
      <c r="P383" s="20" t="str">
        <f>VLOOKUP(H383,'клиенты'!$A$2:$J$435,10,FALSE)</f>
        <v>Россия</v>
      </c>
      <c r="Q383" s="54">
        <f t="shared" si="6"/>
        <v>46078.45901</v>
      </c>
      <c r="R383" s="55">
        <f t="shared" si="7"/>
        <v>39.74863372</v>
      </c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41">
        <v>383.0</v>
      </c>
      <c r="B384" s="41">
        <v>116.0</v>
      </c>
      <c r="C384" s="41">
        <v>426.0</v>
      </c>
      <c r="D384" s="41">
        <v>5.0</v>
      </c>
      <c r="E384" s="41">
        <f t="shared" si="1"/>
        <v>2130</v>
      </c>
      <c r="F384" s="42">
        <v>44993.0</v>
      </c>
      <c r="G384" s="41" t="s">
        <v>36</v>
      </c>
      <c r="H384" s="41">
        <v>285.0</v>
      </c>
      <c r="I384" s="41" t="str">
        <f>VLOOKUP(B384,'товар'!$A$1:$C$433,2,FALSE)</f>
        <v>Соль</v>
      </c>
      <c r="J384" s="43">
        <f t="shared" si="2"/>
        <v>264.8679245</v>
      </c>
      <c r="K384" s="44">
        <f t="shared" si="3"/>
        <v>0.6083487676</v>
      </c>
      <c r="L384" s="41" t="str">
        <f>VLOOKUP(B384,'товар'!$A$1:$C$433,3,FALSE)</f>
        <v>Экстра</v>
      </c>
      <c r="M384" s="45">
        <f t="shared" si="4"/>
        <v>320.8461538</v>
      </c>
      <c r="N384" s="46">
        <f>VLOOKUP(H384,'клиенты'!$A$1:$F$435,5,FALSE)</f>
        <v>44922</v>
      </c>
      <c r="O384" s="41">
        <f t="shared" si="5"/>
        <v>71</v>
      </c>
      <c r="P384" s="41" t="str">
        <f>VLOOKUP(H384,'клиенты'!$A$2:$J$435,10,FALSE)</f>
        <v>Таджикистан</v>
      </c>
      <c r="Q384" s="47">
        <f t="shared" si="6"/>
        <v>46078.45901</v>
      </c>
      <c r="R384" s="48">
        <f t="shared" si="7"/>
        <v>38.54863372</v>
      </c>
      <c r="S384" s="41"/>
      <c r="T384" s="41"/>
      <c r="U384" s="41"/>
      <c r="V384" s="41"/>
      <c r="W384" s="41"/>
      <c r="X384" s="41"/>
      <c r="Y384" s="41"/>
      <c r="Z384" s="41"/>
    </row>
    <row r="385" ht="14.25" customHeight="1">
      <c r="A385" s="20">
        <v>384.0</v>
      </c>
      <c r="B385" s="20">
        <v>480.0</v>
      </c>
      <c r="C385" s="20">
        <v>70.0</v>
      </c>
      <c r="D385" s="20">
        <v>1.0</v>
      </c>
      <c r="E385" s="20">
        <f t="shared" si="1"/>
        <v>70</v>
      </c>
      <c r="F385" s="49">
        <v>44945.0</v>
      </c>
      <c r="G385" s="20" t="s">
        <v>37</v>
      </c>
      <c r="H385" s="20">
        <v>464.0</v>
      </c>
      <c r="I385" s="20" t="str">
        <f>VLOOKUP(B385,'товар'!$A$1:$C$433,2,FALSE)</f>
        <v>Молоко</v>
      </c>
      <c r="J385" s="50">
        <f t="shared" si="2"/>
        <v>294.952381</v>
      </c>
      <c r="K385" s="51">
        <f t="shared" si="3"/>
        <v>-0.7626735551</v>
      </c>
      <c r="L385" s="20" t="str">
        <f>VLOOKUP(B385,'товар'!$A$1:$C$433,3,FALSE)</f>
        <v>Беллакт</v>
      </c>
      <c r="M385" s="52">
        <f t="shared" si="4"/>
        <v>322.5454545</v>
      </c>
      <c r="N385" s="53">
        <f>VLOOKUP(H385,'клиенты'!$A$1:$F$435,5,FALSE)</f>
        <v>44827</v>
      </c>
      <c r="O385" s="20">
        <f t="shared" si="5"/>
        <v>118</v>
      </c>
      <c r="P385" s="20" t="str">
        <f>VLOOKUP(H385,'клиенты'!$A$2:$J$435,10,FALSE)</f>
        <v>Россия</v>
      </c>
      <c r="Q385" s="54">
        <f t="shared" si="6"/>
        <v>46078.45901</v>
      </c>
      <c r="R385" s="55">
        <f t="shared" si="7"/>
        <v>41.71530039</v>
      </c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41">
        <v>385.0</v>
      </c>
      <c r="B386" s="41">
        <v>409.0</v>
      </c>
      <c r="C386" s="41">
        <v>386.0</v>
      </c>
      <c r="D386" s="41">
        <v>1.0</v>
      </c>
      <c r="E386" s="41">
        <f t="shared" si="1"/>
        <v>386</v>
      </c>
      <c r="F386" s="42">
        <v>45192.0</v>
      </c>
      <c r="G386" s="41" t="s">
        <v>43</v>
      </c>
      <c r="H386" s="41">
        <v>461.0</v>
      </c>
      <c r="I386" s="41" t="str">
        <f>VLOOKUP(B386,'товар'!$A$1:$C$433,2,FALSE)</f>
        <v>Фрукты</v>
      </c>
      <c r="J386" s="43">
        <f t="shared" si="2"/>
        <v>274.1627907</v>
      </c>
      <c r="K386" s="44">
        <f t="shared" si="3"/>
        <v>0.4079226397</v>
      </c>
      <c r="L386" s="41" t="str">
        <f>VLOOKUP(B386,'товар'!$A$1:$C$433,3,FALSE)</f>
        <v>Фруктовый Рай</v>
      </c>
      <c r="M386" s="45">
        <f t="shared" si="4"/>
        <v>258.3076923</v>
      </c>
      <c r="N386" s="46">
        <f>VLOOKUP(H386,'клиенты'!$A$1:$F$435,5,FALSE)</f>
        <v>44667</v>
      </c>
      <c r="O386" s="41">
        <f t="shared" si="5"/>
        <v>525</v>
      </c>
      <c r="P386" s="41" t="str">
        <f>VLOOKUP(H386,'клиенты'!$A$2:$J$435,10,FALSE)</f>
        <v>Узбекистан</v>
      </c>
      <c r="Q386" s="47">
        <f t="shared" si="6"/>
        <v>46078.45901</v>
      </c>
      <c r="R386" s="48">
        <f t="shared" si="7"/>
        <v>47.04863372</v>
      </c>
      <c r="S386" s="41"/>
      <c r="T386" s="41"/>
      <c r="U386" s="41"/>
      <c r="V386" s="41"/>
      <c r="W386" s="41"/>
      <c r="X386" s="41"/>
      <c r="Y386" s="41"/>
      <c r="Z386" s="41"/>
    </row>
    <row r="387" ht="14.25" customHeight="1">
      <c r="A387" s="20">
        <v>386.0</v>
      </c>
      <c r="B387" s="20">
        <v>129.0</v>
      </c>
      <c r="C387" s="20">
        <v>235.0</v>
      </c>
      <c r="D387" s="20">
        <v>2.0</v>
      </c>
      <c r="E387" s="20">
        <f t="shared" si="1"/>
        <v>470</v>
      </c>
      <c r="F387" s="49">
        <v>45207.0</v>
      </c>
      <c r="G387" s="20" t="s">
        <v>37</v>
      </c>
      <c r="H387" s="20">
        <v>149.0</v>
      </c>
      <c r="I387" s="20" t="str">
        <f>VLOOKUP(B387,'товар'!$A$1:$C$433,2,FALSE)</f>
        <v>Мясо</v>
      </c>
      <c r="J387" s="50">
        <f t="shared" si="2"/>
        <v>271.7454545</v>
      </c>
      <c r="K387" s="51">
        <f t="shared" si="3"/>
        <v>-0.1352201258</v>
      </c>
      <c r="L387" s="20" t="str">
        <f>VLOOKUP(B387,'товар'!$A$1:$C$433,3,FALSE)</f>
        <v>Агрокомплекс</v>
      </c>
      <c r="M387" s="52">
        <f t="shared" si="4"/>
        <v>311.2</v>
      </c>
      <c r="N387" s="53">
        <f>VLOOKUP(H387,'клиенты'!$A$1:$F$435,5,FALSE)</f>
        <v>44882</v>
      </c>
      <c r="O387" s="20">
        <f t="shared" si="5"/>
        <v>325</v>
      </c>
      <c r="P387" s="20" t="str">
        <f>VLOOKUP(H387,'клиенты'!$A$2:$J$435,10,FALSE)</f>
        <v>Таджикистан</v>
      </c>
      <c r="Q387" s="54">
        <f t="shared" si="6"/>
        <v>46078.45901</v>
      </c>
      <c r="R387" s="55">
        <f t="shared" si="7"/>
        <v>39.88196706</v>
      </c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41">
        <v>387.0</v>
      </c>
      <c r="B388" s="41">
        <v>283.0</v>
      </c>
      <c r="C388" s="41">
        <v>107.0</v>
      </c>
      <c r="D388" s="41">
        <v>3.0</v>
      </c>
      <c r="E388" s="41">
        <f t="shared" si="1"/>
        <v>321</v>
      </c>
      <c r="F388" s="42">
        <v>45413.0</v>
      </c>
      <c r="G388" s="41" t="s">
        <v>35</v>
      </c>
      <c r="H388" s="41">
        <v>222.0</v>
      </c>
      <c r="I388" s="41" t="str">
        <f>VLOOKUP(B388,'товар'!$A$1:$C$433,2,FALSE)</f>
        <v>Конфеты</v>
      </c>
      <c r="J388" s="43">
        <f t="shared" si="2"/>
        <v>267.8548387</v>
      </c>
      <c r="K388" s="44">
        <f t="shared" si="3"/>
        <v>-0.600529897</v>
      </c>
      <c r="L388" s="41" t="str">
        <f>VLOOKUP(B388,'товар'!$A$1:$C$433,3,FALSE)</f>
        <v>Рот Фронт</v>
      </c>
      <c r="M388" s="45">
        <f t="shared" si="4"/>
        <v>288.2380952</v>
      </c>
      <c r="N388" s="46">
        <f>VLOOKUP(H388,'клиенты'!$A$1:$F$435,5,FALSE)</f>
        <v>44694</v>
      </c>
      <c r="O388" s="41">
        <f t="shared" si="5"/>
        <v>719</v>
      </c>
      <c r="P388" s="41" t="str">
        <f>VLOOKUP(H388,'клиенты'!$A$2:$J$435,10,FALSE)</f>
        <v>Украина</v>
      </c>
      <c r="Q388" s="47">
        <f t="shared" si="6"/>
        <v>46078.45901</v>
      </c>
      <c r="R388" s="48">
        <f t="shared" si="7"/>
        <v>46.14863372</v>
      </c>
      <c r="S388" s="41"/>
      <c r="T388" s="41"/>
      <c r="U388" s="41"/>
      <c r="V388" s="41"/>
      <c r="W388" s="41"/>
      <c r="X388" s="41"/>
      <c r="Y388" s="41"/>
      <c r="Z388" s="41"/>
    </row>
    <row r="389" ht="14.25" customHeight="1">
      <c r="A389" s="20">
        <v>388.0</v>
      </c>
      <c r="B389" s="20">
        <v>36.0</v>
      </c>
      <c r="C389" s="20">
        <v>83.0</v>
      </c>
      <c r="D389" s="20">
        <v>4.0</v>
      </c>
      <c r="E389" s="20">
        <f t="shared" si="1"/>
        <v>332</v>
      </c>
      <c r="F389" s="49">
        <v>45265.0</v>
      </c>
      <c r="G389" s="20" t="s">
        <v>43</v>
      </c>
      <c r="H389" s="20">
        <v>333.0</v>
      </c>
      <c r="I389" s="20" t="str">
        <f>VLOOKUP(B389,'товар'!$A$1:$C$433,2,FALSE)</f>
        <v>Макароны</v>
      </c>
      <c r="J389" s="50">
        <f t="shared" si="2"/>
        <v>265.4767442</v>
      </c>
      <c r="K389" s="51">
        <f t="shared" si="3"/>
        <v>-0.6873549122</v>
      </c>
      <c r="L389" s="20" t="str">
        <f>VLOOKUP(B389,'товар'!$A$1:$C$433,3,FALSE)</f>
        <v>Роллтон</v>
      </c>
      <c r="M389" s="52">
        <f t="shared" si="4"/>
        <v>235.5555556</v>
      </c>
      <c r="N389" s="53">
        <f>VLOOKUP(H389,'клиенты'!$A$1:$F$435,5,FALSE)</f>
        <v>44857</v>
      </c>
      <c r="O389" s="20">
        <f t="shared" si="5"/>
        <v>408</v>
      </c>
      <c r="P389" s="20" t="str">
        <f>VLOOKUP(H389,'клиенты'!$A$2:$J$435,10,FALSE)</f>
        <v>Россия</v>
      </c>
      <c r="Q389" s="54">
        <f t="shared" si="6"/>
        <v>46078.45901</v>
      </c>
      <c r="R389" s="55">
        <f t="shared" si="7"/>
        <v>40.71530039</v>
      </c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41">
        <v>389.0</v>
      </c>
      <c r="B390" s="41">
        <v>290.0</v>
      </c>
      <c r="C390" s="41">
        <v>50.0</v>
      </c>
      <c r="D390" s="41">
        <v>5.0</v>
      </c>
      <c r="E390" s="41">
        <f t="shared" si="1"/>
        <v>250</v>
      </c>
      <c r="F390" s="42">
        <v>45052.0</v>
      </c>
      <c r="G390" s="41" t="s">
        <v>48</v>
      </c>
      <c r="H390" s="41">
        <v>495.0</v>
      </c>
      <c r="I390" s="41" t="str">
        <f>VLOOKUP(B390,'товар'!$A$1:$C$433,2,FALSE)</f>
        <v>Сахар</v>
      </c>
      <c r="J390" s="43">
        <f t="shared" si="2"/>
        <v>252.7627119</v>
      </c>
      <c r="K390" s="44">
        <f t="shared" si="3"/>
        <v>-0.8021860122</v>
      </c>
      <c r="L390" s="41" t="str">
        <f>VLOOKUP(B390,'товар'!$A$1:$C$433,3,FALSE)</f>
        <v>Продимекс</v>
      </c>
      <c r="M390" s="45">
        <f t="shared" si="4"/>
        <v>240.5</v>
      </c>
      <c r="N390" s="46">
        <f>VLOOKUP(H390,'клиенты'!$A$1:$F$435,5,FALSE)</f>
        <v>44654</v>
      </c>
      <c r="O390" s="41">
        <f t="shared" si="5"/>
        <v>398</v>
      </c>
      <c r="P390" s="41" t="str">
        <f>VLOOKUP(H390,'клиенты'!$A$2:$J$435,10,FALSE)</f>
        <v>Узбекистан</v>
      </c>
      <c r="Q390" s="47">
        <f t="shared" si="6"/>
        <v>46078.45901</v>
      </c>
      <c r="R390" s="48">
        <f t="shared" si="7"/>
        <v>47.48196706</v>
      </c>
      <c r="S390" s="41"/>
      <c r="T390" s="41"/>
      <c r="U390" s="41"/>
      <c r="V390" s="41"/>
      <c r="W390" s="41"/>
      <c r="X390" s="41"/>
      <c r="Y390" s="41"/>
      <c r="Z390" s="41"/>
    </row>
    <row r="391" ht="14.25" customHeight="1">
      <c r="A391" s="20">
        <v>390.0</v>
      </c>
      <c r="B391" s="20">
        <v>229.0</v>
      </c>
      <c r="C391" s="20">
        <v>269.0</v>
      </c>
      <c r="D391" s="20">
        <v>5.0</v>
      </c>
      <c r="E391" s="20">
        <f t="shared" si="1"/>
        <v>1345</v>
      </c>
      <c r="F391" s="49">
        <v>45011.0</v>
      </c>
      <c r="G391" s="20" t="s">
        <v>42</v>
      </c>
      <c r="H391" s="20">
        <v>278.0</v>
      </c>
      <c r="I391" s="20" t="str">
        <f>VLOOKUP(B391,'товар'!$A$1:$C$433,2,FALSE)</f>
        <v>Мясо</v>
      </c>
      <c r="J391" s="50">
        <f t="shared" si="2"/>
        <v>271.7454545</v>
      </c>
      <c r="K391" s="51">
        <f t="shared" si="3"/>
        <v>-0.0101030376</v>
      </c>
      <c r="L391" s="20" t="str">
        <f>VLOOKUP(B391,'товар'!$A$1:$C$433,3,FALSE)</f>
        <v>Сава</v>
      </c>
      <c r="M391" s="52">
        <f t="shared" si="4"/>
        <v>212.8125</v>
      </c>
      <c r="N391" s="53">
        <f>VLOOKUP(H391,'клиенты'!$A$1:$F$435,5,FALSE)</f>
        <v>44920</v>
      </c>
      <c r="O391" s="20">
        <f t="shared" si="5"/>
        <v>91</v>
      </c>
      <c r="P391" s="20" t="str">
        <f>VLOOKUP(H391,'клиенты'!$A$2:$J$435,10,FALSE)</f>
        <v>Узбекистан</v>
      </c>
      <c r="Q391" s="54">
        <f t="shared" si="6"/>
        <v>46078.45901</v>
      </c>
      <c r="R391" s="55">
        <f t="shared" si="7"/>
        <v>38.61530039</v>
      </c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41">
        <v>391.0</v>
      </c>
      <c r="B392" s="41">
        <v>313.0</v>
      </c>
      <c r="C392" s="41">
        <v>385.0</v>
      </c>
      <c r="D392" s="41">
        <v>4.0</v>
      </c>
      <c r="E392" s="41">
        <f t="shared" si="1"/>
        <v>1540</v>
      </c>
      <c r="F392" s="42">
        <v>44982.0</v>
      </c>
      <c r="G392" s="41" t="s">
        <v>35</v>
      </c>
      <c r="H392" s="41">
        <v>246.0</v>
      </c>
      <c r="I392" s="41" t="str">
        <f>VLOOKUP(B392,'товар'!$A$1:$C$433,2,FALSE)</f>
        <v>Конфеты</v>
      </c>
      <c r="J392" s="43">
        <f t="shared" si="2"/>
        <v>267.8548387</v>
      </c>
      <c r="K392" s="44">
        <f t="shared" si="3"/>
        <v>0.4373456976</v>
      </c>
      <c r="L392" s="41" t="str">
        <f>VLOOKUP(B392,'товар'!$A$1:$C$433,3,FALSE)</f>
        <v>Бабаевский</v>
      </c>
      <c r="M392" s="45">
        <f t="shared" si="4"/>
        <v>250.2592593</v>
      </c>
      <c r="N392" s="46">
        <f>VLOOKUP(H392,'клиенты'!$A$1:$F$435,5,FALSE)</f>
        <v>44805</v>
      </c>
      <c r="O392" s="41">
        <f t="shared" si="5"/>
        <v>177</v>
      </c>
      <c r="P392" s="41" t="str">
        <f>VLOOKUP(H392,'клиенты'!$A$2:$J$435,10,FALSE)</f>
        <v>Узбекистан</v>
      </c>
      <c r="Q392" s="47">
        <f t="shared" si="6"/>
        <v>46078.45901</v>
      </c>
      <c r="R392" s="48">
        <f t="shared" si="7"/>
        <v>42.44863372</v>
      </c>
      <c r="S392" s="41"/>
      <c r="T392" s="41"/>
      <c r="U392" s="41"/>
      <c r="V392" s="41"/>
      <c r="W392" s="41"/>
      <c r="X392" s="41"/>
      <c r="Y392" s="41"/>
      <c r="Z392" s="41"/>
    </row>
    <row r="393" ht="14.25" customHeight="1">
      <c r="A393" s="20">
        <v>392.0</v>
      </c>
      <c r="B393" s="20">
        <v>368.0</v>
      </c>
      <c r="C393" s="20">
        <v>64.0</v>
      </c>
      <c r="D393" s="20">
        <v>5.0</v>
      </c>
      <c r="E393" s="20">
        <f t="shared" si="1"/>
        <v>320</v>
      </c>
      <c r="F393" s="49">
        <v>45340.0</v>
      </c>
      <c r="G393" s="20" t="s">
        <v>53</v>
      </c>
      <c r="H393" s="20">
        <v>480.0</v>
      </c>
      <c r="I393" s="20" t="str">
        <f>VLOOKUP(B393,'товар'!$A$1:$C$433,2,FALSE)</f>
        <v>Сыр</v>
      </c>
      <c r="J393" s="50">
        <f t="shared" si="2"/>
        <v>262.6349206</v>
      </c>
      <c r="K393" s="51">
        <f t="shared" si="3"/>
        <v>-0.7563157259</v>
      </c>
      <c r="L393" s="20" t="str">
        <f>VLOOKUP(B393,'товар'!$A$1:$C$433,3,FALSE)</f>
        <v>Сырная долина</v>
      </c>
      <c r="M393" s="52">
        <f t="shared" si="4"/>
        <v>271</v>
      </c>
      <c r="N393" s="53">
        <f>VLOOKUP(H393,'клиенты'!$A$1:$F$435,5,FALSE)</f>
        <v>44568</v>
      </c>
      <c r="O393" s="20">
        <f t="shared" si="5"/>
        <v>772</v>
      </c>
      <c r="P393" s="20" t="str">
        <f>VLOOKUP(H393,'клиенты'!$A$2:$J$435,10,FALSE)</f>
        <v>Узбекистан</v>
      </c>
      <c r="Q393" s="54">
        <f t="shared" si="6"/>
        <v>46078.45901</v>
      </c>
      <c r="R393" s="55">
        <f t="shared" si="7"/>
        <v>50.34863372</v>
      </c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41">
        <v>393.0</v>
      </c>
      <c r="B394" s="41">
        <v>322.0</v>
      </c>
      <c r="C394" s="41">
        <v>223.0</v>
      </c>
      <c r="D394" s="41">
        <v>2.0</v>
      </c>
      <c r="E394" s="41">
        <f t="shared" si="1"/>
        <v>446</v>
      </c>
      <c r="F394" s="42">
        <v>45254.0</v>
      </c>
      <c r="G394" s="41" t="s">
        <v>41</v>
      </c>
      <c r="H394" s="41">
        <v>205.0</v>
      </c>
      <c r="I394" s="41" t="str">
        <f>VLOOKUP(B394,'товар'!$A$1:$C$433,2,FALSE)</f>
        <v>Крупа</v>
      </c>
      <c r="J394" s="43">
        <f t="shared" si="2"/>
        <v>255.1162791</v>
      </c>
      <c r="K394" s="44">
        <f t="shared" si="3"/>
        <v>-0.1258887876</v>
      </c>
      <c r="L394" s="41" t="str">
        <f>VLOOKUP(B394,'товар'!$A$1:$C$433,3,FALSE)</f>
        <v>Увелка</v>
      </c>
      <c r="M394" s="45">
        <f t="shared" si="4"/>
        <v>251.9166667</v>
      </c>
      <c r="N394" s="46">
        <f>VLOOKUP(H394,'клиенты'!$A$1:$F$435,5,FALSE)</f>
        <v>44918</v>
      </c>
      <c r="O394" s="41">
        <f t="shared" si="5"/>
        <v>336</v>
      </c>
      <c r="P394" s="41" t="str">
        <f>VLOOKUP(H394,'клиенты'!$A$2:$J$435,10,FALSE)</f>
        <v>Россия</v>
      </c>
      <c r="Q394" s="47">
        <f t="shared" si="6"/>
        <v>46078.45901</v>
      </c>
      <c r="R394" s="48">
        <f t="shared" si="7"/>
        <v>38.68196706</v>
      </c>
      <c r="S394" s="41"/>
      <c r="T394" s="41"/>
      <c r="U394" s="41"/>
      <c r="V394" s="41"/>
      <c r="W394" s="41"/>
      <c r="X394" s="41"/>
      <c r="Y394" s="41"/>
      <c r="Z394" s="41"/>
    </row>
    <row r="395" ht="14.25" customHeight="1">
      <c r="A395" s="20">
        <v>394.0</v>
      </c>
      <c r="B395" s="20">
        <v>206.0</v>
      </c>
      <c r="C395" s="20">
        <v>226.0</v>
      </c>
      <c r="D395" s="20">
        <v>2.0</v>
      </c>
      <c r="E395" s="20">
        <f t="shared" si="1"/>
        <v>452</v>
      </c>
      <c r="F395" s="49">
        <v>45264.0</v>
      </c>
      <c r="G395" s="20" t="s">
        <v>41</v>
      </c>
      <c r="H395" s="20">
        <v>357.0</v>
      </c>
      <c r="I395" s="20" t="str">
        <f>VLOOKUP(B395,'товар'!$A$1:$C$433,2,FALSE)</f>
        <v>Молоко</v>
      </c>
      <c r="J395" s="50">
        <f t="shared" si="2"/>
        <v>294.952381</v>
      </c>
      <c r="K395" s="51">
        <f t="shared" si="3"/>
        <v>-0.2337746206</v>
      </c>
      <c r="L395" s="20" t="str">
        <f>VLOOKUP(B395,'товар'!$A$1:$C$433,3,FALSE)</f>
        <v>Домик в деревне</v>
      </c>
      <c r="M395" s="52">
        <f t="shared" si="4"/>
        <v>274.7777778</v>
      </c>
      <c r="N395" s="53">
        <f>VLOOKUP(H395,'клиенты'!$A$1:$F$435,5,FALSE)</f>
        <v>44913</v>
      </c>
      <c r="O395" s="20">
        <f t="shared" si="5"/>
        <v>351</v>
      </c>
      <c r="P395" s="20" t="str">
        <f>VLOOKUP(H395,'клиенты'!$A$2:$J$435,10,FALSE)</f>
        <v>Узбекистан</v>
      </c>
      <c r="Q395" s="54">
        <f t="shared" si="6"/>
        <v>46078.45901</v>
      </c>
      <c r="R395" s="55">
        <f t="shared" si="7"/>
        <v>38.84863372</v>
      </c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41">
        <v>395.0</v>
      </c>
      <c r="B396" s="41">
        <v>18.0</v>
      </c>
      <c r="C396" s="41">
        <v>459.0</v>
      </c>
      <c r="D396" s="41">
        <v>3.0</v>
      </c>
      <c r="E396" s="41">
        <f t="shared" si="1"/>
        <v>1377</v>
      </c>
      <c r="F396" s="42">
        <v>45342.0</v>
      </c>
      <c r="G396" s="41" t="s">
        <v>51</v>
      </c>
      <c r="H396" s="41">
        <v>152.0</v>
      </c>
      <c r="I396" s="41" t="str">
        <f>VLOOKUP(B396,'товар'!$A$1:$C$433,2,FALSE)</f>
        <v>Рыба</v>
      </c>
      <c r="J396" s="43">
        <f t="shared" si="2"/>
        <v>258.5128205</v>
      </c>
      <c r="K396" s="44">
        <f t="shared" si="3"/>
        <v>0.7755405673</v>
      </c>
      <c r="L396" s="41" t="str">
        <f>VLOOKUP(B396,'товар'!$A$1:$C$433,3,FALSE)</f>
        <v>Меридиан</v>
      </c>
      <c r="M396" s="45">
        <f t="shared" si="4"/>
        <v>260.6470588</v>
      </c>
      <c r="N396" s="46">
        <f>VLOOKUP(H396,'клиенты'!$A$1:$F$435,5,FALSE)</f>
        <v>44791</v>
      </c>
      <c r="O396" s="41">
        <f t="shared" si="5"/>
        <v>551</v>
      </c>
      <c r="P396" s="41" t="str">
        <f>VLOOKUP(H396,'клиенты'!$A$2:$J$435,10,FALSE)</f>
        <v>Беларусь</v>
      </c>
      <c r="Q396" s="47">
        <f t="shared" si="6"/>
        <v>46078.45901</v>
      </c>
      <c r="R396" s="48">
        <f t="shared" si="7"/>
        <v>42.91530039</v>
      </c>
      <c r="S396" s="41"/>
      <c r="T396" s="41"/>
      <c r="U396" s="41"/>
      <c r="V396" s="41"/>
      <c r="W396" s="41"/>
      <c r="X396" s="41"/>
      <c r="Y396" s="41"/>
      <c r="Z396" s="41"/>
    </row>
    <row r="397" ht="14.25" customHeight="1">
      <c r="A397" s="20">
        <v>396.0</v>
      </c>
      <c r="B397" s="20">
        <v>145.0</v>
      </c>
      <c r="C397" s="20">
        <v>455.0</v>
      </c>
      <c r="D397" s="20">
        <v>3.0</v>
      </c>
      <c r="E397" s="20">
        <f t="shared" si="1"/>
        <v>1365</v>
      </c>
      <c r="F397" s="49">
        <v>45373.0</v>
      </c>
      <c r="G397" s="20" t="s">
        <v>50</v>
      </c>
      <c r="H397" s="20">
        <v>323.0</v>
      </c>
      <c r="I397" s="20" t="str">
        <f>VLOOKUP(B397,'товар'!$A$1:$C$433,2,FALSE)</f>
        <v>Овощи</v>
      </c>
      <c r="J397" s="50">
        <f t="shared" si="2"/>
        <v>250.4878049</v>
      </c>
      <c r="K397" s="51">
        <f t="shared" si="3"/>
        <v>0.8164556962</v>
      </c>
      <c r="L397" s="20" t="str">
        <f>VLOOKUP(B397,'товар'!$A$1:$C$433,3,FALSE)</f>
        <v>Семко</v>
      </c>
      <c r="M397" s="52">
        <f t="shared" si="4"/>
        <v>208</v>
      </c>
      <c r="N397" s="53">
        <f>VLOOKUP(H397,'клиенты'!$A$1:$F$435,5,FALSE)</f>
        <v>44821</v>
      </c>
      <c r="O397" s="20">
        <f t="shared" si="5"/>
        <v>552</v>
      </c>
      <c r="P397" s="20" t="str">
        <f>VLOOKUP(H397,'клиенты'!$A$2:$J$435,10,FALSE)</f>
        <v>Таджикистан</v>
      </c>
      <c r="Q397" s="54">
        <f t="shared" si="6"/>
        <v>46078.45901</v>
      </c>
      <c r="R397" s="55">
        <f t="shared" si="7"/>
        <v>41.91530039</v>
      </c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41">
        <v>397.0</v>
      </c>
      <c r="B398" s="41">
        <v>491.0</v>
      </c>
      <c r="C398" s="41">
        <v>193.0</v>
      </c>
      <c r="D398" s="41">
        <v>1.0</v>
      </c>
      <c r="E398" s="41">
        <f t="shared" si="1"/>
        <v>193</v>
      </c>
      <c r="F398" s="42">
        <v>45332.0</v>
      </c>
      <c r="G398" s="41" t="s">
        <v>42</v>
      </c>
      <c r="H398" s="41">
        <v>185.0</v>
      </c>
      <c r="I398" s="41" t="str">
        <f>VLOOKUP(B398,'товар'!$A$1:$C$433,2,FALSE)</f>
        <v>Овощи</v>
      </c>
      <c r="J398" s="43">
        <f t="shared" si="2"/>
        <v>250.4878049</v>
      </c>
      <c r="K398" s="44">
        <f t="shared" si="3"/>
        <v>-0.229503408</v>
      </c>
      <c r="L398" s="41" t="str">
        <f>VLOOKUP(B398,'товар'!$A$1:$C$433,3,FALSE)</f>
        <v>Зеленая грядка</v>
      </c>
      <c r="M398" s="45">
        <f t="shared" si="4"/>
        <v>159.2</v>
      </c>
      <c r="N398" s="46">
        <f>VLOOKUP(H398,'клиенты'!$A$1:$F$435,5,FALSE)</f>
        <v>44683</v>
      </c>
      <c r="O398" s="41">
        <f t="shared" si="5"/>
        <v>649</v>
      </c>
      <c r="P398" s="41" t="str">
        <f>VLOOKUP(H398,'клиенты'!$A$2:$J$435,10,FALSE)</f>
        <v>Узбекистан</v>
      </c>
      <c r="Q398" s="47">
        <f t="shared" si="6"/>
        <v>46078.45901</v>
      </c>
      <c r="R398" s="48">
        <f t="shared" si="7"/>
        <v>46.51530039</v>
      </c>
      <c r="S398" s="41"/>
      <c r="T398" s="41"/>
      <c r="U398" s="41"/>
      <c r="V398" s="41"/>
      <c r="W398" s="41"/>
      <c r="X398" s="41"/>
      <c r="Y398" s="41"/>
      <c r="Z398" s="41"/>
    </row>
    <row r="399" ht="14.25" customHeight="1">
      <c r="A399" s="20">
        <v>398.0</v>
      </c>
      <c r="B399" s="20">
        <v>258.0</v>
      </c>
      <c r="C399" s="20">
        <v>113.0</v>
      </c>
      <c r="D399" s="20">
        <v>1.0</v>
      </c>
      <c r="E399" s="20">
        <f t="shared" si="1"/>
        <v>113</v>
      </c>
      <c r="F399" s="49">
        <v>45289.0</v>
      </c>
      <c r="G399" s="20" t="s">
        <v>49</v>
      </c>
      <c r="H399" s="20">
        <v>314.0</v>
      </c>
      <c r="I399" s="20" t="str">
        <f>VLOOKUP(B399,'товар'!$A$1:$C$433,2,FALSE)</f>
        <v>Рыба</v>
      </c>
      <c r="J399" s="50">
        <f t="shared" si="2"/>
        <v>258.5128205</v>
      </c>
      <c r="K399" s="51">
        <f t="shared" si="3"/>
        <v>-0.5628843483</v>
      </c>
      <c r="L399" s="20" t="str">
        <f>VLOOKUP(B399,'товар'!$A$1:$C$433,3,FALSE)</f>
        <v>Санта Бремор</v>
      </c>
      <c r="M399" s="52">
        <f t="shared" si="4"/>
        <v>216.4</v>
      </c>
      <c r="N399" s="53">
        <f>VLOOKUP(H399,'клиенты'!$A$1:$F$435,5,FALSE)</f>
        <v>44899</v>
      </c>
      <c r="O399" s="20">
        <f t="shared" si="5"/>
        <v>390</v>
      </c>
      <c r="P399" s="20" t="str">
        <f>VLOOKUP(H399,'клиенты'!$A$2:$J$435,10,FALSE)</f>
        <v>Россия</v>
      </c>
      <c r="Q399" s="54">
        <f t="shared" si="6"/>
        <v>46078.45901</v>
      </c>
      <c r="R399" s="55">
        <f t="shared" si="7"/>
        <v>39.31530039</v>
      </c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41">
        <v>399.0</v>
      </c>
      <c r="B400" s="41">
        <v>29.0</v>
      </c>
      <c r="C400" s="41">
        <v>91.0</v>
      </c>
      <c r="D400" s="41">
        <v>5.0</v>
      </c>
      <c r="E400" s="41">
        <f t="shared" si="1"/>
        <v>455</v>
      </c>
      <c r="F400" s="42">
        <v>45375.0</v>
      </c>
      <c r="G400" s="41" t="s">
        <v>45</v>
      </c>
      <c r="H400" s="41">
        <v>476.0</v>
      </c>
      <c r="I400" s="41" t="str">
        <f>VLOOKUP(B400,'товар'!$A$1:$C$433,2,FALSE)</f>
        <v>Соль</v>
      </c>
      <c r="J400" s="43">
        <f t="shared" si="2"/>
        <v>264.8679245</v>
      </c>
      <c r="K400" s="44">
        <f t="shared" si="3"/>
        <v>-0.6564325402</v>
      </c>
      <c r="L400" s="41" t="str">
        <f>VLOOKUP(B400,'товар'!$A$1:$C$433,3,FALSE)</f>
        <v>Илецкая</v>
      </c>
      <c r="M400" s="45">
        <f t="shared" si="4"/>
        <v>238.1666667</v>
      </c>
      <c r="N400" s="46">
        <f>VLOOKUP(H400,'клиенты'!$A$1:$F$435,5,FALSE)</f>
        <v>44703</v>
      </c>
      <c r="O400" s="41">
        <f t="shared" si="5"/>
        <v>672</v>
      </c>
      <c r="P400" s="41" t="str">
        <f>VLOOKUP(H400,'клиенты'!$A$2:$J$435,10,FALSE)</f>
        <v>Украина</v>
      </c>
      <c r="Q400" s="47">
        <f t="shared" si="6"/>
        <v>46078.45901</v>
      </c>
      <c r="R400" s="48">
        <f t="shared" si="7"/>
        <v>45.84863372</v>
      </c>
      <c r="S400" s="41"/>
      <c r="T400" s="41"/>
      <c r="U400" s="41"/>
      <c r="V400" s="41"/>
      <c r="W400" s="41"/>
      <c r="X400" s="41"/>
      <c r="Y400" s="41"/>
      <c r="Z400" s="41"/>
    </row>
    <row r="401" ht="14.25" customHeight="1">
      <c r="A401" s="20">
        <v>400.0</v>
      </c>
      <c r="B401" s="20">
        <v>321.0</v>
      </c>
      <c r="C401" s="20">
        <v>61.0</v>
      </c>
      <c r="D401" s="20">
        <v>5.0</v>
      </c>
      <c r="E401" s="20">
        <f t="shared" si="1"/>
        <v>305</v>
      </c>
      <c r="F401" s="49">
        <v>45104.0</v>
      </c>
      <c r="G401" s="20" t="s">
        <v>38</v>
      </c>
      <c r="H401" s="20">
        <v>375.0</v>
      </c>
      <c r="I401" s="20" t="str">
        <f>VLOOKUP(B401,'товар'!$A$1:$C$433,2,FALSE)</f>
        <v>Мясо</v>
      </c>
      <c r="J401" s="50">
        <f t="shared" si="2"/>
        <v>271.7454545</v>
      </c>
      <c r="K401" s="51">
        <f t="shared" si="3"/>
        <v>-0.7755252241</v>
      </c>
      <c r="L401" s="20" t="str">
        <f>VLOOKUP(B401,'товар'!$A$1:$C$433,3,FALSE)</f>
        <v>Сава</v>
      </c>
      <c r="M401" s="52">
        <f t="shared" si="4"/>
        <v>212.8125</v>
      </c>
      <c r="N401" s="53">
        <f>VLOOKUP(H401,'клиенты'!$A$1:$F$435,5,FALSE)</f>
        <v>44674</v>
      </c>
      <c r="O401" s="20">
        <f t="shared" si="5"/>
        <v>430</v>
      </c>
      <c r="P401" s="20" t="str">
        <f>VLOOKUP(H401,'клиенты'!$A$2:$J$435,10,FALSE)</f>
        <v>Россия</v>
      </c>
      <c r="Q401" s="54">
        <f t="shared" si="6"/>
        <v>46078.45901</v>
      </c>
      <c r="R401" s="55">
        <f t="shared" si="7"/>
        <v>46.81530039</v>
      </c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41">
        <v>401.0</v>
      </c>
      <c r="B402" s="41">
        <v>50.0</v>
      </c>
      <c r="C402" s="41">
        <v>95.0</v>
      </c>
      <c r="D402" s="41">
        <v>4.0</v>
      </c>
      <c r="E402" s="41">
        <f t="shared" si="1"/>
        <v>380</v>
      </c>
      <c r="F402" s="42">
        <v>45069.0</v>
      </c>
      <c r="G402" s="41" t="s">
        <v>38</v>
      </c>
      <c r="H402" s="41">
        <v>376.0</v>
      </c>
      <c r="I402" s="41" t="str">
        <f>VLOOKUP(B402,'товар'!$A$1:$C$433,2,FALSE)</f>
        <v>Сок</v>
      </c>
      <c r="J402" s="43">
        <f t="shared" si="2"/>
        <v>268.6034483</v>
      </c>
      <c r="K402" s="44">
        <f t="shared" si="3"/>
        <v>-0.6463187624</v>
      </c>
      <c r="L402" s="41" t="str">
        <f>VLOOKUP(B402,'товар'!$A$1:$C$433,3,FALSE)</f>
        <v>Добрый</v>
      </c>
      <c r="M402" s="45">
        <f t="shared" si="4"/>
        <v>242.8181818</v>
      </c>
      <c r="N402" s="46">
        <f>VLOOKUP(H402,'клиенты'!$A$1:$F$435,5,FALSE)</f>
        <v>44730</v>
      </c>
      <c r="O402" s="41">
        <f t="shared" si="5"/>
        <v>339</v>
      </c>
      <c r="P402" s="41" t="str">
        <f>VLOOKUP(H402,'клиенты'!$A$2:$J$435,10,FALSE)</f>
        <v>Беларусь</v>
      </c>
      <c r="Q402" s="47">
        <f t="shared" si="6"/>
        <v>46078.45901</v>
      </c>
      <c r="R402" s="48">
        <f t="shared" si="7"/>
        <v>44.94863373</v>
      </c>
      <c r="S402" s="41"/>
      <c r="T402" s="41"/>
      <c r="U402" s="41"/>
      <c r="V402" s="41"/>
      <c r="W402" s="41"/>
      <c r="X402" s="41"/>
      <c r="Y402" s="41"/>
      <c r="Z402" s="41"/>
    </row>
    <row r="403" ht="14.25" customHeight="1">
      <c r="A403" s="20">
        <v>402.0</v>
      </c>
      <c r="B403" s="20">
        <v>495.0</v>
      </c>
      <c r="C403" s="20">
        <v>469.0</v>
      </c>
      <c r="D403" s="20">
        <v>2.0</v>
      </c>
      <c r="E403" s="20">
        <f t="shared" si="1"/>
        <v>938</v>
      </c>
      <c r="F403" s="49">
        <v>45368.0</v>
      </c>
      <c r="G403" s="20" t="s">
        <v>49</v>
      </c>
      <c r="H403" s="20">
        <v>233.0</v>
      </c>
      <c r="I403" s="20" t="str">
        <f>VLOOKUP(B403,'товар'!$A$1:$C$433,2,FALSE)</f>
        <v>Чай</v>
      </c>
      <c r="J403" s="50">
        <f t="shared" si="2"/>
        <v>271.1818182</v>
      </c>
      <c r="K403" s="51">
        <f t="shared" si="3"/>
        <v>0.7294669796</v>
      </c>
      <c r="L403" s="20" t="str">
        <f>VLOOKUP(B403,'товар'!$A$1:$C$433,3,FALSE)</f>
        <v>Greenfield</v>
      </c>
      <c r="M403" s="52">
        <f t="shared" si="4"/>
        <v>291.4545455</v>
      </c>
      <c r="N403" s="53">
        <f>VLOOKUP(H403,'клиенты'!$A$1:$F$435,5,FALSE)</f>
        <v>44616</v>
      </c>
      <c r="O403" s="20">
        <f t="shared" si="5"/>
        <v>752</v>
      </c>
      <c r="P403" s="20" t="str">
        <f>VLOOKUP(H403,'клиенты'!$A$2:$J$435,10,FALSE)</f>
        <v>Таджикистан</v>
      </c>
      <c r="Q403" s="54">
        <f t="shared" si="6"/>
        <v>46078.45901</v>
      </c>
      <c r="R403" s="55">
        <f t="shared" si="7"/>
        <v>48.74863373</v>
      </c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41">
        <v>403.0</v>
      </c>
      <c r="B404" s="41">
        <v>207.0</v>
      </c>
      <c r="C404" s="41">
        <v>237.0</v>
      </c>
      <c r="D404" s="41">
        <v>2.0</v>
      </c>
      <c r="E404" s="41">
        <f t="shared" si="1"/>
        <v>474</v>
      </c>
      <c r="F404" s="42">
        <v>45081.0</v>
      </c>
      <c r="G404" s="41" t="s">
        <v>52</v>
      </c>
      <c r="H404" s="41">
        <v>69.0</v>
      </c>
      <c r="I404" s="41" t="str">
        <f>VLOOKUP(B404,'товар'!$A$1:$C$433,2,FALSE)</f>
        <v>Сахар</v>
      </c>
      <c r="J404" s="43">
        <f t="shared" si="2"/>
        <v>252.7627119</v>
      </c>
      <c r="K404" s="44">
        <f t="shared" si="3"/>
        <v>-0.06236169785</v>
      </c>
      <c r="L404" s="41" t="str">
        <f>VLOOKUP(B404,'товар'!$A$1:$C$433,3,FALSE)</f>
        <v>Агросахар</v>
      </c>
      <c r="M404" s="45">
        <f t="shared" si="4"/>
        <v>215.8571429</v>
      </c>
      <c r="N404" s="46">
        <f>VLOOKUP(H404,'клиенты'!$A$1:$F$435,5,FALSE)</f>
        <v>44587</v>
      </c>
      <c r="O404" s="41">
        <f t="shared" si="5"/>
        <v>494</v>
      </c>
      <c r="P404" s="41" t="str">
        <f>VLOOKUP(H404,'клиенты'!$A$2:$J$435,10,FALSE)</f>
        <v>Таджикистан</v>
      </c>
      <c r="Q404" s="47">
        <f t="shared" si="6"/>
        <v>46078.45901</v>
      </c>
      <c r="R404" s="48">
        <f t="shared" si="7"/>
        <v>49.71530039</v>
      </c>
      <c r="S404" s="41"/>
      <c r="T404" s="41"/>
      <c r="U404" s="41"/>
      <c r="V404" s="41"/>
      <c r="W404" s="41"/>
      <c r="X404" s="41"/>
      <c r="Y404" s="41"/>
      <c r="Z404" s="41"/>
    </row>
    <row r="405" ht="14.25" customHeight="1">
      <c r="A405" s="20">
        <v>404.0</v>
      </c>
      <c r="B405" s="20">
        <v>145.0</v>
      </c>
      <c r="C405" s="20">
        <v>356.0</v>
      </c>
      <c r="D405" s="20">
        <v>3.0</v>
      </c>
      <c r="E405" s="20">
        <f t="shared" si="1"/>
        <v>1068</v>
      </c>
      <c r="F405" s="49">
        <v>44928.0</v>
      </c>
      <c r="G405" s="20" t="s">
        <v>45</v>
      </c>
      <c r="H405" s="20">
        <v>254.0</v>
      </c>
      <c r="I405" s="20" t="str">
        <f>VLOOKUP(B405,'товар'!$A$1:$C$433,2,FALSE)</f>
        <v>Овощи</v>
      </c>
      <c r="J405" s="50">
        <f t="shared" si="2"/>
        <v>250.4878049</v>
      </c>
      <c r="K405" s="51">
        <f t="shared" si="3"/>
        <v>0.4212268744</v>
      </c>
      <c r="L405" s="20" t="str">
        <f>VLOOKUP(B405,'товар'!$A$1:$C$433,3,FALSE)</f>
        <v>Семко</v>
      </c>
      <c r="M405" s="52">
        <f t="shared" si="4"/>
        <v>208</v>
      </c>
      <c r="N405" s="53">
        <f>VLOOKUP(H405,'клиенты'!$A$1:$F$435,5,FALSE)</f>
        <v>44862</v>
      </c>
      <c r="O405" s="20">
        <f t="shared" si="5"/>
        <v>66</v>
      </c>
      <c r="P405" s="20" t="str">
        <f>VLOOKUP(H405,'клиенты'!$A$2:$J$435,10,FALSE)</f>
        <v>Беларусь</v>
      </c>
      <c r="Q405" s="54">
        <f t="shared" si="6"/>
        <v>46078.45901</v>
      </c>
      <c r="R405" s="55">
        <f t="shared" si="7"/>
        <v>40.54863373</v>
      </c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41">
        <v>405.0</v>
      </c>
      <c r="B406" s="41">
        <v>249.0</v>
      </c>
      <c r="C406" s="41">
        <v>275.0</v>
      </c>
      <c r="D406" s="41">
        <v>3.0</v>
      </c>
      <c r="E406" s="41">
        <f t="shared" si="1"/>
        <v>825</v>
      </c>
      <c r="F406" s="42">
        <v>45039.0</v>
      </c>
      <c r="G406" s="41" t="s">
        <v>44</v>
      </c>
      <c r="H406" s="41">
        <v>219.0</v>
      </c>
      <c r="I406" s="41" t="str">
        <f>VLOOKUP(B406,'товар'!$A$1:$C$433,2,FALSE)</f>
        <v>Чай</v>
      </c>
      <c r="J406" s="43">
        <f t="shared" si="2"/>
        <v>271.1818182</v>
      </c>
      <c r="K406" s="44">
        <f t="shared" si="3"/>
        <v>0.01407978545</v>
      </c>
      <c r="L406" s="41" t="str">
        <f>VLOOKUP(B406,'товар'!$A$1:$C$433,3,FALSE)</f>
        <v>Lipton</v>
      </c>
      <c r="M406" s="45">
        <f t="shared" si="4"/>
        <v>260.1578947</v>
      </c>
      <c r="N406" s="46">
        <f>VLOOKUP(H406,'клиенты'!$A$1:$F$435,5,FALSE)</f>
        <v>44585</v>
      </c>
      <c r="O406" s="41">
        <f t="shared" si="5"/>
        <v>454</v>
      </c>
      <c r="P406" s="41" t="str">
        <f>VLOOKUP(H406,'клиенты'!$A$2:$J$435,10,FALSE)</f>
        <v>Таджикистан</v>
      </c>
      <c r="Q406" s="47">
        <f t="shared" si="6"/>
        <v>46078.45901</v>
      </c>
      <c r="R406" s="48">
        <f t="shared" si="7"/>
        <v>49.78196706</v>
      </c>
      <c r="S406" s="41"/>
      <c r="T406" s="41"/>
      <c r="U406" s="41"/>
      <c r="V406" s="41"/>
      <c r="W406" s="41"/>
      <c r="X406" s="41"/>
      <c r="Y406" s="41"/>
      <c r="Z406" s="41"/>
    </row>
    <row r="407" ht="14.25" customHeight="1">
      <c r="A407" s="20">
        <v>406.0</v>
      </c>
      <c r="B407" s="20">
        <v>377.0</v>
      </c>
      <c r="C407" s="20">
        <v>129.0</v>
      </c>
      <c r="D407" s="20">
        <v>1.0</v>
      </c>
      <c r="E407" s="20">
        <f t="shared" si="1"/>
        <v>129</v>
      </c>
      <c r="F407" s="49">
        <v>45231.0</v>
      </c>
      <c r="G407" s="20" t="s">
        <v>53</v>
      </c>
      <c r="H407" s="20">
        <v>456.0</v>
      </c>
      <c r="I407" s="20" t="str">
        <f>VLOOKUP(B407,'товар'!$A$1:$C$433,2,FALSE)</f>
        <v>Колбаса</v>
      </c>
      <c r="J407" s="50">
        <f t="shared" si="2"/>
        <v>286.9230769</v>
      </c>
      <c r="K407" s="51">
        <f t="shared" si="3"/>
        <v>-0.5504021448</v>
      </c>
      <c r="L407" s="20" t="str">
        <f>VLOOKUP(B407,'товар'!$A$1:$C$433,3,FALSE)</f>
        <v>Окраина</v>
      </c>
      <c r="M407" s="52">
        <f t="shared" si="4"/>
        <v>273.5833333</v>
      </c>
      <c r="N407" s="53">
        <f>VLOOKUP(H407,'клиенты'!$A$1:$F$435,5,FALSE)</f>
        <v>44618</v>
      </c>
      <c r="O407" s="20">
        <f t="shared" si="5"/>
        <v>613</v>
      </c>
      <c r="P407" s="20" t="str">
        <f>VLOOKUP(H407,'клиенты'!$A$2:$J$435,10,FALSE)</f>
        <v>Россия</v>
      </c>
      <c r="Q407" s="54">
        <f t="shared" si="6"/>
        <v>46078.45901</v>
      </c>
      <c r="R407" s="55">
        <f t="shared" si="7"/>
        <v>48.68196706</v>
      </c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41">
        <v>407.0</v>
      </c>
      <c r="B408" s="41">
        <v>427.0</v>
      </c>
      <c r="C408" s="41">
        <v>499.0</v>
      </c>
      <c r="D408" s="41">
        <v>4.0</v>
      </c>
      <c r="E408" s="41">
        <f t="shared" si="1"/>
        <v>1996</v>
      </c>
      <c r="F408" s="42">
        <v>45368.0</v>
      </c>
      <c r="G408" s="41" t="s">
        <v>44</v>
      </c>
      <c r="H408" s="41">
        <v>283.0</v>
      </c>
      <c r="I408" s="41" t="str">
        <f>VLOOKUP(B408,'товар'!$A$1:$C$433,2,FALSE)</f>
        <v>Хлеб</v>
      </c>
      <c r="J408" s="43">
        <f t="shared" si="2"/>
        <v>300.3181818</v>
      </c>
      <c r="K408" s="44">
        <f t="shared" si="3"/>
        <v>0.661571061</v>
      </c>
      <c r="L408" s="41" t="str">
        <f>VLOOKUP(B408,'товар'!$A$1:$C$433,3,FALSE)</f>
        <v>Русский Хлеб</v>
      </c>
      <c r="M408" s="45">
        <f t="shared" si="4"/>
        <v>316.6</v>
      </c>
      <c r="N408" s="46">
        <f>VLOOKUP(H408,'клиенты'!$A$1:$F$435,5,FALSE)</f>
        <v>44889</v>
      </c>
      <c r="O408" s="41">
        <f t="shared" si="5"/>
        <v>479</v>
      </c>
      <c r="P408" s="41" t="str">
        <f>VLOOKUP(H408,'клиенты'!$A$2:$J$435,10,FALSE)</f>
        <v>Таджикистан</v>
      </c>
      <c r="Q408" s="47">
        <f t="shared" si="6"/>
        <v>46078.45901</v>
      </c>
      <c r="R408" s="48">
        <f t="shared" si="7"/>
        <v>39.64863373</v>
      </c>
      <c r="S408" s="41"/>
      <c r="T408" s="41"/>
      <c r="U408" s="41"/>
      <c r="V408" s="41"/>
      <c r="W408" s="41"/>
      <c r="X408" s="41"/>
      <c r="Y408" s="41"/>
      <c r="Z408" s="41"/>
    </row>
    <row r="409" ht="14.25" customHeight="1">
      <c r="A409" s="20">
        <v>408.0</v>
      </c>
      <c r="B409" s="20">
        <v>445.0</v>
      </c>
      <c r="C409" s="20">
        <v>164.0</v>
      </c>
      <c r="D409" s="20">
        <v>2.0</v>
      </c>
      <c r="E409" s="20">
        <f t="shared" si="1"/>
        <v>328</v>
      </c>
      <c r="F409" s="49">
        <v>45258.0</v>
      </c>
      <c r="G409" s="20" t="s">
        <v>41</v>
      </c>
      <c r="H409" s="20">
        <v>232.0</v>
      </c>
      <c r="I409" s="20" t="str">
        <f>VLOOKUP(B409,'товар'!$A$1:$C$433,2,FALSE)</f>
        <v>Сахар</v>
      </c>
      <c r="J409" s="50">
        <f t="shared" si="2"/>
        <v>252.7627119</v>
      </c>
      <c r="K409" s="51">
        <f t="shared" si="3"/>
        <v>-0.35117012</v>
      </c>
      <c r="L409" s="20" t="str">
        <f>VLOOKUP(B409,'товар'!$A$1:$C$433,3,FALSE)</f>
        <v>Сладов</v>
      </c>
      <c r="M409" s="52">
        <f t="shared" si="4"/>
        <v>240.2666667</v>
      </c>
      <c r="N409" s="53">
        <f>VLOOKUP(H409,'клиенты'!$A$1:$F$435,5,FALSE)</f>
        <v>44923</v>
      </c>
      <c r="O409" s="20">
        <f t="shared" si="5"/>
        <v>335</v>
      </c>
      <c r="P409" s="20" t="str">
        <f>VLOOKUP(H409,'клиенты'!$A$2:$J$435,10,FALSE)</f>
        <v>Таджикистан</v>
      </c>
      <c r="Q409" s="54">
        <f t="shared" si="6"/>
        <v>46078.45901</v>
      </c>
      <c r="R409" s="55">
        <f t="shared" si="7"/>
        <v>38.51530039</v>
      </c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41">
        <v>409.0</v>
      </c>
      <c r="B410" s="41">
        <v>336.0</v>
      </c>
      <c r="C410" s="41">
        <v>265.0</v>
      </c>
      <c r="D410" s="41">
        <v>3.0</v>
      </c>
      <c r="E410" s="41">
        <f t="shared" si="1"/>
        <v>795</v>
      </c>
      <c r="F410" s="42">
        <v>45124.0</v>
      </c>
      <c r="G410" s="41" t="s">
        <v>46</v>
      </c>
      <c r="H410" s="41">
        <v>434.0</v>
      </c>
      <c r="I410" s="41" t="str">
        <f>VLOOKUP(B410,'товар'!$A$1:$C$433,2,FALSE)</f>
        <v>Чипсы</v>
      </c>
      <c r="J410" s="43">
        <f t="shared" si="2"/>
        <v>273.7254902</v>
      </c>
      <c r="K410" s="44">
        <f t="shared" si="3"/>
        <v>-0.03187679083</v>
      </c>
      <c r="L410" s="41" t="str">
        <f>VLOOKUP(B410,'товар'!$A$1:$C$433,3,FALSE)</f>
        <v>Estrella</v>
      </c>
      <c r="M410" s="45">
        <f t="shared" si="4"/>
        <v>266.2727273</v>
      </c>
      <c r="N410" s="46">
        <f>VLOOKUP(H410,'клиенты'!$A$1:$F$435,5,FALSE)</f>
        <v>44730</v>
      </c>
      <c r="O410" s="41">
        <f t="shared" si="5"/>
        <v>394</v>
      </c>
      <c r="P410" s="41" t="str">
        <f>VLOOKUP(H410,'клиенты'!$A$2:$J$435,10,FALSE)</f>
        <v>Украина</v>
      </c>
      <c r="Q410" s="47">
        <f t="shared" si="6"/>
        <v>46078.45901</v>
      </c>
      <c r="R410" s="48">
        <f t="shared" si="7"/>
        <v>44.94863373</v>
      </c>
      <c r="S410" s="41"/>
      <c r="T410" s="41"/>
      <c r="U410" s="41"/>
      <c r="V410" s="41"/>
      <c r="W410" s="41"/>
      <c r="X410" s="41"/>
      <c r="Y410" s="41"/>
      <c r="Z410" s="41"/>
    </row>
    <row r="411" ht="14.25" customHeight="1">
      <c r="A411" s="20">
        <v>410.0</v>
      </c>
      <c r="B411" s="20">
        <v>96.0</v>
      </c>
      <c r="C411" s="20">
        <v>386.0</v>
      </c>
      <c r="D411" s="20">
        <v>4.0</v>
      </c>
      <c r="E411" s="20">
        <f t="shared" si="1"/>
        <v>1544</v>
      </c>
      <c r="F411" s="49">
        <v>45145.0</v>
      </c>
      <c r="G411" s="20" t="s">
        <v>48</v>
      </c>
      <c r="H411" s="20">
        <v>252.0</v>
      </c>
      <c r="I411" s="20" t="str">
        <f>VLOOKUP(B411,'товар'!$A$1:$C$433,2,FALSE)</f>
        <v>Соль</v>
      </c>
      <c r="J411" s="50">
        <f t="shared" si="2"/>
        <v>264.8679245</v>
      </c>
      <c r="K411" s="51">
        <f t="shared" si="3"/>
        <v>0.457330104</v>
      </c>
      <c r="L411" s="20" t="str">
        <f>VLOOKUP(B411,'товар'!$A$1:$C$433,3,FALSE)</f>
        <v>Салта</v>
      </c>
      <c r="M411" s="52">
        <f t="shared" si="4"/>
        <v>273.7</v>
      </c>
      <c r="N411" s="53">
        <f>VLOOKUP(H411,'клиенты'!$A$1:$F$435,5,FALSE)</f>
        <v>44643</v>
      </c>
      <c r="O411" s="20">
        <f t="shared" si="5"/>
        <v>502</v>
      </c>
      <c r="P411" s="20" t="str">
        <f>VLOOKUP(H411,'клиенты'!$A$2:$J$435,10,FALSE)</f>
        <v>Россия</v>
      </c>
      <c r="Q411" s="54">
        <f t="shared" si="6"/>
        <v>46078.45901</v>
      </c>
      <c r="R411" s="55">
        <f t="shared" si="7"/>
        <v>47.84863373</v>
      </c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41">
        <v>411.0</v>
      </c>
      <c r="B412" s="41">
        <v>117.0</v>
      </c>
      <c r="C412" s="41">
        <v>288.0</v>
      </c>
      <c r="D412" s="41">
        <v>5.0</v>
      </c>
      <c r="E412" s="41">
        <f t="shared" si="1"/>
        <v>1440</v>
      </c>
      <c r="F412" s="42">
        <v>45348.0</v>
      </c>
      <c r="G412" s="41" t="s">
        <v>39</v>
      </c>
      <c r="H412" s="41">
        <v>372.0</v>
      </c>
      <c r="I412" s="41" t="str">
        <f>VLOOKUP(B412,'товар'!$A$1:$C$433,2,FALSE)</f>
        <v>Макароны</v>
      </c>
      <c r="J412" s="43">
        <f t="shared" si="2"/>
        <v>265.4767442</v>
      </c>
      <c r="K412" s="44">
        <f t="shared" si="3"/>
        <v>0.08484078665</v>
      </c>
      <c r="L412" s="41" t="str">
        <f>VLOOKUP(B412,'товар'!$A$1:$C$433,3,FALSE)</f>
        <v>Роллтон</v>
      </c>
      <c r="M412" s="45">
        <f t="shared" si="4"/>
        <v>235.5555556</v>
      </c>
      <c r="N412" s="46">
        <f>VLOOKUP(H412,'клиенты'!$A$1:$F$435,5,FALSE)</f>
        <v>44772</v>
      </c>
      <c r="O412" s="41">
        <f t="shared" si="5"/>
        <v>576</v>
      </c>
      <c r="P412" s="41" t="str">
        <f>VLOOKUP(H412,'клиенты'!$A$2:$J$435,10,FALSE)</f>
        <v>Таджикистан</v>
      </c>
      <c r="Q412" s="47">
        <f t="shared" si="6"/>
        <v>46078.45901</v>
      </c>
      <c r="R412" s="48">
        <f t="shared" si="7"/>
        <v>43.54863373</v>
      </c>
      <c r="S412" s="41"/>
      <c r="T412" s="41"/>
      <c r="U412" s="41"/>
      <c r="V412" s="41"/>
      <c r="W412" s="41"/>
      <c r="X412" s="41"/>
      <c r="Y412" s="41"/>
      <c r="Z412" s="41"/>
    </row>
    <row r="413" ht="14.25" customHeight="1">
      <c r="A413" s="20">
        <v>412.0</v>
      </c>
      <c r="B413" s="20">
        <v>440.0</v>
      </c>
      <c r="C413" s="20">
        <v>201.0</v>
      </c>
      <c r="D413" s="20">
        <v>5.0</v>
      </c>
      <c r="E413" s="20">
        <f t="shared" si="1"/>
        <v>1005</v>
      </c>
      <c r="F413" s="49">
        <v>45233.0</v>
      </c>
      <c r="G413" s="20" t="s">
        <v>50</v>
      </c>
      <c r="H413" s="20">
        <v>432.0</v>
      </c>
      <c r="I413" s="20" t="str">
        <f>VLOOKUP(B413,'товар'!$A$1:$C$433,2,FALSE)</f>
        <v>Фрукты</v>
      </c>
      <c r="J413" s="50">
        <f t="shared" si="2"/>
        <v>274.1627907</v>
      </c>
      <c r="K413" s="51">
        <f t="shared" si="3"/>
        <v>-0.2668589363</v>
      </c>
      <c r="L413" s="20" t="str">
        <f>VLOOKUP(B413,'товар'!$A$1:$C$433,3,FALSE)</f>
        <v>Фруктовый Рай</v>
      </c>
      <c r="M413" s="52">
        <f t="shared" si="4"/>
        <v>258.3076923</v>
      </c>
      <c r="N413" s="53">
        <f>VLOOKUP(H413,'клиенты'!$A$1:$F$435,5,FALSE)</f>
        <v>44718</v>
      </c>
      <c r="O413" s="20">
        <f t="shared" si="5"/>
        <v>515</v>
      </c>
      <c r="P413" s="20" t="str">
        <f>VLOOKUP(H413,'клиенты'!$A$2:$J$435,10,FALSE)</f>
        <v>Таджикистан</v>
      </c>
      <c r="Q413" s="54">
        <f t="shared" si="6"/>
        <v>46078.45901</v>
      </c>
      <c r="R413" s="55">
        <f t="shared" si="7"/>
        <v>45.34863373</v>
      </c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41">
        <v>413.0</v>
      </c>
      <c r="B414" s="41">
        <v>51.0</v>
      </c>
      <c r="C414" s="41">
        <v>271.0</v>
      </c>
      <c r="D414" s="41">
        <v>4.0</v>
      </c>
      <c r="E414" s="41">
        <f t="shared" si="1"/>
        <v>1084</v>
      </c>
      <c r="F414" s="42">
        <v>45205.0</v>
      </c>
      <c r="G414" s="41" t="s">
        <v>41</v>
      </c>
      <c r="H414" s="41">
        <v>221.0</v>
      </c>
      <c r="I414" s="41" t="str">
        <f>VLOOKUP(B414,'товар'!$A$1:$C$433,2,FALSE)</f>
        <v>Колбаса</v>
      </c>
      <c r="J414" s="43">
        <f t="shared" si="2"/>
        <v>286.9230769</v>
      </c>
      <c r="K414" s="44">
        <f t="shared" si="3"/>
        <v>-0.05549597855</v>
      </c>
      <c r="L414" s="41" t="str">
        <f>VLOOKUP(B414,'товар'!$A$1:$C$433,3,FALSE)</f>
        <v>Дымов</v>
      </c>
      <c r="M414" s="45">
        <f t="shared" si="4"/>
        <v>312.6666667</v>
      </c>
      <c r="N414" s="46">
        <f>VLOOKUP(H414,'клиенты'!$A$1:$F$435,5,FALSE)</f>
        <v>44820</v>
      </c>
      <c r="O414" s="41">
        <f t="shared" si="5"/>
        <v>385</v>
      </c>
      <c r="P414" s="41" t="str">
        <f>VLOOKUP(H414,'клиенты'!$A$2:$J$435,10,FALSE)</f>
        <v>Таджикистан</v>
      </c>
      <c r="Q414" s="47">
        <f t="shared" si="6"/>
        <v>46078.45901</v>
      </c>
      <c r="R414" s="48">
        <f t="shared" si="7"/>
        <v>41.94863373</v>
      </c>
      <c r="S414" s="41"/>
      <c r="T414" s="41"/>
      <c r="U414" s="41"/>
      <c r="V414" s="41"/>
      <c r="W414" s="41"/>
      <c r="X414" s="41"/>
      <c r="Y414" s="41"/>
      <c r="Z414" s="41"/>
    </row>
    <row r="415" ht="14.25" customHeight="1">
      <c r="A415" s="20">
        <v>414.0</v>
      </c>
      <c r="B415" s="20">
        <v>398.0</v>
      </c>
      <c r="C415" s="20">
        <v>419.0</v>
      </c>
      <c r="D415" s="20">
        <v>2.0</v>
      </c>
      <c r="E415" s="20">
        <f t="shared" si="1"/>
        <v>838</v>
      </c>
      <c r="F415" s="49">
        <v>45335.0</v>
      </c>
      <c r="G415" s="20" t="s">
        <v>49</v>
      </c>
      <c r="H415" s="20">
        <v>164.0</v>
      </c>
      <c r="I415" s="20" t="str">
        <f>VLOOKUP(B415,'товар'!$A$1:$C$433,2,FALSE)</f>
        <v>Сок</v>
      </c>
      <c r="J415" s="50">
        <f t="shared" si="2"/>
        <v>268.6034483</v>
      </c>
      <c r="K415" s="51">
        <f t="shared" si="3"/>
        <v>0.5599204057</v>
      </c>
      <c r="L415" s="20" t="str">
        <f>VLOOKUP(B415,'товар'!$A$1:$C$433,3,FALSE)</f>
        <v>Фруктовый сад</v>
      </c>
      <c r="M415" s="52">
        <f t="shared" si="4"/>
        <v>281.96875</v>
      </c>
      <c r="N415" s="53">
        <f>VLOOKUP(H415,'клиенты'!$A$1:$F$435,5,FALSE)</f>
        <v>44678</v>
      </c>
      <c r="O415" s="20">
        <f t="shared" si="5"/>
        <v>657</v>
      </c>
      <c r="P415" s="20" t="str">
        <f>VLOOKUP(H415,'клиенты'!$A$2:$J$435,10,FALSE)</f>
        <v>Россия</v>
      </c>
      <c r="Q415" s="54">
        <f t="shared" si="6"/>
        <v>46078.45901</v>
      </c>
      <c r="R415" s="55">
        <f t="shared" si="7"/>
        <v>46.68196706</v>
      </c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41">
        <v>415.0</v>
      </c>
      <c r="B416" s="41">
        <v>443.0</v>
      </c>
      <c r="C416" s="41">
        <v>192.0</v>
      </c>
      <c r="D416" s="41">
        <v>5.0</v>
      </c>
      <c r="E416" s="41">
        <f t="shared" si="1"/>
        <v>960</v>
      </c>
      <c r="F416" s="42">
        <v>45241.0</v>
      </c>
      <c r="G416" s="41" t="s">
        <v>50</v>
      </c>
      <c r="H416" s="41">
        <v>413.0</v>
      </c>
      <c r="I416" s="41" t="str">
        <f>VLOOKUP(B416,'товар'!$A$1:$C$433,2,FALSE)</f>
        <v>Кофе</v>
      </c>
      <c r="J416" s="43">
        <f t="shared" si="2"/>
        <v>249.0238095</v>
      </c>
      <c r="K416" s="44">
        <f t="shared" si="3"/>
        <v>-0.2289893871</v>
      </c>
      <c r="L416" s="41" t="str">
        <f>VLOOKUP(B416,'товар'!$A$1:$C$433,3,FALSE)</f>
        <v>Jacobs</v>
      </c>
      <c r="M416" s="45">
        <f t="shared" si="4"/>
        <v>276.2105263</v>
      </c>
      <c r="N416" s="46">
        <f>VLOOKUP(H416,'клиенты'!$A$1:$F$435,5,FALSE)</f>
        <v>44699</v>
      </c>
      <c r="O416" s="41">
        <f t="shared" si="5"/>
        <v>542</v>
      </c>
      <c r="P416" s="41" t="str">
        <f>VLOOKUP(H416,'клиенты'!$A$2:$J$435,10,FALSE)</f>
        <v>Россия</v>
      </c>
      <c r="Q416" s="47">
        <f t="shared" si="6"/>
        <v>46078.45901</v>
      </c>
      <c r="R416" s="48">
        <f t="shared" si="7"/>
        <v>45.98196706</v>
      </c>
      <c r="S416" s="41"/>
      <c r="T416" s="41"/>
      <c r="U416" s="41"/>
      <c r="V416" s="41"/>
      <c r="W416" s="41"/>
      <c r="X416" s="41"/>
      <c r="Y416" s="41"/>
      <c r="Z416" s="41"/>
    </row>
    <row r="417" ht="14.25" customHeight="1">
      <c r="A417" s="20">
        <v>416.0</v>
      </c>
      <c r="B417" s="20">
        <v>118.0</v>
      </c>
      <c r="C417" s="20">
        <v>193.0</v>
      </c>
      <c r="D417" s="20">
        <v>2.0</v>
      </c>
      <c r="E417" s="20">
        <f t="shared" si="1"/>
        <v>386</v>
      </c>
      <c r="F417" s="49">
        <v>45356.0</v>
      </c>
      <c r="G417" s="20" t="s">
        <v>52</v>
      </c>
      <c r="H417" s="20">
        <v>148.0</v>
      </c>
      <c r="I417" s="20" t="str">
        <f>VLOOKUP(B417,'товар'!$A$1:$C$433,2,FALSE)</f>
        <v>Сахар</v>
      </c>
      <c r="J417" s="50">
        <f t="shared" si="2"/>
        <v>252.7627119</v>
      </c>
      <c r="K417" s="51">
        <f t="shared" si="3"/>
        <v>-0.2364380071</v>
      </c>
      <c r="L417" s="20" t="str">
        <f>VLOOKUP(B417,'товар'!$A$1:$C$433,3,FALSE)</f>
        <v>Продимекс</v>
      </c>
      <c r="M417" s="52">
        <f t="shared" si="4"/>
        <v>240.5</v>
      </c>
      <c r="N417" s="53">
        <f>VLOOKUP(H417,'клиенты'!$A$1:$F$435,5,FALSE)</f>
        <v>44700</v>
      </c>
      <c r="O417" s="20">
        <f t="shared" si="5"/>
        <v>656</v>
      </c>
      <c r="P417" s="20" t="str">
        <f>VLOOKUP(H417,'клиенты'!$A$2:$J$435,10,FALSE)</f>
        <v>Россия</v>
      </c>
      <c r="Q417" s="54">
        <f t="shared" si="6"/>
        <v>46078.45901</v>
      </c>
      <c r="R417" s="55">
        <f t="shared" si="7"/>
        <v>45.94863373</v>
      </c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41">
        <v>417.0</v>
      </c>
      <c r="B418" s="41">
        <v>371.0</v>
      </c>
      <c r="C418" s="41">
        <v>245.0</v>
      </c>
      <c r="D418" s="41">
        <v>1.0</v>
      </c>
      <c r="E418" s="41">
        <f t="shared" si="1"/>
        <v>245</v>
      </c>
      <c r="F418" s="42">
        <v>44985.0</v>
      </c>
      <c r="G418" s="41" t="s">
        <v>40</v>
      </c>
      <c r="H418" s="41">
        <v>209.0</v>
      </c>
      <c r="I418" s="41" t="str">
        <f>VLOOKUP(B418,'товар'!$A$1:$C$433,2,FALSE)</f>
        <v>Сахар</v>
      </c>
      <c r="J418" s="43">
        <f t="shared" si="2"/>
        <v>252.7627119</v>
      </c>
      <c r="K418" s="44">
        <f t="shared" si="3"/>
        <v>-0.0307114598</v>
      </c>
      <c r="L418" s="41" t="str">
        <f>VLOOKUP(B418,'товар'!$A$1:$C$433,3,FALSE)</f>
        <v>Русский сахар</v>
      </c>
      <c r="M418" s="45">
        <f t="shared" si="4"/>
        <v>293.4117647</v>
      </c>
      <c r="N418" s="46">
        <f>VLOOKUP(H418,'клиенты'!$A$1:$F$435,5,FALSE)</f>
        <v>44628</v>
      </c>
      <c r="O418" s="41">
        <f t="shared" si="5"/>
        <v>357</v>
      </c>
      <c r="P418" s="41" t="str">
        <f>VLOOKUP(H418,'клиенты'!$A$2:$J$435,10,FALSE)</f>
        <v>Россия</v>
      </c>
      <c r="Q418" s="47">
        <f t="shared" si="6"/>
        <v>46078.45901</v>
      </c>
      <c r="R418" s="48">
        <f t="shared" si="7"/>
        <v>48.34863373</v>
      </c>
      <c r="S418" s="41"/>
      <c r="T418" s="41"/>
      <c r="U418" s="41"/>
      <c r="V418" s="41"/>
      <c r="W418" s="41"/>
      <c r="X418" s="41"/>
      <c r="Y418" s="41"/>
      <c r="Z418" s="41"/>
    </row>
    <row r="419" ht="14.25" customHeight="1">
      <c r="A419" s="20">
        <v>418.0</v>
      </c>
      <c r="B419" s="20">
        <v>216.0</v>
      </c>
      <c r="C419" s="20">
        <v>209.0</v>
      </c>
      <c r="D419" s="20">
        <v>3.0</v>
      </c>
      <c r="E419" s="20">
        <f t="shared" si="1"/>
        <v>627</v>
      </c>
      <c r="F419" s="49">
        <v>45357.0</v>
      </c>
      <c r="G419" s="20" t="s">
        <v>51</v>
      </c>
      <c r="H419" s="20">
        <v>263.0</v>
      </c>
      <c r="I419" s="20" t="str">
        <f>VLOOKUP(B419,'товар'!$A$1:$C$433,2,FALSE)</f>
        <v>Кофе</v>
      </c>
      <c r="J419" s="50">
        <f t="shared" si="2"/>
        <v>249.0238095</v>
      </c>
      <c r="K419" s="51">
        <f t="shared" si="3"/>
        <v>-0.1607228224</v>
      </c>
      <c r="L419" s="20" t="str">
        <f>VLOOKUP(B419,'товар'!$A$1:$C$433,3,FALSE)</f>
        <v>Черная Карта</v>
      </c>
      <c r="M419" s="52">
        <f t="shared" si="4"/>
        <v>222.2</v>
      </c>
      <c r="N419" s="53">
        <f>VLOOKUP(H419,'клиенты'!$A$1:$F$435,5,FALSE)</f>
        <v>44612</v>
      </c>
      <c r="O419" s="20">
        <f t="shared" si="5"/>
        <v>745</v>
      </c>
      <c r="P419" s="20" t="str">
        <f>VLOOKUP(H419,'клиенты'!$A$2:$J$435,10,FALSE)</f>
        <v>Таджикистан</v>
      </c>
      <c r="Q419" s="54">
        <f t="shared" si="6"/>
        <v>46078.45901</v>
      </c>
      <c r="R419" s="55">
        <f t="shared" si="7"/>
        <v>48.88196706</v>
      </c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41">
        <v>419.0</v>
      </c>
      <c r="B420" s="41">
        <v>390.0</v>
      </c>
      <c r="C420" s="41">
        <v>120.0</v>
      </c>
      <c r="D420" s="41">
        <v>1.0</v>
      </c>
      <c r="E420" s="41">
        <f t="shared" si="1"/>
        <v>120</v>
      </c>
      <c r="F420" s="42">
        <v>45176.0</v>
      </c>
      <c r="G420" s="41" t="s">
        <v>42</v>
      </c>
      <c r="H420" s="41">
        <v>449.0</v>
      </c>
      <c r="I420" s="41" t="str">
        <f>VLOOKUP(B420,'товар'!$A$1:$C$433,2,FALSE)</f>
        <v>Сок</v>
      </c>
      <c r="J420" s="43">
        <f t="shared" si="2"/>
        <v>268.6034483</v>
      </c>
      <c r="K420" s="44">
        <f t="shared" si="3"/>
        <v>-0.5532447526</v>
      </c>
      <c r="L420" s="41" t="str">
        <f>VLOOKUP(B420,'товар'!$A$1:$C$433,3,FALSE)</f>
        <v>Сады Придонья</v>
      </c>
      <c r="M420" s="45">
        <f t="shared" si="4"/>
        <v>254.1818182</v>
      </c>
      <c r="N420" s="46">
        <f>VLOOKUP(H420,'клиенты'!$A$1:$F$435,5,FALSE)</f>
        <v>44645</v>
      </c>
      <c r="O420" s="41">
        <f t="shared" si="5"/>
        <v>531</v>
      </c>
      <c r="P420" s="41" t="str">
        <f>VLOOKUP(H420,'клиенты'!$A$2:$J$435,10,FALSE)</f>
        <v>Таджикистан</v>
      </c>
      <c r="Q420" s="47">
        <f t="shared" si="6"/>
        <v>46078.45901</v>
      </c>
      <c r="R420" s="48">
        <f t="shared" si="7"/>
        <v>47.78196706</v>
      </c>
      <c r="S420" s="41"/>
      <c r="T420" s="41"/>
      <c r="U420" s="41"/>
      <c r="V420" s="41"/>
      <c r="W420" s="41"/>
      <c r="X420" s="41"/>
      <c r="Y420" s="41"/>
      <c r="Z420" s="41"/>
    </row>
    <row r="421" ht="14.25" customHeight="1">
      <c r="A421" s="20">
        <v>420.0</v>
      </c>
      <c r="B421" s="20">
        <v>14.0</v>
      </c>
      <c r="C421" s="20">
        <v>251.0</v>
      </c>
      <c r="D421" s="20">
        <v>1.0</v>
      </c>
      <c r="E421" s="20">
        <f t="shared" si="1"/>
        <v>251</v>
      </c>
      <c r="F421" s="49">
        <v>45272.0</v>
      </c>
      <c r="G421" s="20" t="s">
        <v>44</v>
      </c>
      <c r="H421" s="20">
        <v>321.0</v>
      </c>
      <c r="I421" s="20" t="str">
        <f>VLOOKUP(B421,'товар'!$A$1:$C$433,2,FALSE)</f>
        <v>Сок</v>
      </c>
      <c r="J421" s="50">
        <f t="shared" si="2"/>
        <v>268.6034483</v>
      </c>
      <c r="K421" s="51">
        <f t="shared" si="3"/>
        <v>-0.06553694075</v>
      </c>
      <c r="L421" s="20" t="str">
        <f>VLOOKUP(B421,'товар'!$A$1:$C$433,3,FALSE)</f>
        <v>Rich</v>
      </c>
      <c r="M421" s="52">
        <f t="shared" si="4"/>
        <v>272.25</v>
      </c>
      <c r="N421" s="53">
        <f>VLOOKUP(H421,'клиенты'!$A$1:$F$435,5,FALSE)</f>
        <v>44756</v>
      </c>
      <c r="O421" s="20">
        <f t="shared" si="5"/>
        <v>516</v>
      </c>
      <c r="P421" s="20" t="str">
        <f>VLOOKUP(H421,'клиенты'!$A$2:$J$435,10,FALSE)</f>
        <v>Таджикистан</v>
      </c>
      <c r="Q421" s="54">
        <f t="shared" si="6"/>
        <v>46078.45901</v>
      </c>
      <c r="R421" s="55">
        <f t="shared" si="7"/>
        <v>44.08196706</v>
      </c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41">
        <v>421.0</v>
      </c>
      <c r="B422" s="41">
        <v>451.0</v>
      </c>
      <c r="C422" s="41">
        <v>443.0</v>
      </c>
      <c r="D422" s="41">
        <v>4.0</v>
      </c>
      <c r="E422" s="41">
        <f t="shared" si="1"/>
        <v>1772</v>
      </c>
      <c r="F422" s="42">
        <v>45210.0</v>
      </c>
      <c r="G422" s="41" t="s">
        <v>47</v>
      </c>
      <c r="H422" s="41">
        <v>101.0</v>
      </c>
      <c r="I422" s="41" t="str">
        <f>VLOOKUP(B422,'товар'!$A$1:$C$433,2,FALSE)</f>
        <v>Рис</v>
      </c>
      <c r="J422" s="43">
        <f t="shared" si="2"/>
        <v>258.375</v>
      </c>
      <c r="K422" s="44">
        <f t="shared" si="3"/>
        <v>0.7145621674</v>
      </c>
      <c r="L422" s="41" t="str">
        <f>VLOOKUP(B422,'товар'!$A$1:$C$433,3,FALSE)</f>
        <v>Белый Злат</v>
      </c>
      <c r="M422" s="45">
        <f t="shared" si="4"/>
        <v>269.7058824</v>
      </c>
      <c r="N422" s="46">
        <f>VLOOKUP(H422,'клиенты'!$A$1:$F$435,5,FALSE)</f>
        <v>44727</v>
      </c>
      <c r="O422" s="41">
        <f t="shared" si="5"/>
        <v>483</v>
      </c>
      <c r="P422" s="41" t="str">
        <f>VLOOKUP(H422,'клиенты'!$A$2:$J$435,10,FALSE)</f>
        <v>Россия</v>
      </c>
      <c r="Q422" s="47">
        <f t="shared" si="6"/>
        <v>46078.45901</v>
      </c>
      <c r="R422" s="48">
        <f t="shared" si="7"/>
        <v>45.04863373</v>
      </c>
      <c r="S422" s="41"/>
      <c r="T422" s="41"/>
      <c r="U422" s="41"/>
      <c r="V422" s="41"/>
      <c r="W422" s="41"/>
      <c r="X422" s="41"/>
      <c r="Y422" s="41"/>
      <c r="Z422" s="41"/>
    </row>
    <row r="423" ht="14.25" customHeight="1">
      <c r="A423" s="20">
        <v>422.0</v>
      </c>
      <c r="B423" s="20">
        <v>312.0</v>
      </c>
      <c r="C423" s="20">
        <v>234.0</v>
      </c>
      <c r="D423" s="20">
        <v>1.0</v>
      </c>
      <c r="E423" s="20">
        <f t="shared" si="1"/>
        <v>234</v>
      </c>
      <c r="F423" s="49">
        <v>44954.0</v>
      </c>
      <c r="G423" s="20" t="s">
        <v>48</v>
      </c>
      <c r="H423" s="20">
        <v>124.0</v>
      </c>
      <c r="I423" s="20" t="str">
        <f>VLOOKUP(B423,'товар'!$A$1:$C$433,2,FALSE)</f>
        <v>Хлеб</v>
      </c>
      <c r="J423" s="50">
        <f t="shared" si="2"/>
        <v>300.3181818</v>
      </c>
      <c r="K423" s="51">
        <f t="shared" si="3"/>
        <v>-0.2208263962</v>
      </c>
      <c r="L423" s="20" t="str">
        <f>VLOOKUP(B423,'товар'!$A$1:$C$433,3,FALSE)</f>
        <v>Каравай</v>
      </c>
      <c r="M423" s="52">
        <f t="shared" si="4"/>
        <v>331.1666667</v>
      </c>
      <c r="N423" s="53">
        <f>VLOOKUP(H423,'клиенты'!$A$1:$F$435,5,FALSE)</f>
        <v>44795</v>
      </c>
      <c r="O423" s="20">
        <f t="shared" si="5"/>
        <v>159</v>
      </c>
      <c r="P423" s="20" t="str">
        <f>VLOOKUP(H423,'клиенты'!$A$2:$J$435,10,FALSE)</f>
        <v>Россия</v>
      </c>
      <c r="Q423" s="54">
        <f t="shared" si="6"/>
        <v>46078.45901</v>
      </c>
      <c r="R423" s="55">
        <f t="shared" si="7"/>
        <v>42.78196706</v>
      </c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41">
        <v>423.0</v>
      </c>
      <c r="B424" s="41">
        <v>217.0</v>
      </c>
      <c r="C424" s="41">
        <v>260.0</v>
      </c>
      <c r="D424" s="41">
        <v>5.0</v>
      </c>
      <c r="E424" s="41">
        <f t="shared" si="1"/>
        <v>1300</v>
      </c>
      <c r="F424" s="42">
        <v>45018.0</v>
      </c>
      <c r="G424" s="41" t="s">
        <v>53</v>
      </c>
      <c r="H424" s="41">
        <v>257.0</v>
      </c>
      <c r="I424" s="41" t="str">
        <f>VLOOKUP(B424,'товар'!$A$1:$C$433,2,FALSE)</f>
        <v>Мясо</v>
      </c>
      <c r="J424" s="43">
        <f t="shared" si="2"/>
        <v>271.7454545</v>
      </c>
      <c r="K424" s="44">
        <f t="shared" si="3"/>
        <v>-0.04322226683</v>
      </c>
      <c r="L424" s="41" t="str">
        <f>VLOOKUP(B424,'товар'!$A$1:$C$433,3,FALSE)</f>
        <v>Агрокомплекс</v>
      </c>
      <c r="M424" s="45">
        <f t="shared" si="4"/>
        <v>311.2</v>
      </c>
      <c r="N424" s="46">
        <f>VLOOKUP(H424,'клиенты'!$A$1:$F$435,5,FALSE)</f>
        <v>44701</v>
      </c>
      <c r="O424" s="41">
        <f t="shared" si="5"/>
        <v>317</v>
      </c>
      <c r="P424" s="41" t="str">
        <f>VLOOKUP(H424,'клиенты'!$A$2:$J$435,10,FALSE)</f>
        <v>Россия</v>
      </c>
      <c r="Q424" s="47">
        <f t="shared" si="6"/>
        <v>46078.45901</v>
      </c>
      <c r="R424" s="48">
        <f t="shared" si="7"/>
        <v>45.91530039</v>
      </c>
      <c r="S424" s="41"/>
      <c r="T424" s="41"/>
      <c r="U424" s="41"/>
      <c r="V424" s="41"/>
      <c r="W424" s="41"/>
      <c r="X424" s="41"/>
      <c r="Y424" s="41"/>
      <c r="Z424" s="41"/>
    </row>
    <row r="425" ht="14.25" customHeight="1">
      <c r="A425" s="20">
        <v>424.0</v>
      </c>
      <c r="B425" s="20">
        <v>10.0</v>
      </c>
      <c r="C425" s="20">
        <v>203.0</v>
      </c>
      <c r="D425" s="20">
        <v>4.0</v>
      </c>
      <c r="E425" s="20">
        <f t="shared" si="1"/>
        <v>812</v>
      </c>
      <c r="F425" s="49">
        <v>45059.0</v>
      </c>
      <c r="G425" s="20" t="s">
        <v>53</v>
      </c>
      <c r="H425" s="20">
        <v>276.0</v>
      </c>
      <c r="I425" s="20" t="str">
        <f>VLOOKUP(B425,'товар'!$A$1:$C$433,2,FALSE)</f>
        <v>Сок</v>
      </c>
      <c r="J425" s="50">
        <f t="shared" si="2"/>
        <v>268.6034483</v>
      </c>
      <c r="K425" s="51">
        <f t="shared" si="3"/>
        <v>-0.2442390397</v>
      </c>
      <c r="L425" s="20" t="str">
        <f>VLOOKUP(B425,'товар'!$A$1:$C$433,3,FALSE)</f>
        <v>Фруктовый сад</v>
      </c>
      <c r="M425" s="52">
        <f t="shared" si="4"/>
        <v>281.96875</v>
      </c>
      <c r="N425" s="53">
        <f>VLOOKUP(H425,'клиенты'!$A$1:$F$435,5,FALSE)</f>
        <v>44632</v>
      </c>
      <c r="O425" s="20">
        <f t="shared" si="5"/>
        <v>427</v>
      </c>
      <c r="P425" s="20" t="str">
        <f>VLOOKUP(H425,'клиенты'!$A$2:$J$435,10,FALSE)</f>
        <v>Таджикистан</v>
      </c>
      <c r="Q425" s="54">
        <f t="shared" si="6"/>
        <v>46078.45901</v>
      </c>
      <c r="R425" s="55">
        <f t="shared" si="7"/>
        <v>48.21530039</v>
      </c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41">
        <v>425.0</v>
      </c>
      <c r="B426" s="41">
        <v>60.0</v>
      </c>
      <c r="C426" s="41">
        <v>251.0</v>
      </c>
      <c r="D426" s="41">
        <v>2.0</v>
      </c>
      <c r="E426" s="41">
        <f t="shared" si="1"/>
        <v>502</v>
      </c>
      <c r="F426" s="42">
        <v>45202.0</v>
      </c>
      <c r="G426" s="41" t="s">
        <v>36</v>
      </c>
      <c r="H426" s="41">
        <v>309.0</v>
      </c>
      <c r="I426" s="41" t="str">
        <f>VLOOKUP(B426,'товар'!$A$1:$C$433,2,FALSE)</f>
        <v>Кофе</v>
      </c>
      <c r="J426" s="43">
        <f t="shared" si="2"/>
        <v>249.0238095</v>
      </c>
      <c r="K426" s="44">
        <f t="shared" si="3"/>
        <v>0.007935749116</v>
      </c>
      <c r="L426" s="41" t="str">
        <f>VLOOKUP(B426,'товар'!$A$1:$C$433,3,FALSE)</f>
        <v>Jacobs</v>
      </c>
      <c r="M426" s="45">
        <f t="shared" si="4"/>
        <v>276.2105263</v>
      </c>
      <c r="N426" s="46">
        <f>VLOOKUP(H426,'клиенты'!$A$1:$F$435,5,FALSE)</f>
        <v>44711</v>
      </c>
      <c r="O426" s="41">
        <f t="shared" si="5"/>
        <v>491</v>
      </c>
      <c r="P426" s="41" t="str">
        <f>VLOOKUP(H426,'клиенты'!$A$2:$J$435,10,FALSE)</f>
        <v>Россия</v>
      </c>
      <c r="Q426" s="47">
        <f t="shared" si="6"/>
        <v>46078.45901</v>
      </c>
      <c r="R426" s="48">
        <f t="shared" si="7"/>
        <v>45.58196706</v>
      </c>
      <c r="S426" s="41"/>
      <c r="T426" s="41"/>
      <c r="U426" s="41"/>
      <c r="V426" s="41"/>
      <c r="W426" s="41"/>
      <c r="X426" s="41"/>
      <c r="Y426" s="41"/>
      <c r="Z426" s="41"/>
    </row>
    <row r="427" ht="14.25" customHeight="1">
      <c r="A427" s="20">
        <v>426.0</v>
      </c>
      <c r="B427" s="20">
        <v>74.0</v>
      </c>
      <c r="C427" s="20">
        <v>210.0</v>
      </c>
      <c r="D427" s="20">
        <v>3.0</v>
      </c>
      <c r="E427" s="20">
        <f t="shared" si="1"/>
        <v>630</v>
      </c>
      <c r="F427" s="49">
        <v>45335.0</v>
      </c>
      <c r="G427" s="20" t="s">
        <v>48</v>
      </c>
      <c r="H427" s="20">
        <v>319.0</v>
      </c>
      <c r="I427" s="20" t="str">
        <f>VLOOKUP(B427,'товар'!$A$1:$C$433,2,FALSE)</f>
        <v>Колбаса</v>
      </c>
      <c r="J427" s="50">
        <f t="shared" si="2"/>
        <v>286.9230769</v>
      </c>
      <c r="K427" s="51">
        <f t="shared" si="3"/>
        <v>-0.2680965147</v>
      </c>
      <c r="L427" s="20" t="str">
        <f>VLOOKUP(B427,'товар'!$A$1:$C$433,3,FALSE)</f>
        <v>Черкизово</v>
      </c>
      <c r="M427" s="52">
        <f t="shared" si="4"/>
        <v>320.25</v>
      </c>
      <c r="N427" s="53">
        <f>VLOOKUP(H427,'клиенты'!$A$1:$F$435,5,FALSE)</f>
        <v>44674</v>
      </c>
      <c r="O427" s="20">
        <f t="shared" si="5"/>
        <v>661</v>
      </c>
      <c r="P427" s="20" t="str">
        <f>VLOOKUP(H427,'клиенты'!$A$2:$J$435,10,FALSE)</f>
        <v>Узбекистан</v>
      </c>
      <c r="Q427" s="54">
        <f t="shared" si="6"/>
        <v>46078.45901</v>
      </c>
      <c r="R427" s="55">
        <f t="shared" si="7"/>
        <v>46.81530039</v>
      </c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41">
        <v>427.0</v>
      </c>
      <c r="B428" s="41">
        <v>116.0</v>
      </c>
      <c r="C428" s="41">
        <v>295.0</v>
      </c>
      <c r="D428" s="41">
        <v>1.0</v>
      </c>
      <c r="E428" s="41">
        <f t="shared" si="1"/>
        <v>295</v>
      </c>
      <c r="F428" s="42">
        <v>45336.0</v>
      </c>
      <c r="G428" s="41" t="s">
        <v>37</v>
      </c>
      <c r="H428" s="41">
        <v>359.0</v>
      </c>
      <c r="I428" s="41" t="str">
        <f>VLOOKUP(B428,'товар'!$A$1:$C$433,2,FALSE)</f>
        <v>Соль</v>
      </c>
      <c r="J428" s="43">
        <f t="shared" si="2"/>
        <v>264.8679245</v>
      </c>
      <c r="K428" s="44">
        <f t="shared" si="3"/>
        <v>0.1137626443</v>
      </c>
      <c r="L428" s="41" t="str">
        <f>VLOOKUP(B428,'товар'!$A$1:$C$433,3,FALSE)</f>
        <v>Экстра</v>
      </c>
      <c r="M428" s="45">
        <f t="shared" si="4"/>
        <v>320.8461538</v>
      </c>
      <c r="N428" s="46">
        <f>VLOOKUP(H428,'клиенты'!$A$1:$F$435,5,FALSE)</f>
        <v>44584</v>
      </c>
      <c r="O428" s="41">
        <f t="shared" si="5"/>
        <v>752</v>
      </c>
      <c r="P428" s="41" t="str">
        <f>VLOOKUP(H428,'клиенты'!$A$2:$J$435,10,FALSE)</f>
        <v>Россия</v>
      </c>
      <c r="Q428" s="47">
        <f t="shared" si="6"/>
        <v>46078.45901</v>
      </c>
      <c r="R428" s="48">
        <f t="shared" si="7"/>
        <v>49.81530039</v>
      </c>
      <c r="S428" s="41"/>
      <c r="T428" s="41"/>
      <c r="U428" s="41"/>
      <c r="V428" s="41"/>
      <c r="W428" s="41"/>
      <c r="X428" s="41"/>
      <c r="Y428" s="41"/>
      <c r="Z428" s="41"/>
    </row>
    <row r="429" ht="14.25" customHeight="1">
      <c r="A429" s="20">
        <v>428.0</v>
      </c>
      <c r="B429" s="20">
        <v>401.0</v>
      </c>
      <c r="C429" s="20">
        <v>78.0</v>
      </c>
      <c r="D429" s="20">
        <v>3.0</v>
      </c>
      <c r="E429" s="20">
        <f t="shared" si="1"/>
        <v>234</v>
      </c>
      <c r="F429" s="49">
        <v>44986.0</v>
      </c>
      <c r="G429" s="20" t="s">
        <v>37</v>
      </c>
      <c r="H429" s="20">
        <v>395.0</v>
      </c>
      <c r="I429" s="20" t="str">
        <f>VLOOKUP(B429,'товар'!$A$1:$C$433,2,FALSE)</f>
        <v>Чай</v>
      </c>
      <c r="J429" s="50">
        <f t="shared" si="2"/>
        <v>271.1818182</v>
      </c>
      <c r="K429" s="51">
        <f t="shared" si="3"/>
        <v>-0.7123700972</v>
      </c>
      <c r="L429" s="20" t="str">
        <f>VLOOKUP(B429,'товар'!$A$1:$C$433,3,FALSE)</f>
        <v>Greenfield</v>
      </c>
      <c r="M429" s="52">
        <f t="shared" si="4"/>
        <v>291.4545455</v>
      </c>
      <c r="N429" s="53">
        <f>VLOOKUP(H429,'клиенты'!$A$1:$F$435,5,FALSE)</f>
        <v>44890</v>
      </c>
      <c r="O429" s="20">
        <f t="shared" si="5"/>
        <v>96</v>
      </c>
      <c r="P429" s="20" t="str">
        <f>VLOOKUP(H429,'клиенты'!$A$2:$J$435,10,FALSE)</f>
        <v>Узбекистан</v>
      </c>
      <c r="Q429" s="54">
        <f t="shared" si="6"/>
        <v>46078.45901</v>
      </c>
      <c r="R429" s="55">
        <f t="shared" si="7"/>
        <v>39.61530039</v>
      </c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41">
        <v>429.0</v>
      </c>
      <c r="B430" s="41">
        <v>348.0</v>
      </c>
      <c r="C430" s="41">
        <v>162.0</v>
      </c>
      <c r="D430" s="41">
        <v>2.0</v>
      </c>
      <c r="E430" s="41">
        <f t="shared" si="1"/>
        <v>324</v>
      </c>
      <c r="F430" s="42">
        <v>44931.0</v>
      </c>
      <c r="G430" s="41" t="s">
        <v>39</v>
      </c>
      <c r="H430" s="41">
        <v>107.0</v>
      </c>
      <c r="I430" s="41" t="str">
        <f>VLOOKUP(B430,'товар'!$A$1:$C$433,2,FALSE)</f>
        <v>Чипсы</v>
      </c>
      <c r="J430" s="43">
        <f t="shared" si="2"/>
        <v>273.7254902</v>
      </c>
      <c r="K430" s="44">
        <f t="shared" si="3"/>
        <v>-0.4081661891</v>
      </c>
      <c r="L430" s="41" t="str">
        <f>VLOOKUP(B430,'товар'!$A$1:$C$433,3,FALSE)</f>
        <v>Estrella</v>
      </c>
      <c r="M430" s="45">
        <f t="shared" si="4"/>
        <v>266.2727273</v>
      </c>
      <c r="N430" s="46">
        <f>VLOOKUP(H430,'клиенты'!$A$1:$F$435,5,FALSE)</f>
        <v>44744</v>
      </c>
      <c r="O430" s="41">
        <f t="shared" si="5"/>
        <v>187</v>
      </c>
      <c r="P430" s="41" t="str">
        <f>VLOOKUP(H430,'клиенты'!$A$2:$J$435,10,FALSE)</f>
        <v>Таджикистан</v>
      </c>
      <c r="Q430" s="47">
        <f t="shared" si="6"/>
        <v>46078.45901</v>
      </c>
      <c r="R430" s="48">
        <f t="shared" si="7"/>
        <v>44.48196706</v>
      </c>
      <c r="S430" s="41"/>
      <c r="T430" s="41"/>
      <c r="U430" s="41"/>
      <c r="V430" s="41"/>
      <c r="W430" s="41"/>
      <c r="X430" s="41"/>
      <c r="Y430" s="41"/>
      <c r="Z430" s="41"/>
    </row>
    <row r="431" ht="14.25" customHeight="1">
      <c r="A431" s="20">
        <v>430.0</v>
      </c>
      <c r="B431" s="20">
        <v>382.0</v>
      </c>
      <c r="C431" s="20">
        <v>278.0</v>
      </c>
      <c r="D431" s="20">
        <v>2.0</v>
      </c>
      <c r="E431" s="20">
        <f t="shared" si="1"/>
        <v>556</v>
      </c>
      <c r="F431" s="49">
        <v>45198.0</v>
      </c>
      <c r="G431" s="20" t="s">
        <v>36</v>
      </c>
      <c r="H431" s="20">
        <v>103.0</v>
      </c>
      <c r="I431" s="20" t="str">
        <f>VLOOKUP(B431,'товар'!$A$1:$C$433,2,FALSE)</f>
        <v>Овощи</v>
      </c>
      <c r="J431" s="50">
        <f t="shared" si="2"/>
        <v>250.4878049</v>
      </c>
      <c r="K431" s="51">
        <f t="shared" si="3"/>
        <v>0.1098344693</v>
      </c>
      <c r="L431" s="20" t="str">
        <f>VLOOKUP(B431,'товар'!$A$1:$C$433,3,FALSE)</f>
        <v>Овощной ряд</v>
      </c>
      <c r="M431" s="52">
        <f t="shared" si="4"/>
        <v>303.8235294</v>
      </c>
      <c r="N431" s="53">
        <f>VLOOKUP(H431,'клиенты'!$A$1:$F$435,5,FALSE)</f>
        <v>44787</v>
      </c>
      <c r="O431" s="20">
        <f t="shared" si="5"/>
        <v>411</v>
      </c>
      <c r="P431" s="20" t="str">
        <f>VLOOKUP(H431,'клиенты'!$A$2:$J$435,10,FALSE)</f>
        <v>Узбекистан</v>
      </c>
      <c r="Q431" s="54">
        <f t="shared" si="6"/>
        <v>46078.45901</v>
      </c>
      <c r="R431" s="55">
        <f t="shared" si="7"/>
        <v>43.04863373</v>
      </c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41">
        <v>431.0</v>
      </c>
      <c r="B432" s="41">
        <v>477.0</v>
      </c>
      <c r="C432" s="41">
        <v>420.0</v>
      </c>
      <c r="D432" s="41">
        <v>1.0</v>
      </c>
      <c r="E432" s="41">
        <f t="shared" si="1"/>
        <v>420</v>
      </c>
      <c r="F432" s="42">
        <v>45232.0</v>
      </c>
      <c r="G432" s="41" t="s">
        <v>52</v>
      </c>
      <c r="H432" s="41">
        <v>221.0</v>
      </c>
      <c r="I432" s="41" t="str">
        <f>VLOOKUP(B432,'товар'!$A$1:$C$433,2,FALSE)</f>
        <v>Макароны</v>
      </c>
      <c r="J432" s="43">
        <f t="shared" si="2"/>
        <v>265.4767442</v>
      </c>
      <c r="K432" s="44">
        <f t="shared" si="3"/>
        <v>0.5820594805</v>
      </c>
      <c r="L432" s="41" t="str">
        <f>VLOOKUP(B432,'товар'!$A$1:$C$433,3,FALSE)</f>
        <v>Борилла</v>
      </c>
      <c r="M432" s="45">
        <f t="shared" si="4"/>
        <v>236.2758621</v>
      </c>
      <c r="N432" s="46">
        <f>VLOOKUP(H432,'клиенты'!$A$1:$F$435,5,FALSE)</f>
        <v>44820</v>
      </c>
      <c r="O432" s="41">
        <f t="shared" si="5"/>
        <v>412</v>
      </c>
      <c r="P432" s="41" t="str">
        <f>VLOOKUP(H432,'клиенты'!$A$2:$J$435,10,FALSE)</f>
        <v>Таджикистан</v>
      </c>
      <c r="Q432" s="47">
        <f t="shared" si="6"/>
        <v>46078.45901</v>
      </c>
      <c r="R432" s="48">
        <f t="shared" si="7"/>
        <v>41.94863373</v>
      </c>
      <c r="S432" s="41"/>
      <c r="T432" s="41"/>
      <c r="U432" s="41"/>
      <c r="V432" s="41"/>
      <c r="W432" s="41"/>
      <c r="X432" s="41"/>
      <c r="Y432" s="41"/>
      <c r="Z432" s="41"/>
    </row>
    <row r="433" ht="14.25" customHeight="1">
      <c r="A433" s="20">
        <v>432.0</v>
      </c>
      <c r="B433" s="20">
        <v>91.0</v>
      </c>
      <c r="C433" s="20">
        <v>413.0</v>
      </c>
      <c r="D433" s="20">
        <v>2.0</v>
      </c>
      <c r="E433" s="20">
        <f t="shared" si="1"/>
        <v>826</v>
      </c>
      <c r="F433" s="49">
        <v>45183.0</v>
      </c>
      <c r="G433" s="20" t="s">
        <v>39</v>
      </c>
      <c r="H433" s="20">
        <v>31.0</v>
      </c>
      <c r="I433" s="20" t="str">
        <f>VLOOKUP(B433,'товар'!$A$1:$C$433,2,FALSE)</f>
        <v>Сыр</v>
      </c>
      <c r="J433" s="50">
        <f t="shared" si="2"/>
        <v>262.6349206</v>
      </c>
      <c r="K433" s="51">
        <f t="shared" si="3"/>
        <v>0.5725250816</v>
      </c>
      <c r="L433" s="20" t="str">
        <f>VLOOKUP(B433,'товар'!$A$1:$C$433,3,FALSE)</f>
        <v>Сырная долина</v>
      </c>
      <c r="M433" s="52">
        <f t="shared" si="4"/>
        <v>271</v>
      </c>
      <c r="N433" s="53">
        <f>VLOOKUP(H433,'клиенты'!$A$1:$F$435,5,FALSE)</f>
        <v>44580</v>
      </c>
      <c r="O433" s="20">
        <f t="shared" si="5"/>
        <v>603</v>
      </c>
      <c r="P433" s="20" t="str">
        <f>VLOOKUP(H433,'клиенты'!$A$2:$J$435,10,FALSE)</f>
        <v>Украина</v>
      </c>
      <c r="Q433" s="54">
        <f t="shared" si="6"/>
        <v>46078.45901</v>
      </c>
      <c r="R433" s="55">
        <f t="shared" si="7"/>
        <v>49.94863373</v>
      </c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41">
        <v>433.0</v>
      </c>
      <c r="B434" s="41">
        <v>52.0</v>
      </c>
      <c r="C434" s="41">
        <v>272.0</v>
      </c>
      <c r="D434" s="41">
        <v>3.0</v>
      </c>
      <c r="E434" s="41">
        <f t="shared" si="1"/>
        <v>816</v>
      </c>
      <c r="F434" s="42">
        <v>45377.0</v>
      </c>
      <c r="G434" s="41" t="s">
        <v>46</v>
      </c>
      <c r="H434" s="41">
        <v>306.0</v>
      </c>
      <c r="I434" s="41" t="str">
        <f>VLOOKUP(B434,'товар'!$A$1:$C$433,2,FALSE)</f>
        <v>Соль</v>
      </c>
      <c r="J434" s="43">
        <f t="shared" si="2"/>
        <v>264.8679245</v>
      </c>
      <c r="K434" s="44">
        <f t="shared" si="3"/>
        <v>0.02692691267</v>
      </c>
      <c r="L434" s="41" t="str">
        <f>VLOOKUP(B434,'товар'!$A$1:$C$433,3,FALSE)</f>
        <v>Илецкая</v>
      </c>
      <c r="M434" s="45">
        <f t="shared" si="4"/>
        <v>238.1666667</v>
      </c>
      <c r="N434" s="46">
        <f>VLOOKUP(H434,'клиенты'!$A$1:$F$435,5,FALSE)</f>
        <v>44872</v>
      </c>
      <c r="O434" s="41">
        <f t="shared" si="5"/>
        <v>505</v>
      </c>
      <c r="P434" s="41" t="str">
        <f>VLOOKUP(H434,'клиенты'!$A$2:$J$435,10,FALSE)</f>
        <v>Украина</v>
      </c>
      <c r="Q434" s="47">
        <f t="shared" si="6"/>
        <v>46078.45901</v>
      </c>
      <c r="R434" s="48">
        <f t="shared" si="7"/>
        <v>40.21530039</v>
      </c>
      <c r="S434" s="41"/>
      <c r="T434" s="41"/>
      <c r="U434" s="41"/>
      <c r="V434" s="41"/>
      <c r="W434" s="41"/>
      <c r="X434" s="41"/>
      <c r="Y434" s="41"/>
      <c r="Z434" s="41"/>
    </row>
    <row r="435" ht="14.25" customHeight="1">
      <c r="A435" s="20">
        <v>434.0</v>
      </c>
      <c r="B435" s="20">
        <v>438.0</v>
      </c>
      <c r="C435" s="20">
        <v>435.0</v>
      </c>
      <c r="D435" s="20">
        <v>1.0</v>
      </c>
      <c r="E435" s="20">
        <f t="shared" si="1"/>
        <v>435</v>
      </c>
      <c r="F435" s="49">
        <v>45142.0</v>
      </c>
      <c r="G435" s="20" t="s">
        <v>40</v>
      </c>
      <c r="H435" s="20">
        <v>383.0</v>
      </c>
      <c r="I435" s="20" t="str">
        <f>VLOOKUP(B435,'товар'!$A$1:$C$433,2,FALSE)</f>
        <v>Кофе</v>
      </c>
      <c r="J435" s="50">
        <f t="shared" si="2"/>
        <v>249.0238095</v>
      </c>
      <c r="K435" s="51">
        <f t="shared" si="3"/>
        <v>0.7468209198</v>
      </c>
      <c r="L435" s="20" t="str">
        <f>VLOOKUP(B435,'товар'!$A$1:$C$433,3,FALSE)</f>
        <v>Nescafe</v>
      </c>
      <c r="M435" s="52">
        <f t="shared" si="4"/>
        <v>256.9</v>
      </c>
      <c r="N435" s="53">
        <f>VLOOKUP(H435,'клиенты'!$A$1:$F$435,5,FALSE)</f>
        <v>44876</v>
      </c>
      <c r="O435" s="20">
        <f t="shared" si="5"/>
        <v>266</v>
      </c>
      <c r="P435" s="20" t="str">
        <f>VLOOKUP(H435,'клиенты'!$A$2:$J$435,10,FALSE)</f>
        <v>Украина</v>
      </c>
      <c r="Q435" s="54">
        <f t="shared" si="6"/>
        <v>46078.45901</v>
      </c>
      <c r="R435" s="55">
        <f t="shared" si="7"/>
        <v>40.08196706</v>
      </c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41">
        <v>435.0</v>
      </c>
      <c r="B436" s="41">
        <v>384.0</v>
      </c>
      <c r="C436" s="41">
        <v>303.0</v>
      </c>
      <c r="D436" s="41">
        <v>2.0</v>
      </c>
      <c r="E436" s="41">
        <f t="shared" si="1"/>
        <v>606</v>
      </c>
      <c r="F436" s="42">
        <v>45151.0</v>
      </c>
      <c r="G436" s="41" t="s">
        <v>42</v>
      </c>
      <c r="H436" s="41">
        <v>235.0</v>
      </c>
      <c r="I436" s="41" t="str">
        <f>VLOOKUP(B436,'товар'!$A$1:$C$433,2,FALSE)</f>
        <v>Сахар</v>
      </c>
      <c r="J436" s="43">
        <f t="shared" si="2"/>
        <v>252.7627119</v>
      </c>
      <c r="K436" s="44">
        <f t="shared" si="3"/>
        <v>0.198752766</v>
      </c>
      <c r="L436" s="41" t="str">
        <f>VLOOKUP(B436,'товар'!$A$1:$C$433,3,FALSE)</f>
        <v>Сладов</v>
      </c>
      <c r="M436" s="45">
        <f t="shared" si="4"/>
        <v>240.2666667</v>
      </c>
      <c r="N436" s="46">
        <f>VLOOKUP(H436,'клиенты'!$A$1:$F$435,5,FALSE)</f>
        <v>44635</v>
      </c>
      <c r="O436" s="41">
        <f t="shared" si="5"/>
        <v>516</v>
      </c>
      <c r="P436" s="41" t="str">
        <f>VLOOKUP(H436,'клиенты'!$A$2:$J$435,10,FALSE)</f>
        <v>Узбекистан</v>
      </c>
      <c r="Q436" s="47">
        <f t="shared" si="6"/>
        <v>46078.45901</v>
      </c>
      <c r="R436" s="48">
        <f t="shared" si="7"/>
        <v>48.11530039</v>
      </c>
      <c r="S436" s="41"/>
      <c r="T436" s="41"/>
      <c r="U436" s="41"/>
      <c r="V436" s="41"/>
      <c r="W436" s="41"/>
      <c r="X436" s="41"/>
      <c r="Y436" s="41"/>
      <c r="Z436" s="41"/>
    </row>
    <row r="437" ht="14.25" customHeight="1">
      <c r="A437" s="20">
        <v>436.0</v>
      </c>
      <c r="B437" s="20">
        <v>473.0</v>
      </c>
      <c r="C437" s="20">
        <v>231.0</v>
      </c>
      <c r="D437" s="20">
        <v>3.0</v>
      </c>
      <c r="E437" s="20">
        <f t="shared" si="1"/>
        <v>693</v>
      </c>
      <c r="F437" s="49">
        <v>45074.0</v>
      </c>
      <c r="G437" s="20" t="s">
        <v>52</v>
      </c>
      <c r="H437" s="20">
        <v>448.0</v>
      </c>
      <c r="I437" s="20" t="str">
        <f>VLOOKUP(B437,'товар'!$A$1:$C$433,2,FALSE)</f>
        <v>Хлеб</v>
      </c>
      <c r="J437" s="50">
        <f t="shared" si="2"/>
        <v>300.3181818</v>
      </c>
      <c r="K437" s="51">
        <f t="shared" si="3"/>
        <v>-0.2308158014</v>
      </c>
      <c r="L437" s="20" t="str">
        <f>VLOOKUP(B437,'товар'!$A$1:$C$433,3,FALSE)</f>
        <v>Хлебный Дом</v>
      </c>
      <c r="M437" s="52">
        <f t="shared" si="4"/>
        <v>281.7333333</v>
      </c>
      <c r="N437" s="53">
        <f>VLOOKUP(H437,'клиенты'!$A$1:$F$435,5,FALSE)</f>
        <v>44770</v>
      </c>
      <c r="O437" s="20">
        <f t="shared" si="5"/>
        <v>304</v>
      </c>
      <c r="P437" s="20" t="str">
        <f>VLOOKUP(H437,'клиенты'!$A$2:$J$435,10,FALSE)</f>
        <v>Россия</v>
      </c>
      <c r="Q437" s="54">
        <f t="shared" si="6"/>
        <v>46078.45901</v>
      </c>
      <c r="R437" s="55">
        <f t="shared" si="7"/>
        <v>43.61530039</v>
      </c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41">
        <v>437.0</v>
      </c>
      <c r="B438" s="41">
        <v>383.0</v>
      </c>
      <c r="C438" s="41">
        <v>429.0</v>
      </c>
      <c r="D438" s="41">
        <v>4.0</v>
      </c>
      <c r="E438" s="41">
        <f t="shared" si="1"/>
        <v>1716</v>
      </c>
      <c r="F438" s="42">
        <v>45120.0</v>
      </c>
      <c r="G438" s="41" t="s">
        <v>38</v>
      </c>
      <c r="H438" s="41">
        <v>367.0</v>
      </c>
      <c r="I438" s="41" t="str">
        <f>VLOOKUP(B438,'товар'!$A$1:$C$433,2,FALSE)</f>
        <v>Фрукты</v>
      </c>
      <c r="J438" s="43">
        <f t="shared" si="2"/>
        <v>274.1627907</v>
      </c>
      <c r="K438" s="44">
        <f t="shared" si="3"/>
        <v>0.5647637628</v>
      </c>
      <c r="L438" s="41" t="str">
        <f>VLOOKUP(B438,'товар'!$A$1:$C$433,3,FALSE)</f>
        <v>Фруктовый Рай</v>
      </c>
      <c r="M438" s="45">
        <f t="shared" si="4"/>
        <v>258.3076923</v>
      </c>
      <c r="N438" s="46">
        <f>VLOOKUP(H438,'клиенты'!$A$1:$F$435,5,FALSE)</f>
        <v>44867</v>
      </c>
      <c r="O438" s="41">
        <f t="shared" si="5"/>
        <v>253</v>
      </c>
      <c r="P438" s="41" t="str">
        <f>VLOOKUP(H438,'клиенты'!$A$2:$J$435,10,FALSE)</f>
        <v>Таджикистан</v>
      </c>
      <c r="Q438" s="47">
        <f t="shared" si="6"/>
        <v>46078.45901</v>
      </c>
      <c r="R438" s="48">
        <f t="shared" si="7"/>
        <v>40.38196706</v>
      </c>
      <c r="S438" s="41"/>
      <c r="T438" s="41"/>
      <c r="U438" s="41"/>
      <c r="V438" s="41"/>
      <c r="W438" s="41"/>
      <c r="X438" s="41"/>
      <c r="Y438" s="41"/>
      <c r="Z438" s="41"/>
    </row>
    <row r="439" ht="14.25" customHeight="1">
      <c r="A439" s="20">
        <v>438.0</v>
      </c>
      <c r="B439" s="20">
        <v>406.0</v>
      </c>
      <c r="C439" s="20">
        <v>87.0</v>
      </c>
      <c r="D439" s="20">
        <v>2.0</v>
      </c>
      <c r="E439" s="20">
        <f t="shared" si="1"/>
        <v>174</v>
      </c>
      <c r="F439" s="49">
        <v>45066.0</v>
      </c>
      <c r="G439" s="20" t="s">
        <v>39</v>
      </c>
      <c r="H439" s="20">
        <v>255.0</v>
      </c>
      <c r="I439" s="20" t="str">
        <f>VLOOKUP(B439,'товар'!$A$1:$C$433,2,FALSE)</f>
        <v>Сок</v>
      </c>
      <c r="J439" s="50">
        <f t="shared" si="2"/>
        <v>268.6034483</v>
      </c>
      <c r="K439" s="51">
        <f t="shared" si="3"/>
        <v>-0.6761024456</v>
      </c>
      <c r="L439" s="20" t="str">
        <f>VLOOKUP(B439,'товар'!$A$1:$C$433,3,FALSE)</f>
        <v>Фруктовый сад</v>
      </c>
      <c r="M439" s="52">
        <f t="shared" si="4"/>
        <v>281.96875</v>
      </c>
      <c r="N439" s="53">
        <f>VLOOKUP(H439,'клиенты'!$A$1:$F$435,5,FALSE)</f>
        <v>44793</v>
      </c>
      <c r="O439" s="20">
        <f t="shared" si="5"/>
        <v>273</v>
      </c>
      <c r="P439" s="20" t="str">
        <f>VLOOKUP(H439,'клиенты'!$A$2:$J$435,10,FALSE)</f>
        <v>Украина</v>
      </c>
      <c r="Q439" s="54">
        <f t="shared" si="6"/>
        <v>46078.45901</v>
      </c>
      <c r="R439" s="55">
        <f t="shared" si="7"/>
        <v>42.84863373</v>
      </c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41">
        <v>439.0</v>
      </c>
      <c r="B440" s="41">
        <v>252.0</v>
      </c>
      <c r="C440" s="41">
        <v>50.0</v>
      </c>
      <c r="D440" s="41">
        <v>1.0</v>
      </c>
      <c r="E440" s="41">
        <f t="shared" si="1"/>
        <v>50</v>
      </c>
      <c r="F440" s="42">
        <v>44960.0</v>
      </c>
      <c r="G440" s="41" t="s">
        <v>41</v>
      </c>
      <c r="H440" s="41">
        <v>138.0</v>
      </c>
      <c r="I440" s="41" t="str">
        <f>VLOOKUP(B440,'товар'!$A$1:$C$433,2,FALSE)</f>
        <v>Чай</v>
      </c>
      <c r="J440" s="43">
        <f t="shared" si="2"/>
        <v>271.1818182</v>
      </c>
      <c r="K440" s="44">
        <f t="shared" si="3"/>
        <v>-0.8156218572</v>
      </c>
      <c r="L440" s="41" t="str">
        <f>VLOOKUP(B440,'товар'!$A$1:$C$433,3,FALSE)</f>
        <v>Lipton</v>
      </c>
      <c r="M440" s="45">
        <f t="shared" si="4"/>
        <v>260.1578947</v>
      </c>
      <c r="N440" s="46">
        <f>VLOOKUP(H440,'клиенты'!$A$1:$F$435,5,FALSE)</f>
        <v>44723</v>
      </c>
      <c r="O440" s="41">
        <f t="shared" si="5"/>
        <v>237</v>
      </c>
      <c r="P440" s="41" t="str">
        <f>VLOOKUP(H440,'клиенты'!$A$2:$J$435,10,FALSE)</f>
        <v>Украина</v>
      </c>
      <c r="Q440" s="47">
        <f t="shared" si="6"/>
        <v>46078.45901</v>
      </c>
      <c r="R440" s="48">
        <f t="shared" si="7"/>
        <v>45.18196706</v>
      </c>
      <c r="S440" s="41"/>
      <c r="T440" s="41"/>
      <c r="U440" s="41"/>
      <c r="V440" s="41"/>
      <c r="W440" s="41"/>
      <c r="X440" s="41"/>
      <c r="Y440" s="41"/>
      <c r="Z440" s="41"/>
    </row>
    <row r="441" ht="14.25" customHeight="1">
      <c r="A441" s="20">
        <v>440.0</v>
      </c>
      <c r="B441" s="20">
        <v>365.0</v>
      </c>
      <c r="C441" s="20">
        <v>127.0</v>
      </c>
      <c r="D441" s="20">
        <v>1.0</v>
      </c>
      <c r="E441" s="20">
        <f t="shared" si="1"/>
        <v>127</v>
      </c>
      <c r="F441" s="49">
        <v>45351.0</v>
      </c>
      <c r="G441" s="20" t="s">
        <v>39</v>
      </c>
      <c r="H441" s="20">
        <v>158.0</v>
      </c>
      <c r="I441" s="20" t="str">
        <f>VLOOKUP(B441,'товар'!$A$1:$C$433,2,FALSE)</f>
        <v>Мясо</v>
      </c>
      <c r="J441" s="50">
        <f t="shared" si="2"/>
        <v>271.7454545</v>
      </c>
      <c r="K441" s="51">
        <f t="shared" si="3"/>
        <v>-0.5326508765</v>
      </c>
      <c r="L441" s="20" t="str">
        <f>VLOOKUP(B441,'товар'!$A$1:$C$433,3,FALSE)</f>
        <v>Агрокомплекс</v>
      </c>
      <c r="M441" s="52">
        <f t="shared" si="4"/>
        <v>311.2</v>
      </c>
      <c r="N441" s="53">
        <f>VLOOKUP(H441,'клиенты'!$A$1:$F$435,5,FALSE)</f>
        <v>44752</v>
      </c>
      <c r="O441" s="20">
        <f t="shared" si="5"/>
        <v>599</v>
      </c>
      <c r="P441" s="20" t="str">
        <f>VLOOKUP(H441,'клиенты'!$A$2:$J$435,10,FALSE)</f>
        <v>Узбекистан</v>
      </c>
      <c r="Q441" s="54">
        <f t="shared" si="6"/>
        <v>46078.45901</v>
      </c>
      <c r="R441" s="55">
        <f t="shared" si="7"/>
        <v>44.21530039</v>
      </c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41">
        <v>441.0</v>
      </c>
      <c r="B442" s="41">
        <v>420.0</v>
      </c>
      <c r="C442" s="41">
        <v>390.0</v>
      </c>
      <c r="D442" s="41">
        <v>3.0</v>
      </c>
      <c r="E442" s="41">
        <f t="shared" si="1"/>
        <v>1170</v>
      </c>
      <c r="F442" s="42">
        <v>45183.0</v>
      </c>
      <c r="G442" s="41" t="s">
        <v>46</v>
      </c>
      <c r="H442" s="41">
        <v>217.0</v>
      </c>
      <c r="I442" s="41" t="str">
        <f>VLOOKUP(B442,'товар'!$A$1:$C$433,2,FALSE)</f>
        <v>Хлеб</v>
      </c>
      <c r="J442" s="43">
        <f t="shared" si="2"/>
        <v>300.3181818</v>
      </c>
      <c r="K442" s="44">
        <f t="shared" si="3"/>
        <v>0.2986226729</v>
      </c>
      <c r="L442" s="41" t="str">
        <f>VLOOKUP(B442,'товар'!$A$1:$C$433,3,FALSE)</f>
        <v>Хлебный Дом</v>
      </c>
      <c r="M442" s="45">
        <f t="shared" si="4"/>
        <v>281.7333333</v>
      </c>
      <c r="N442" s="46">
        <f>VLOOKUP(H442,'клиенты'!$A$1:$F$435,5,FALSE)</f>
        <v>44826</v>
      </c>
      <c r="O442" s="41">
        <f t="shared" si="5"/>
        <v>357</v>
      </c>
      <c r="P442" s="41" t="str">
        <f>VLOOKUP(H442,'клиенты'!$A$2:$J$435,10,FALSE)</f>
        <v>Россия</v>
      </c>
      <c r="Q442" s="47">
        <f t="shared" si="6"/>
        <v>46078.45901</v>
      </c>
      <c r="R442" s="48">
        <f t="shared" si="7"/>
        <v>41.74863373</v>
      </c>
      <c r="S442" s="41"/>
      <c r="T442" s="41"/>
      <c r="U442" s="41"/>
      <c r="V442" s="41"/>
      <c r="W442" s="41"/>
      <c r="X442" s="41"/>
      <c r="Y442" s="41"/>
      <c r="Z442" s="41"/>
    </row>
    <row r="443" ht="14.25" customHeight="1">
      <c r="A443" s="20">
        <v>442.0</v>
      </c>
      <c r="B443" s="20">
        <v>97.0</v>
      </c>
      <c r="C443" s="20">
        <v>298.0</v>
      </c>
      <c r="D443" s="20">
        <v>2.0</v>
      </c>
      <c r="E443" s="20">
        <f t="shared" si="1"/>
        <v>596</v>
      </c>
      <c r="F443" s="49">
        <v>45102.0</v>
      </c>
      <c r="G443" s="20" t="s">
        <v>48</v>
      </c>
      <c r="H443" s="20">
        <v>102.0</v>
      </c>
      <c r="I443" s="20" t="str">
        <f>VLOOKUP(B443,'товар'!$A$1:$C$433,2,FALSE)</f>
        <v>Печенье</v>
      </c>
      <c r="J443" s="50">
        <f t="shared" si="2"/>
        <v>283.4680851</v>
      </c>
      <c r="K443" s="51">
        <f t="shared" si="3"/>
        <v>0.05126473017</v>
      </c>
      <c r="L443" s="20" t="str">
        <f>VLOOKUP(B443,'товар'!$A$1:$C$433,3,FALSE)</f>
        <v>КДВ</v>
      </c>
      <c r="M443" s="52">
        <f t="shared" si="4"/>
        <v>323.0769231</v>
      </c>
      <c r="N443" s="53">
        <f>VLOOKUP(H443,'клиенты'!$A$1:$F$435,5,FALSE)</f>
        <v>44723</v>
      </c>
      <c r="O443" s="20">
        <f t="shared" si="5"/>
        <v>379</v>
      </c>
      <c r="P443" s="20" t="str">
        <f>VLOOKUP(H443,'клиенты'!$A$2:$J$435,10,FALSE)</f>
        <v>Узбекистан</v>
      </c>
      <c r="Q443" s="54">
        <f t="shared" si="6"/>
        <v>46078.45901</v>
      </c>
      <c r="R443" s="55">
        <f t="shared" si="7"/>
        <v>45.18196706</v>
      </c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41">
        <v>443.0</v>
      </c>
      <c r="B444" s="41">
        <v>217.0</v>
      </c>
      <c r="C444" s="41">
        <v>471.0</v>
      </c>
      <c r="D444" s="41">
        <v>3.0</v>
      </c>
      <c r="E444" s="41">
        <f t="shared" si="1"/>
        <v>1413</v>
      </c>
      <c r="F444" s="42">
        <v>45206.0</v>
      </c>
      <c r="G444" s="41" t="s">
        <v>42</v>
      </c>
      <c r="H444" s="41">
        <v>425.0</v>
      </c>
      <c r="I444" s="41" t="str">
        <f>VLOOKUP(B444,'товар'!$A$1:$C$433,2,FALSE)</f>
        <v>Мясо</v>
      </c>
      <c r="J444" s="43">
        <f t="shared" si="2"/>
        <v>271.7454545</v>
      </c>
      <c r="K444" s="44">
        <f t="shared" si="3"/>
        <v>0.7332396628</v>
      </c>
      <c r="L444" s="41" t="str">
        <f>VLOOKUP(B444,'товар'!$A$1:$C$433,3,FALSE)</f>
        <v>Агрокомплекс</v>
      </c>
      <c r="M444" s="45">
        <f t="shared" si="4"/>
        <v>311.2</v>
      </c>
      <c r="N444" s="46">
        <f>VLOOKUP(H444,'клиенты'!$A$1:$F$435,5,FALSE)</f>
        <v>44782</v>
      </c>
      <c r="O444" s="41">
        <f t="shared" si="5"/>
        <v>424</v>
      </c>
      <c r="P444" s="41" t="str">
        <f>VLOOKUP(H444,'клиенты'!$A$2:$J$435,10,FALSE)</f>
        <v>Узбекистан</v>
      </c>
      <c r="Q444" s="47">
        <f t="shared" si="6"/>
        <v>46078.45901</v>
      </c>
      <c r="R444" s="48">
        <f t="shared" si="7"/>
        <v>43.21530039</v>
      </c>
      <c r="S444" s="41"/>
      <c r="T444" s="41"/>
      <c r="U444" s="41"/>
      <c r="V444" s="41"/>
      <c r="W444" s="41"/>
      <c r="X444" s="41"/>
      <c r="Y444" s="41"/>
      <c r="Z444" s="41"/>
    </row>
    <row r="445" ht="14.25" customHeight="1">
      <c r="A445" s="20">
        <v>444.0</v>
      </c>
      <c r="B445" s="20">
        <v>47.0</v>
      </c>
      <c r="C445" s="20">
        <v>315.0</v>
      </c>
      <c r="D445" s="20">
        <v>3.0</v>
      </c>
      <c r="E445" s="20">
        <f t="shared" si="1"/>
        <v>945</v>
      </c>
      <c r="F445" s="49">
        <v>45362.0</v>
      </c>
      <c r="G445" s="20" t="s">
        <v>50</v>
      </c>
      <c r="H445" s="20">
        <v>140.0</v>
      </c>
      <c r="I445" s="20" t="str">
        <f>VLOOKUP(B445,'товар'!$A$1:$C$433,2,FALSE)</f>
        <v>Мясо</v>
      </c>
      <c r="J445" s="50">
        <f t="shared" si="2"/>
        <v>271.7454545</v>
      </c>
      <c r="K445" s="51">
        <f t="shared" si="3"/>
        <v>0.1591730229</v>
      </c>
      <c r="L445" s="20" t="str">
        <f>VLOOKUP(B445,'товар'!$A$1:$C$433,3,FALSE)</f>
        <v>Снежана</v>
      </c>
      <c r="M445" s="52">
        <f t="shared" si="4"/>
        <v>272.3529412</v>
      </c>
      <c r="N445" s="53">
        <f>VLOOKUP(H445,'клиенты'!$A$1:$F$435,5,FALSE)</f>
        <v>44627</v>
      </c>
      <c r="O445" s="20">
        <f t="shared" si="5"/>
        <v>735</v>
      </c>
      <c r="P445" s="20" t="str">
        <f>VLOOKUP(H445,'клиенты'!$A$2:$J$435,10,FALSE)</f>
        <v>Россия</v>
      </c>
      <c r="Q445" s="54">
        <f t="shared" si="6"/>
        <v>46078.45901</v>
      </c>
      <c r="R445" s="55">
        <f t="shared" si="7"/>
        <v>48.38196706</v>
      </c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41">
        <v>445.0</v>
      </c>
      <c r="B446" s="41">
        <v>346.0</v>
      </c>
      <c r="C446" s="41">
        <v>267.0</v>
      </c>
      <c r="D446" s="41">
        <v>3.0</v>
      </c>
      <c r="E446" s="41">
        <f t="shared" si="1"/>
        <v>801</v>
      </c>
      <c r="F446" s="42">
        <v>45406.0</v>
      </c>
      <c r="G446" s="41" t="s">
        <v>54</v>
      </c>
      <c r="H446" s="41">
        <v>385.0</v>
      </c>
      <c r="I446" s="41" t="str">
        <f>VLOOKUP(B446,'товар'!$A$1:$C$433,2,FALSE)</f>
        <v>Чай</v>
      </c>
      <c r="J446" s="43">
        <f t="shared" si="2"/>
        <v>271.1818182</v>
      </c>
      <c r="K446" s="44">
        <f t="shared" si="3"/>
        <v>-0.0154207174</v>
      </c>
      <c r="L446" s="41" t="str">
        <f>VLOOKUP(B446,'товар'!$A$1:$C$433,3,FALSE)</f>
        <v>Greenfield</v>
      </c>
      <c r="M446" s="45">
        <f t="shared" si="4"/>
        <v>291.4545455</v>
      </c>
      <c r="N446" s="46">
        <f>VLOOKUP(H446,'клиенты'!$A$1:$F$435,5,FALSE)</f>
        <v>44753</v>
      </c>
      <c r="O446" s="41">
        <f t="shared" si="5"/>
        <v>653</v>
      </c>
      <c r="P446" s="41" t="str">
        <f>VLOOKUP(H446,'клиенты'!$A$2:$J$435,10,FALSE)</f>
        <v>Украина</v>
      </c>
      <c r="Q446" s="47">
        <f t="shared" si="6"/>
        <v>46078.45901</v>
      </c>
      <c r="R446" s="48">
        <f t="shared" si="7"/>
        <v>44.18196706</v>
      </c>
      <c r="S446" s="41"/>
      <c r="T446" s="41"/>
      <c r="U446" s="41"/>
      <c r="V446" s="41"/>
      <c r="W446" s="41"/>
      <c r="X446" s="41"/>
      <c r="Y446" s="41"/>
      <c r="Z446" s="41"/>
    </row>
    <row r="447" ht="14.25" customHeight="1">
      <c r="A447" s="20">
        <v>446.0</v>
      </c>
      <c r="B447" s="20">
        <v>47.0</v>
      </c>
      <c r="C447" s="20">
        <v>476.0</v>
      </c>
      <c r="D447" s="20">
        <v>4.0</v>
      </c>
      <c r="E447" s="20">
        <f t="shared" si="1"/>
        <v>1904</v>
      </c>
      <c r="F447" s="49">
        <v>45425.0</v>
      </c>
      <c r="G447" s="20" t="s">
        <v>43</v>
      </c>
      <c r="H447" s="20">
        <v>43.0</v>
      </c>
      <c r="I447" s="20" t="str">
        <f>VLOOKUP(B447,'товар'!$A$1:$C$433,2,FALSE)</f>
        <v>Мясо</v>
      </c>
      <c r="J447" s="50">
        <f t="shared" si="2"/>
        <v>271.7454545</v>
      </c>
      <c r="K447" s="51">
        <f t="shared" si="3"/>
        <v>0.7516392346</v>
      </c>
      <c r="L447" s="20" t="str">
        <f>VLOOKUP(B447,'товар'!$A$1:$C$433,3,FALSE)</f>
        <v>Снежана</v>
      </c>
      <c r="M447" s="52">
        <f t="shared" si="4"/>
        <v>272.3529412</v>
      </c>
      <c r="N447" s="53">
        <f>VLOOKUP(H447,'клиенты'!$A$1:$F$435,5,FALSE)</f>
        <v>44912</v>
      </c>
      <c r="O447" s="20">
        <f t="shared" si="5"/>
        <v>513</v>
      </c>
      <c r="P447" s="20" t="str">
        <f>VLOOKUP(H447,'клиенты'!$A$2:$J$435,10,FALSE)</f>
        <v>Россия</v>
      </c>
      <c r="Q447" s="54">
        <f t="shared" si="6"/>
        <v>46078.45901</v>
      </c>
      <c r="R447" s="55">
        <f t="shared" si="7"/>
        <v>38.88196706</v>
      </c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41">
        <v>447.0</v>
      </c>
      <c r="B448" s="41">
        <v>290.0</v>
      </c>
      <c r="C448" s="41">
        <v>97.0</v>
      </c>
      <c r="D448" s="41">
        <v>4.0</v>
      </c>
      <c r="E448" s="41">
        <f t="shared" si="1"/>
        <v>388</v>
      </c>
      <c r="F448" s="42">
        <v>45256.0</v>
      </c>
      <c r="G448" s="41" t="s">
        <v>39</v>
      </c>
      <c r="H448" s="41">
        <v>326.0</v>
      </c>
      <c r="I448" s="41" t="str">
        <f>VLOOKUP(B448,'товар'!$A$1:$C$433,2,FALSE)</f>
        <v>Сахар</v>
      </c>
      <c r="J448" s="43">
        <f t="shared" si="2"/>
        <v>252.7627119</v>
      </c>
      <c r="K448" s="44">
        <f t="shared" si="3"/>
        <v>-0.6162408637</v>
      </c>
      <c r="L448" s="41" t="str">
        <f>VLOOKUP(B448,'товар'!$A$1:$C$433,3,FALSE)</f>
        <v>Продимекс</v>
      </c>
      <c r="M448" s="45">
        <f t="shared" si="4"/>
        <v>240.5</v>
      </c>
      <c r="N448" s="46">
        <f>VLOOKUP(H448,'клиенты'!$A$1:$F$435,5,FALSE)</f>
        <v>44655</v>
      </c>
      <c r="O448" s="41">
        <f t="shared" si="5"/>
        <v>601</v>
      </c>
      <c r="P448" s="41" t="str">
        <f>VLOOKUP(H448,'клиенты'!$A$2:$J$435,10,FALSE)</f>
        <v>Россия</v>
      </c>
      <c r="Q448" s="47">
        <f t="shared" si="6"/>
        <v>46078.45901</v>
      </c>
      <c r="R448" s="48">
        <f t="shared" si="7"/>
        <v>47.44863373</v>
      </c>
      <c r="S448" s="41"/>
      <c r="T448" s="41"/>
      <c r="U448" s="41"/>
      <c r="V448" s="41"/>
      <c r="W448" s="41"/>
      <c r="X448" s="41"/>
      <c r="Y448" s="41"/>
      <c r="Z448" s="41"/>
    </row>
    <row r="449" ht="14.25" customHeight="1">
      <c r="A449" s="20">
        <v>448.0</v>
      </c>
      <c r="B449" s="20">
        <v>484.0</v>
      </c>
      <c r="C449" s="20">
        <v>114.0</v>
      </c>
      <c r="D449" s="20">
        <v>1.0</v>
      </c>
      <c r="E449" s="20">
        <f t="shared" si="1"/>
        <v>114</v>
      </c>
      <c r="F449" s="49">
        <v>45007.0</v>
      </c>
      <c r="G449" s="20" t="s">
        <v>40</v>
      </c>
      <c r="H449" s="20">
        <v>402.0</v>
      </c>
      <c r="I449" s="20" t="str">
        <f>VLOOKUP(B449,'товар'!$A$1:$C$433,2,FALSE)</f>
        <v>Печенье</v>
      </c>
      <c r="J449" s="50">
        <f t="shared" si="2"/>
        <v>283.4680851</v>
      </c>
      <c r="K449" s="51">
        <f t="shared" si="3"/>
        <v>-0.5978383247</v>
      </c>
      <c r="L449" s="20" t="str">
        <f>VLOOKUP(B449,'товар'!$A$1:$C$433,3,FALSE)</f>
        <v>КДВ</v>
      </c>
      <c r="M449" s="52">
        <f t="shared" si="4"/>
        <v>323.0769231</v>
      </c>
      <c r="N449" s="53">
        <f>VLOOKUP(H449,'клиенты'!$A$1:$F$435,5,FALSE)</f>
        <v>44742</v>
      </c>
      <c r="O449" s="20">
        <f t="shared" si="5"/>
        <v>265</v>
      </c>
      <c r="P449" s="20" t="str">
        <f>VLOOKUP(H449,'клиенты'!$A$2:$J$435,10,FALSE)</f>
        <v>Узбекистан</v>
      </c>
      <c r="Q449" s="54">
        <f t="shared" si="6"/>
        <v>46078.45901</v>
      </c>
      <c r="R449" s="55">
        <f t="shared" si="7"/>
        <v>44.54863373</v>
      </c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41">
        <v>449.0</v>
      </c>
      <c r="B450" s="41">
        <v>192.0</v>
      </c>
      <c r="C450" s="41">
        <v>147.0</v>
      </c>
      <c r="D450" s="41">
        <v>1.0</v>
      </c>
      <c r="E450" s="41">
        <f t="shared" si="1"/>
        <v>147</v>
      </c>
      <c r="F450" s="42">
        <v>44935.0</v>
      </c>
      <c r="G450" s="41" t="s">
        <v>41</v>
      </c>
      <c r="H450" s="41">
        <v>23.0</v>
      </c>
      <c r="I450" s="41" t="str">
        <f>VLOOKUP(B450,'товар'!$A$1:$C$433,2,FALSE)</f>
        <v>Мясо</v>
      </c>
      <c r="J450" s="43">
        <f t="shared" si="2"/>
        <v>271.7454545</v>
      </c>
      <c r="K450" s="44">
        <f t="shared" si="3"/>
        <v>-0.4590525893</v>
      </c>
      <c r="L450" s="41" t="str">
        <f>VLOOKUP(B450,'товар'!$A$1:$C$433,3,FALSE)</f>
        <v>Снежана</v>
      </c>
      <c r="M450" s="45">
        <f t="shared" si="4"/>
        <v>272.3529412</v>
      </c>
      <c r="N450" s="46">
        <f>VLOOKUP(H450,'клиенты'!$A$1:$F$435,5,FALSE)</f>
        <v>44706</v>
      </c>
      <c r="O450" s="41">
        <f t="shared" si="5"/>
        <v>229</v>
      </c>
      <c r="P450" s="41" t="str">
        <f>VLOOKUP(H450,'клиенты'!$A$2:$J$435,10,FALSE)</f>
        <v>Россия</v>
      </c>
      <c r="Q450" s="47">
        <f t="shared" si="6"/>
        <v>46078.45901</v>
      </c>
      <c r="R450" s="48">
        <f t="shared" si="7"/>
        <v>45.74863373</v>
      </c>
      <c r="S450" s="41"/>
      <c r="T450" s="41"/>
      <c r="U450" s="41"/>
      <c r="V450" s="41"/>
      <c r="W450" s="41"/>
      <c r="X450" s="41"/>
      <c r="Y450" s="41"/>
      <c r="Z450" s="41"/>
    </row>
    <row r="451" ht="14.25" customHeight="1">
      <c r="A451" s="20">
        <v>450.0</v>
      </c>
      <c r="B451" s="20">
        <v>187.0</v>
      </c>
      <c r="C451" s="20">
        <v>185.0</v>
      </c>
      <c r="D451" s="20">
        <v>2.0</v>
      </c>
      <c r="E451" s="20">
        <f t="shared" si="1"/>
        <v>370</v>
      </c>
      <c r="F451" s="49">
        <v>45102.0</v>
      </c>
      <c r="G451" s="20" t="s">
        <v>51</v>
      </c>
      <c r="H451" s="20">
        <v>468.0</v>
      </c>
      <c r="I451" s="20" t="str">
        <f>VLOOKUP(B451,'товар'!$A$1:$C$433,2,FALSE)</f>
        <v>Макароны</v>
      </c>
      <c r="J451" s="50">
        <f t="shared" si="2"/>
        <v>265.4767442</v>
      </c>
      <c r="K451" s="51">
        <f t="shared" si="3"/>
        <v>-0.3031404669</v>
      </c>
      <c r="L451" s="20" t="str">
        <f>VLOOKUP(B451,'товар'!$A$1:$C$433,3,FALSE)</f>
        <v>Паста Зара</v>
      </c>
      <c r="M451" s="52">
        <f t="shared" si="4"/>
        <v>276.6756757</v>
      </c>
      <c r="N451" s="53">
        <f>VLOOKUP(H451,'клиенты'!$A$1:$F$435,5,FALSE)</f>
        <v>44619</v>
      </c>
      <c r="O451" s="20">
        <f t="shared" si="5"/>
        <v>483</v>
      </c>
      <c r="P451" s="20" t="str">
        <f>VLOOKUP(H451,'клиенты'!$A$2:$J$435,10,FALSE)</f>
        <v>Узбекистан</v>
      </c>
      <c r="Q451" s="54">
        <f t="shared" si="6"/>
        <v>46078.45901</v>
      </c>
      <c r="R451" s="55">
        <f t="shared" si="7"/>
        <v>48.64863373</v>
      </c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41">
        <v>451.0</v>
      </c>
      <c r="B452" s="41">
        <v>429.0</v>
      </c>
      <c r="C452" s="41">
        <v>368.0</v>
      </c>
      <c r="D452" s="41">
        <v>2.0</v>
      </c>
      <c r="E452" s="41">
        <f t="shared" si="1"/>
        <v>736</v>
      </c>
      <c r="F452" s="42">
        <v>45008.0</v>
      </c>
      <c r="G452" s="41" t="s">
        <v>42</v>
      </c>
      <c r="H452" s="41">
        <v>16.0</v>
      </c>
      <c r="I452" s="41" t="str">
        <f>VLOOKUP(B452,'товар'!$A$1:$C$433,2,FALSE)</f>
        <v>Крупа</v>
      </c>
      <c r="J452" s="43">
        <f t="shared" si="2"/>
        <v>255.1162791</v>
      </c>
      <c r="K452" s="44">
        <f t="shared" si="3"/>
        <v>0.4424794895</v>
      </c>
      <c r="L452" s="41" t="str">
        <f>VLOOKUP(B452,'товар'!$A$1:$C$433,3,FALSE)</f>
        <v>Увелка</v>
      </c>
      <c r="M452" s="45">
        <f t="shared" si="4"/>
        <v>251.9166667</v>
      </c>
      <c r="N452" s="46">
        <f>VLOOKUP(H452,'клиенты'!$A$1:$F$435,5,FALSE)</f>
        <v>44713</v>
      </c>
      <c r="O452" s="41">
        <f t="shared" si="5"/>
        <v>295</v>
      </c>
      <c r="P452" s="41" t="str">
        <f>VLOOKUP(H452,'клиенты'!$A$2:$J$435,10,FALSE)</f>
        <v>Украина</v>
      </c>
      <c r="Q452" s="47">
        <f t="shared" si="6"/>
        <v>46078.45901</v>
      </c>
      <c r="R452" s="48">
        <f t="shared" si="7"/>
        <v>45.51530039</v>
      </c>
      <c r="S452" s="41"/>
      <c r="T452" s="41"/>
      <c r="U452" s="41"/>
      <c r="V452" s="41"/>
      <c r="W452" s="41"/>
      <c r="X452" s="41"/>
      <c r="Y452" s="41"/>
      <c r="Z452" s="41"/>
    </row>
    <row r="453" ht="14.25" customHeight="1">
      <c r="A453" s="20">
        <v>452.0</v>
      </c>
      <c r="B453" s="20">
        <v>93.0</v>
      </c>
      <c r="C453" s="20">
        <v>387.0</v>
      </c>
      <c r="D453" s="20">
        <v>2.0</v>
      </c>
      <c r="E453" s="20">
        <f t="shared" si="1"/>
        <v>774</v>
      </c>
      <c r="F453" s="49">
        <v>45219.0</v>
      </c>
      <c r="G453" s="20" t="s">
        <v>51</v>
      </c>
      <c r="H453" s="20">
        <v>156.0</v>
      </c>
      <c r="I453" s="20" t="str">
        <f>VLOOKUP(B453,'товар'!$A$1:$C$433,2,FALSE)</f>
        <v>Чай</v>
      </c>
      <c r="J453" s="50">
        <f t="shared" si="2"/>
        <v>271.1818182</v>
      </c>
      <c r="K453" s="51">
        <f t="shared" si="3"/>
        <v>0.4270868253</v>
      </c>
      <c r="L453" s="20" t="str">
        <f>VLOOKUP(B453,'товар'!$A$1:$C$433,3,FALSE)</f>
        <v>Greenfield</v>
      </c>
      <c r="M453" s="52">
        <f t="shared" si="4"/>
        <v>291.4545455</v>
      </c>
      <c r="N453" s="53">
        <f>VLOOKUP(H453,'клиенты'!$A$1:$F$435,5,FALSE)</f>
        <v>44905</v>
      </c>
      <c r="O453" s="20">
        <f t="shared" si="5"/>
        <v>314</v>
      </c>
      <c r="P453" s="20" t="str">
        <f>VLOOKUP(H453,'клиенты'!$A$2:$J$435,10,FALSE)</f>
        <v>Украина</v>
      </c>
      <c r="Q453" s="54">
        <f t="shared" si="6"/>
        <v>46078.45901</v>
      </c>
      <c r="R453" s="55">
        <f t="shared" si="7"/>
        <v>39.11530039</v>
      </c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41">
        <v>453.0</v>
      </c>
      <c r="B454" s="41">
        <v>57.0</v>
      </c>
      <c r="C454" s="41">
        <v>174.0</v>
      </c>
      <c r="D454" s="41">
        <v>2.0</v>
      </c>
      <c r="E454" s="41">
        <f t="shared" si="1"/>
        <v>348</v>
      </c>
      <c r="F454" s="42">
        <v>44973.0</v>
      </c>
      <c r="G454" s="41" t="s">
        <v>41</v>
      </c>
      <c r="H454" s="41">
        <v>141.0</v>
      </c>
      <c r="I454" s="41" t="str">
        <f>VLOOKUP(B454,'товар'!$A$1:$C$433,2,FALSE)</f>
        <v>Печенье</v>
      </c>
      <c r="J454" s="43">
        <f t="shared" si="2"/>
        <v>283.4680851</v>
      </c>
      <c r="K454" s="44">
        <f t="shared" si="3"/>
        <v>-0.3861742851</v>
      </c>
      <c r="L454" s="41" t="str">
        <f>VLOOKUP(B454,'товар'!$A$1:$C$433,3,FALSE)</f>
        <v>Юбилейное</v>
      </c>
      <c r="M454" s="45">
        <f t="shared" si="4"/>
        <v>232.4444444</v>
      </c>
      <c r="N454" s="46">
        <f>VLOOKUP(H454,'клиенты'!$A$1:$F$435,5,FALSE)</f>
        <v>44743</v>
      </c>
      <c r="O454" s="41">
        <f t="shared" si="5"/>
        <v>230</v>
      </c>
      <c r="P454" s="41" t="str">
        <f>VLOOKUP(H454,'клиенты'!$A$2:$J$435,10,FALSE)</f>
        <v>Россия</v>
      </c>
      <c r="Q454" s="47">
        <f t="shared" si="6"/>
        <v>46078.45901</v>
      </c>
      <c r="R454" s="48">
        <f t="shared" si="7"/>
        <v>44.51530039</v>
      </c>
      <c r="S454" s="41"/>
      <c r="T454" s="41"/>
      <c r="U454" s="41"/>
      <c r="V454" s="41"/>
      <c r="W454" s="41"/>
      <c r="X454" s="41"/>
      <c r="Y454" s="41"/>
      <c r="Z454" s="41"/>
    </row>
    <row r="455" ht="14.25" customHeight="1">
      <c r="A455" s="20">
        <v>454.0</v>
      </c>
      <c r="B455" s="20">
        <v>198.0</v>
      </c>
      <c r="C455" s="20">
        <v>438.0</v>
      </c>
      <c r="D455" s="20">
        <v>4.0</v>
      </c>
      <c r="E455" s="20">
        <f t="shared" si="1"/>
        <v>1752</v>
      </c>
      <c r="F455" s="49">
        <v>45312.0</v>
      </c>
      <c r="G455" s="20" t="s">
        <v>44</v>
      </c>
      <c r="H455" s="20">
        <v>385.0</v>
      </c>
      <c r="I455" s="20" t="str">
        <f>VLOOKUP(B455,'товар'!$A$1:$C$433,2,FALSE)</f>
        <v>Мясо</v>
      </c>
      <c r="J455" s="50">
        <f t="shared" si="2"/>
        <v>271.7454545</v>
      </c>
      <c r="K455" s="51">
        <f t="shared" si="3"/>
        <v>0.611802489</v>
      </c>
      <c r="L455" s="20" t="str">
        <f>VLOOKUP(B455,'товар'!$A$1:$C$433,3,FALSE)</f>
        <v>Мираторг</v>
      </c>
      <c r="M455" s="52">
        <f t="shared" si="4"/>
        <v>316.5833333</v>
      </c>
      <c r="N455" s="53">
        <f>VLOOKUP(H455,'клиенты'!$A$1:$F$435,5,FALSE)</f>
        <v>44753</v>
      </c>
      <c r="O455" s="20">
        <f t="shared" si="5"/>
        <v>559</v>
      </c>
      <c r="P455" s="20" t="str">
        <f>VLOOKUP(H455,'клиенты'!$A$2:$J$435,10,FALSE)</f>
        <v>Украина</v>
      </c>
      <c r="Q455" s="54">
        <f t="shared" si="6"/>
        <v>46078.45901</v>
      </c>
      <c r="R455" s="55">
        <f t="shared" si="7"/>
        <v>44.18196706</v>
      </c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41">
        <v>455.0</v>
      </c>
      <c r="B456" s="41">
        <v>202.0</v>
      </c>
      <c r="C456" s="41">
        <v>308.0</v>
      </c>
      <c r="D456" s="41">
        <v>2.0</v>
      </c>
      <c r="E456" s="41">
        <f t="shared" si="1"/>
        <v>616</v>
      </c>
      <c r="F456" s="42">
        <v>45410.0</v>
      </c>
      <c r="G456" s="41" t="s">
        <v>38</v>
      </c>
      <c r="H456" s="41">
        <v>182.0</v>
      </c>
      <c r="I456" s="41" t="str">
        <f>VLOOKUP(B456,'товар'!$A$1:$C$433,2,FALSE)</f>
        <v>Овощи</v>
      </c>
      <c r="J456" s="43">
        <f t="shared" si="2"/>
        <v>250.4878049</v>
      </c>
      <c r="K456" s="44">
        <f t="shared" si="3"/>
        <v>0.229600779</v>
      </c>
      <c r="L456" s="41" t="str">
        <f>VLOOKUP(B456,'товар'!$A$1:$C$433,3,FALSE)</f>
        <v>Овощной ряд</v>
      </c>
      <c r="M456" s="45">
        <f t="shared" si="4"/>
        <v>303.8235294</v>
      </c>
      <c r="N456" s="46">
        <f>VLOOKUP(H456,'клиенты'!$A$1:$F$435,5,FALSE)</f>
        <v>44856</v>
      </c>
      <c r="O456" s="41">
        <f t="shared" si="5"/>
        <v>554</v>
      </c>
      <c r="P456" s="41" t="str">
        <f>VLOOKUP(H456,'клиенты'!$A$2:$J$435,10,FALSE)</f>
        <v>Узбекистан</v>
      </c>
      <c r="Q456" s="47">
        <f t="shared" si="6"/>
        <v>46078.45901</v>
      </c>
      <c r="R456" s="48">
        <f t="shared" si="7"/>
        <v>40.74863373</v>
      </c>
      <c r="S456" s="41"/>
      <c r="T456" s="41"/>
      <c r="U456" s="41"/>
      <c r="V456" s="41"/>
      <c r="W456" s="41"/>
      <c r="X456" s="41"/>
      <c r="Y456" s="41"/>
      <c r="Z456" s="41"/>
    </row>
    <row r="457" ht="14.25" customHeight="1">
      <c r="A457" s="20">
        <v>456.0</v>
      </c>
      <c r="B457" s="20">
        <v>427.0</v>
      </c>
      <c r="C457" s="20">
        <v>240.0</v>
      </c>
      <c r="D457" s="20">
        <v>1.0</v>
      </c>
      <c r="E457" s="20">
        <f t="shared" si="1"/>
        <v>240</v>
      </c>
      <c r="F457" s="49">
        <v>45420.0</v>
      </c>
      <c r="G457" s="20" t="s">
        <v>37</v>
      </c>
      <c r="H457" s="20">
        <v>225.0</v>
      </c>
      <c r="I457" s="20" t="str">
        <f>VLOOKUP(B457,'товар'!$A$1:$C$433,2,FALSE)</f>
        <v>Хлеб</v>
      </c>
      <c r="J457" s="50">
        <f t="shared" si="2"/>
        <v>300.3181818</v>
      </c>
      <c r="K457" s="51">
        <f t="shared" si="3"/>
        <v>-0.2008475859</v>
      </c>
      <c r="L457" s="20" t="str">
        <f>VLOOKUP(B457,'товар'!$A$1:$C$433,3,FALSE)</f>
        <v>Русский Хлеб</v>
      </c>
      <c r="M457" s="52">
        <f t="shared" si="4"/>
        <v>316.6</v>
      </c>
      <c r="N457" s="53">
        <f>VLOOKUP(H457,'клиенты'!$A$1:$F$435,5,FALSE)</f>
        <v>44827</v>
      </c>
      <c r="O457" s="20">
        <f t="shared" si="5"/>
        <v>593</v>
      </c>
      <c r="P457" s="20" t="str">
        <f>VLOOKUP(H457,'клиенты'!$A$2:$J$435,10,FALSE)</f>
        <v>Беларусь</v>
      </c>
      <c r="Q457" s="54">
        <f t="shared" si="6"/>
        <v>46078.45901</v>
      </c>
      <c r="R457" s="55">
        <f t="shared" si="7"/>
        <v>41.71530039</v>
      </c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41">
        <v>457.0</v>
      </c>
      <c r="B458" s="41">
        <v>272.0</v>
      </c>
      <c r="C458" s="41">
        <v>67.0</v>
      </c>
      <c r="D458" s="41">
        <v>3.0</v>
      </c>
      <c r="E458" s="41">
        <f t="shared" si="1"/>
        <v>201</v>
      </c>
      <c r="F458" s="42">
        <v>45366.0</v>
      </c>
      <c r="G458" s="41" t="s">
        <v>43</v>
      </c>
      <c r="H458" s="41">
        <v>151.0</v>
      </c>
      <c r="I458" s="41" t="str">
        <f>VLOOKUP(B458,'товар'!$A$1:$C$433,2,FALSE)</f>
        <v>Крупа</v>
      </c>
      <c r="J458" s="43">
        <f t="shared" si="2"/>
        <v>255.1162791</v>
      </c>
      <c r="K458" s="44">
        <f t="shared" si="3"/>
        <v>-0.7373746582</v>
      </c>
      <c r="L458" s="41" t="str">
        <f>VLOOKUP(B458,'товар'!$A$1:$C$433,3,FALSE)</f>
        <v>Ярмарка</v>
      </c>
      <c r="M458" s="45">
        <f t="shared" si="4"/>
        <v>252.0909091</v>
      </c>
      <c r="N458" s="46">
        <f>VLOOKUP(H458,'клиенты'!$A$1:$F$435,5,FALSE)</f>
        <v>44923</v>
      </c>
      <c r="O458" s="41">
        <f t="shared" si="5"/>
        <v>443</v>
      </c>
      <c r="P458" s="41" t="str">
        <f>VLOOKUP(H458,'клиенты'!$A$2:$J$435,10,FALSE)</f>
        <v>Беларусь</v>
      </c>
      <c r="Q458" s="47">
        <f t="shared" si="6"/>
        <v>46078.45901</v>
      </c>
      <c r="R458" s="48">
        <f t="shared" si="7"/>
        <v>38.51530039</v>
      </c>
      <c r="S458" s="41"/>
      <c r="T458" s="41"/>
      <c r="U458" s="41"/>
      <c r="V458" s="41"/>
      <c r="W458" s="41"/>
      <c r="X458" s="41"/>
      <c r="Y458" s="41"/>
      <c r="Z458" s="41"/>
    </row>
    <row r="459" ht="14.25" customHeight="1">
      <c r="A459" s="20">
        <v>458.0</v>
      </c>
      <c r="B459" s="20">
        <v>473.0</v>
      </c>
      <c r="C459" s="20">
        <v>474.0</v>
      </c>
      <c r="D459" s="20">
        <v>2.0</v>
      </c>
      <c r="E459" s="20">
        <f t="shared" si="1"/>
        <v>948</v>
      </c>
      <c r="F459" s="49">
        <v>44976.0</v>
      </c>
      <c r="G459" s="20" t="s">
        <v>53</v>
      </c>
      <c r="H459" s="20">
        <v>428.0</v>
      </c>
      <c r="I459" s="20" t="str">
        <f>VLOOKUP(B459,'товар'!$A$1:$C$433,2,FALSE)</f>
        <v>Хлеб</v>
      </c>
      <c r="J459" s="50">
        <f t="shared" si="2"/>
        <v>300.3181818</v>
      </c>
      <c r="K459" s="51">
        <f t="shared" si="3"/>
        <v>0.5783260179</v>
      </c>
      <c r="L459" s="20" t="str">
        <f>VLOOKUP(B459,'товар'!$A$1:$C$433,3,FALSE)</f>
        <v>Хлебный Дом</v>
      </c>
      <c r="M459" s="52">
        <f t="shared" si="4"/>
        <v>281.7333333</v>
      </c>
      <c r="N459" s="53">
        <f>VLOOKUP(H459,'клиенты'!$A$1:$F$435,5,FALSE)</f>
        <v>44848</v>
      </c>
      <c r="O459" s="20">
        <f t="shared" si="5"/>
        <v>128</v>
      </c>
      <c r="P459" s="20" t="str">
        <f>VLOOKUP(H459,'клиенты'!$A$2:$J$435,10,FALSE)</f>
        <v>Беларусь</v>
      </c>
      <c r="Q459" s="54">
        <f t="shared" si="6"/>
        <v>46078.45901</v>
      </c>
      <c r="R459" s="55">
        <f t="shared" si="7"/>
        <v>41.01530039</v>
      </c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41">
        <v>459.0</v>
      </c>
      <c r="B460" s="41">
        <v>189.0</v>
      </c>
      <c r="C460" s="41">
        <v>275.0</v>
      </c>
      <c r="D460" s="41">
        <v>4.0</v>
      </c>
      <c r="E460" s="41">
        <f t="shared" si="1"/>
        <v>1100</v>
      </c>
      <c r="F460" s="42">
        <v>45176.0</v>
      </c>
      <c r="G460" s="41" t="s">
        <v>50</v>
      </c>
      <c r="H460" s="41">
        <v>438.0</v>
      </c>
      <c r="I460" s="41" t="str">
        <f>VLOOKUP(B460,'товар'!$A$1:$C$433,2,FALSE)</f>
        <v>Хлеб</v>
      </c>
      <c r="J460" s="43">
        <f t="shared" si="2"/>
        <v>300.3181818</v>
      </c>
      <c r="K460" s="44">
        <f t="shared" si="3"/>
        <v>-0.0843045255</v>
      </c>
      <c r="L460" s="41" t="str">
        <f>VLOOKUP(B460,'товар'!$A$1:$C$433,3,FALSE)</f>
        <v>Дарница</v>
      </c>
      <c r="M460" s="45">
        <f t="shared" si="4"/>
        <v>264</v>
      </c>
      <c r="N460" s="46">
        <f>VLOOKUP(H460,'клиенты'!$A$1:$F$435,5,FALSE)</f>
        <v>44693</v>
      </c>
      <c r="O460" s="41">
        <f t="shared" si="5"/>
        <v>483</v>
      </c>
      <c r="P460" s="41" t="str">
        <f>VLOOKUP(H460,'клиенты'!$A$2:$J$435,10,FALSE)</f>
        <v>Узбекистан</v>
      </c>
      <c r="Q460" s="47">
        <f t="shared" si="6"/>
        <v>46078.45901</v>
      </c>
      <c r="R460" s="48">
        <f t="shared" si="7"/>
        <v>46.18196706</v>
      </c>
      <c r="S460" s="41"/>
      <c r="T460" s="41"/>
      <c r="U460" s="41"/>
      <c r="V460" s="41"/>
      <c r="W460" s="41"/>
      <c r="X460" s="41"/>
      <c r="Y460" s="41"/>
      <c r="Z460" s="41"/>
    </row>
    <row r="461" ht="14.25" customHeight="1">
      <c r="A461" s="20">
        <v>460.0</v>
      </c>
      <c r="B461" s="20">
        <v>362.0</v>
      </c>
      <c r="C461" s="20">
        <v>358.0</v>
      </c>
      <c r="D461" s="20">
        <v>4.0</v>
      </c>
      <c r="E461" s="20">
        <f t="shared" si="1"/>
        <v>1432</v>
      </c>
      <c r="F461" s="49">
        <v>44972.0</v>
      </c>
      <c r="G461" s="20" t="s">
        <v>52</v>
      </c>
      <c r="H461" s="20">
        <v>465.0</v>
      </c>
      <c r="I461" s="20" t="str">
        <f>VLOOKUP(B461,'товар'!$A$1:$C$433,2,FALSE)</f>
        <v>Хлеб</v>
      </c>
      <c r="J461" s="50">
        <f t="shared" si="2"/>
        <v>300.3181818</v>
      </c>
      <c r="K461" s="51">
        <f t="shared" si="3"/>
        <v>0.1920690177</v>
      </c>
      <c r="L461" s="20" t="str">
        <f>VLOOKUP(B461,'товар'!$A$1:$C$433,3,FALSE)</f>
        <v>Русский Хлеб</v>
      </c>
      <c r="M461" s="52">
        <f t="shared" si="4"/>
        <v>316.6</v>
      </c>
      <c r="N461" s="53">
        <f>VLOOKUP(H461,'клиенты'!$A$1:$F$435,5,FALSE)</f>
        <v>44671</v>
      </c>
      <c r="O461" s="20">
        <f t="shared" si="5"/>
        <v>301</v>
      </c>
      <c r="P461" s="20" t="str">
        <f>VLOOKUP(H461,'клиенты'!$A$2:$J$435,10,FALSE)</f>
        <v>Узбекистан</v>
      </c>
      <c r="Q461" s="54">
        <f t="shared" si="6"/>
        <v>46078.45901</v>
      </c>
      <c r="R461" s="55">
        <f t="shared" si="7"/>
        <v>46.91530039</v>
      </c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41">
        <v>461.0</v>
      </c>
      <c r="B462" s="41">
        <v>345.0</v>
      </c>
      <c r="C462" s="41">
        <v>455.0</v>
      </c>
      <c r="D462" s="41">
        <v>5.0</v>
      </c>
      <c r="E462" s="41">
        <f t="shared" si="1"/>
        <v>2275</v>
      </c>
      <c r="F462" s="42">
        <v>45213.0</v>
      </c>
      <c r="G462" s="41" t="s">
        <v>52</v>
      </c>
      <c r="H462" s="41">
        <v>215.0</v>
      </c>
      <c r="I462" s="41" t="str">
        <f>VLOOKUP(B462,'товар'!$A$1:$C$433,2,FALSE)</f>
        <v>Конфеты</v>
      </c>
      <c r="J462" s="43">
        <f t="shared" si="2"/>
        <v>267.8548387</v>
      </c>
      <c r="K462" s="44">
        <f t="shared" si="3"/>
        <v>0.698681279</v>
      </c>
      <c r="L462" s="41" t="str">
        <f>VLOOKUP(B462,'товар'!$A$1:$C$433,3,FALSE)</f>
        <v>Рот Фронт</v>
      </c>
      <c r="M462" s="45">
        <f t="shared" si="4"/>
        <v>288.2380952</v>
      </c>
      <c r="N462" s="46">
        <f>VLOOKUP(H462,'клиенты'!$A$1:$F$435,5,FALSE)</f>
        <v>44799</v>
      </c>
      <c r="O462" s="41">
        <f t="shared" si="5"/>
        <v>414</v>
      </c>
      <c r="P462" s="41" t="str">
        <f>VLOOKUP(H462,'клиенты'!$A$2:$J$435,10,FALSE)</f>
        <v>Россия</v>
      </c>
      <c r="Q462" s="47">
        <f t="shared" si="6"/>
        <v>46078.45901</v>
      </c>
      <c r="R462" s="48">
        <f t="shared" si="7"/>
        <v>42.64863373</v>
      </c>
      <c r="S462" s="41"/>
      <c r="T462" s="41"/>
      <c r="U462" s="41"/>
      <c r="V462" s="41"/>
      <c r="W462" s="41"/>
      <c r="X462" s="41"/>
      <c r="Y462" s="41"/>
      <c r="Z462" s="41"/>
    </row>
    <row r="463" ht="14.25" customHeight="1">
      <c r="A463" s="20">
        <v>462.0</v>
      </c>
      <c r="B463" s="20">
        <v>461.0</v>
      </c>
      <c r="C463" s="20">
        <v>443.0</v>
      </c>
      <c r="D463" s="20">
        <v>3.0</v>
      </c>
      <c r="E463" s="20">
        <f t="shared" si="1"/>
        <v>1329</v>
      </c>
      <c r="F463" s="49">
        <v>45076.0</v>
      </c>
      <c r="G463" s="20" t="s">
        <v>40</v>
      </c>
      <c r="H463" s="20">
        <v>314.0</v>
      </c>
      <c r="I463" s="20" t="str">
        <f>VLOOKUP(B463,'товар'!$A$1:$C$433,2,FALSE)</f>
        <v>Фрукты</v>
      </c>
      <c r="J463" s="50">
        <f t="shared" si="2"/>
        <v>274.1627907</v>
      </c>
      <c r="K463" s="51">
        <f t="shared" si="3"/>
        <v>0.6158283145</v>
      </c>
      <c r="L463" s="20" t="str">
        <f>VLOOKUP(B463,'товар'!$A$1:$C$433,3,FALSE)</f>
        <v>Green Garden</v>
      </c>
      <c r="M463" s="52">
        <f t="shared" si="4"/>
        <v>369.2</v>
      </c>
      <c r="N463" s="53">
        <f>VLOOKUP(H463,'клиенты'!$A$1:$F$435,5,FALSE)</f>
        <v>44899</v>
      </c>
      <c r="O463" s="20">
        <f t="shared" si="5"/>
        <v>177</v>
      </c>
      <c r="P463" s="20" t="str">
        <f>VLOOKUP(H463,'клиенты'!$A$2:$J$435,10,FALSE)</f>
        <v>Россия</v>
      </c>
      <c r="Q463" s="54">
        <f t="shared" si="6"/>
        <v>46078.45901</v>
      </c>
      <c r="R463" s="55">
        <f t="shared" si="7"/>
        <v>39.31530039</v>
      </c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41">
        <v>463.0</v>
      </c>
      <c r="B464" s="41">
        <v>401.0</v>
      </c>
      <c r="C464" s="41">
        <v>464.0</v>
      </c>
      <c r="D464" s="41">
        <v>2.0</v>
      </c>
      <c r="E464" s="41">
        <f t="shared" si="1"/>
        <v>928</v>
      </c>
      <c r="F464" s="42">
        <v>45126.0</v>
      </c>
      <c r="G464" s="41" t="s">
        <v>43</v>
      </c>
      <c r="H464" s="41">
        <v>15.0</v>
      </c>
      <c r="I464" s="41" t="str">
        <f>VLOOKUP(B464,'товар'!$A$1:$C$433,2,FALSE)</f>
        <v>Чай</v>
      </c>
      <c r="J464" s="43">
        <f t="shared" si="2"/>
        <v>271.1818182</v>
      </c>
      <c r="K464" s="44">
        <f t="shared" si="3"/>
        <v>0.7110291653</v>
      </c>
      <c r="L464" s="41" t="str">
        <f>VLOOKUP(B464,'товар'!$A$1:$C$433,3,FALSE)</f>
        <v>Greenfield</v>
      </c>
      <c r="M464" s="45">
        <f t="shared" si="4"/>
        <v>291.4545455</v>
      </c>
      <c r="N464" s="46">
        <f>VLOOKUP(H464,'клиенты'!$A$1:$F$435,5,FALSE)</f>
        <v>44711</v>
      </c>
      <c r="O464" s="41">
        <f t="shared" si="5"/>
        <v>415</v>
      </c>
      <c r="P464" s="41" t="str">
        <f>VLOOKUP(H464,'клиенты'!$A$2:$J$435,10,FALSE)</f>
        <v>Украина</v>
      </c>
      <c r="Q464" s="47">
        <f t="shared" si="6"/>
        <v>46078.45901</v>
      </c>
      <c r="R464" s="48">
        <f t="shared" si="7"/>
        <v>45.58196706</v>
      </c>
      <c r="S464" s="41"/>
      <c r="T464" s="41"/>
      <c r="U464" s="41"/>
      <c r="V464" s="41"/>
      <c r="W464" s="41"/>
      <c r="X464" s="41"/>
      <c r="Y464" s="41"/>
      <c r="Z464" s="41"/>
    </row>
    <row r="465" ht="14.25" customHeight="1">
      <c r="A465" s="20">
        <v>464.0</v>
      </c>
      <c r="B465" s="20">
        <v>427.0</v>
      </c>
      <c r="C465" s="20">
        <v>307.0</v>
      </c>
      <c r="D465" s="20">
        <v>5.0</v>
      </c>
      <c r="E465" s="20">
        <f t="shared" si="1"/>
        <v>1535</v>
      </c>
      <c r="F465" s="49">
        <v>45102.0</v>
      </c>
      <c r="G465" s="20" t="s">
        <v>49</v>
      </c>
      <c r="H465" s="20">
        <v>191.0</v>
      </c>
      <c r="I465" s="20" t="str">
        <f>VLOOKUP(B465,'товар'!$A$1:$C$433,2,FALSE)</f>
        <v>Хлеб</v>
      </c>
      <c r="J465" s="50">
        <f t="shared" si="2"/>
        <v>300.3181818</v>
      </c>
      <c r="K465" s="51">
        <f t="shared" si="3"/>
        <v>0.02224912971</v>
      </c>
      <c r="L465" s="20" t="str">
        <f>VLOOKUP(B465,'товар'!$A$1:$C$433,3,FALSE)</f>
        <v>Русский Хлеб</v>
      </c>
      <c r="M465" s="52">
        <f t="shared" si="4"/>
        <v>316.6</v>
      </c>
      <c r="N465" s="53">
        <f>VLOOKUP(H465,'клиенты'!$A$1:$F$435,5,FALSE)</f>
        <v>44866</v>
      </c>
      <c r="O465" s="20">
        <f t="shared" si="5"/>
        <v>236</v>
      </c>
      <c r="P465" s="20" t="str">
        <f>VLOOKUP(H465,'клиенты'!$A$2:$J$435,10,FALSE)</f>
        <v>Украина</v>
      </c>
      <c r="Q465" s="54">
        <f t="shared" si="6"/>
        <v>46078.45901</v>
      </c>
      <c r="R465" s="55">
        <f t="shared" si="7"/>
        <v>40.41530039</v>
      </c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41">
        <v>465.0</v>
      </c>
      <c r="B466" s="41">
        <v>129.0</v>
      </c>
      <c r="C466" s="41">
        <v>121.0</v>
      </c>
      <c r="D466" s="41">
        <v>5.0</v>
      </c>
      <c r="E466" s="41">
        <f t="shared" si="1"/>
        <v>605</v>
      </c>
      <c r="F466" s="42">
        <v>45156.0</v>
      </c>
      <c r="G466" s="41" t="s">
        <v>49</v>
      </c>
      <c r="H466" s="41">
        <v>277.0</v>
      </c>
      <c r="I466" s="41" t="str">
        <f>VLOOKUP(B466,'товар'!$A$1:$C$433,2,FALSE)</f>
        <v>Мясо</v>
      </c>
      <c r="J466" s="43">
        <f t="shared" si="2"/>
        <v>271.7454545</v>
      </c>
      <c r="K466" s="44">
        <f t="shared" si="3"/>
        <v>-0.5547303626</v>
      </c>
      <c r="L466" s="41" t="str">
        <f>VLOOKUP(B466,'товар'!$A$1:$C$433,3,FALSE)</f>
        <v>Агрокомплекс</v>
      </c>
      <c r="M466" s="45">
        <f t="shared" si="4"/>
        <v>311.2</v>
      </c>
      <c r="N466" s="46">
        <f>VLOOKUP(H466,'клиенты'!$A$1:$F$435,5,FALSE)</f>
        <v>44750</v>
      </c>
      <c r="O466" s="41">
        <f t="shared" si="5"/>
        <v>406</v>
      </c>
      <c r="P466" s="41" t="str">
        <f>VLOOKUP(H466,'клиенты'!$A$2:$J$435,10,FALSE)</f>
        <v>Россия</v>
      </c>
      <c r="Q466" s="47">
        <f t="shared" si="6"/>
        <v>46078.45901</v>
      </c>
      <c r="R466" s="48">
        <f t="shared" si="7"/>
        <v>44.28196706</v>
      </c>
      <c r="S466" s="41"/>
      <c r="T466" s="41"/>
      <c r="U466" s="41"/>
      <c r="V466" s="41"/>
      <c r="W466" s="41"/>
      <c r="X466" s="41"/>
      <c r="Y466" s="41"/>
      <c r="Z466" s="41"/>
    </row>
    <row r="467" ht="14.25" customHeight="1">
      <c r="A467" s="20">
        <v>466.0</v>
      </c>
      <c r="B467" s="20">
        <v>84.0</v>
      </c>
      <c r="C467" s="20">
        <v>265.0</v>
      </c>
      <c r="D467" s="20">
        <v>2.0</v>
      </c>
      <c r="E467" s="20">
        <f t="shared" si="1"/>
        <v>530</v>
      </c>
      <c r="F467" s="49">
        <v>45067.0</v>
      </c>
      <c r="G467" s="20" t="s">
        <v>45</v>
      </c>
      <c r="H467" s="20">
        <v>101.0</v>
      </c>
      <c r="I467" s="20" t="str">
        <f>VLOOKUP(B467,'товар'!$A$1:$C$433,2,FALSE)</f>
        <v>Кофе</v>
      </c>
      <c r="J467" s="50">
        <f t="shared" si="2"/>
        <v>249.0238095</v>
      </c>
      <c r="K467" s="51">
        <f t="shared" si="3"/>
        <v>0.06415527297</v>
      </c>
      <c r="L467" s="20" t="str">
        <f>VLOOKUP(B467,'товар'!$A$1:$C$433,3,FALSE)</f>
        <v>Tchibo</v>
      </c>
      <c r="M467" s="52">
        <f t="shared" si="4"/>
        <v>140</v>
      </c>
      <c r="N467" s="53">
        <f>VLOOKUP(H467,'клиенты'!$A$1:$F$435,5,FALSE)</f>
        <v>44727</v>
      </c>
      <c r="O467" s="20">
        <f t="shared" si="5"/>
        <v>340</v>
      </c>
      <c r="P467" s="20" t="str">
        <f>VLOOKUP(H467,'клиенты'!$A$2:$J$435,10,FALSE)</f>
        <v>Россия</v>
      </c>
      <c r="Q467" s="54">
        <f t="shared" si="6"/>
        <v>46078.45901</v>
      </c>
      <c r="R467" s="55">
        <f t="shared" si="7"/>
        <v>45.04863373</v>
      </c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41">
        <v>467.0</v>
      </c>
      <c r="B468" s="41">
        <v>172.0</v>
      </c>
      <c r="C468" s="41">
        <v>451.0</v>
      </c>
      <c r="D468" s="41">
        <v>2.0</v>
      </c>
      <c r="E468" s="41">
        <f t="shared" si="1"/>
        <v>902</v>
      </c>
      <c r="F468" s="42">
        <v>45217.0</v>
      </c>
      <c r="G468" s="41" t="s">
        <v>47</v>
      </c>
      <c r="H468" s="41">
        <v>141.0</v>
      </c>
      <c r="I468" s="41" t="str">
        <f>VLOOKUP(B468,'товар'!$A$1:$C$433,2,FALSE)</f>
        <v>Фрукты</v>
      </c>
      <c r="J468" s="43">
        <f t="shared" si="2"/>
        <v>274.1627907</v>
      </c>
      <c r="K468" s="44">
        <f t="shared" si="3"/>
        <v>0.6450080584</v>
      </c>
      <c r="L468" s="41" t="str">
        <f>VLOOKUP(B468,'товар'!$A$1:$C$433,3,FALSE)</f>
        <v>Green Garden</v>
      </c>
      <c r="M468" s="45">
        <f t="shared" si="4"/>
        <v>369.2</v>
      </c>
      <c r="N468" s="46">
        <f>VLOOKUP(H468,'клиенты'!$A$1:$F$435,5,FALSE)</f>
        <v>44743</v>
      </c>
      <c r="O468" s="41">
        <f t="shared" si="5"/>
        <v>474</v>
      </c>
      <c r="P468" s="41" t="str">
        <f>VLOOKUP(H468,'клиенты'!$A$2:$J$435,10,FALSE)</f>
        <v>Россия</v>
      </c>
      <c r="Q468" s="47">
        <f t="shared" si="6"/>
        <v>46078.45901</v>
      </c>
      <c r="R468" s="48">
        <f t="shared" si="7"/>
        <v>44.51530039</v>
      </c>
      <c r="S468" s="41"/>
      <c r="T468" s="41"/>
      <c r="U468" s="41"/>
      <c r="V468" s="41"/>
      <c r="W468" s="41"/>
      <c r="X468" s="41"/>
      <c r="Y468" s="41"/>
      <c r="Z468" s="41"/>
    </row>
    <row r="469" ht="14.25" customHeight="1">
      <c r="A469" s="20">
        <v>468.0</v>
      </c>
      <c r="B469" s="20">
        <v>348.0</v>
      </c>
      <c r="C469" s="20">
        <v>212.0</v>
      </c>
      <c r="D469" s="20">
        <v>5.0</v>
      </c>
      <c r="E469" s="20">
        <f t="shared" si="1"/>
        <v>1060</v>
      </c>
      <c r="F469" s="49">
        <v>45231.0</v>
      </c>
      <c r="G469" s="20" t="s">
        <v>52</v>
      </c>
      <c r="H469" s="20">
        <v>126.0</v>
      </c>
      <c r="I469" s="20" t="str">
        <f>VLOOKUP(B469,'товар'!$A$1:$C$433,2,FALSE)</f>
        <v>Чипсы</v>
      </c>
      <c r="J469" s="50">
        <f t="shared" si="2"/>
        <v>273.7254902</v>
      </c>
      <c r="K469" s="51">
        <f t="shared" si="3"/>
        <v>-0.2255014327</v>
      </c>
      <c r="L469" s="20" t="str">
        <f>VLOOKUP(B469,'товар'!$A$1:$C$433,3,FALSE)</f>
        <v>Estrella</v>
      </c>
      <c r="M469" s="52">
        <f t="shared" si="4"/>
        <v>266.2727273</v>
      </c>
      <c r="N469" s="53">
        <f>VLOOKUP(H469,'клиенты'!$A$1:$F$435,5,FALSE)</f>
        <v>44822</v>
      </c>
      <c r="O469" s="20">
        <f t="shared" si="5"/>
        <v>409</v>
      </c>
      <c r="P469" s="20" t="str">
        <f>VLOOKUP(H469,'клиенты'!$A$2:$J$435,10,FALSE)</f>
        <v>Узбекистан</v>
      </c>
      <c r="Q469" s="54">
        <f t="shared" si="6"/>
        <v>46078.45901</v>
      </c>
      <c r="R469" s="55">
        <f t="shared" si="7"/>
        <v>41.88196706</v>
      </c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41">
        <v>469.0</v>
      </c>
      <c r="B470" s="41">
        <v>171.0</v>
      </c>
      <c r="C470" s="41">
        <v>336.0</v>
      </c>
      <c r="D470" s="41">
        <v>4.0</v>
      </c>
      <c r="E470" s="41">
        <f t="shared" si="1"/>
        <v>1344</v>
      </c>
      <c r="F470" s="42">
        <v>45021.0</v>
      </c>
      <c r="G470" s="41" t="s">
        <v>41</v>
      </c>
      <c r="H470" s="41">
        <v>148.0</v>
      </c>
      <c r="I470" s="41" t="str">
        <f>VLOOKUP(B470,'товар'!$A$1:$C$433,2,FALSE)</f>
        <v>Чай</v>
      </c>
      <c r="J470" s="43">
        <f t="shared" si="2"/>
        <v>271.1818182</v>
      </c>
      <c r="K470" s="44">
        <f t="shared" si="3"/>
        <v>0.2390211197</v>
      </c>
      <c r="L470" s="41" t="str">
        <f>VLOOKUP(B470,'товар'!$A$1:$C$433,3,FALSE)</f>
        <v>Greenfield</v>
      </c>
      <c r="M470" s="45">
        <f t="shared" si="4"/>
        <v>291.4545455</v>
      </c>
      <c r="N470" s="46">
        <f>VLOOKUP(H470,'клиенты'!$A$1:$F$435,5,FALSE)</f>
        <v>44700</v>
      </c>
      <c r="O470" s="41">
        <f t="shared" si="5"/>
        <v>321</v>
      </c>
      <c r="P470" s="41" t="str">
        <f>VLOOKUP(H470,'клиенты'!$A$2:$J$435,10,FALSE)</f>
        <v>Россия</v>
      </c>
      <c r="Q470" s="47">
        <f t="shared" si="6"/>
        <v>46078.45901</v>
      </c>
      <c r="R470" s="48">
        <f t="shared" si="7"/>
        <v>45.94863373</v>
      </c>
      <c r="S470" s="41"/>
      <c r="T470" s="41"/>
      <c r="U470" s="41"/>
      <c r="V470" s="41"/>
      <c r="W470" s="41"/>
      <c r="X470" s="41"/>
      <c r="Y470" s="41"/>
      <c r="Z470" s="41"/>
    </row>
    <row r="471" ht="14.25" customHeight="1">
      <c r="A471" s="20">
        <v>470.0</v>
      </c>
      <c r="B471" s="20">
        <v>70.0</v>
      </c>
      <c r="C471" s="20">
        <v>407.0</v>
      </c>
      <c r="D471" s="20">
        <v>2.0</v>
      </c>
      <c r="E471" s="20">
        <f t="shared" si="1"/>
        <v>814</v>
      </c>
      <c r="F471" s="49">
        <v>45197.0</v>
      </c>
      <c r="G471" s="20" t="s">
        <v>42</v>
      </c>
      <c r="H471" s="20">
        <v>334.0</v>
      </c>
      <c r="I471" s="20" t="str">
        <f>VLOOKUP(B471,'товар'!$A$1:$C$433,2,FALSE)</f>
        <v>Рис</v>
      </c>
      <c r="J471" s="50">
        <f t="shared" si="2"/>
        <v>258.375</v>
      </c>
      <c r="K471" s="51">
        <f t="shared" si="3"/>
        <v>0.5752298016</v>
      </c>
      <c r="L471" s="20" t="str">
        <f>VLOOKUP(B471,'товар'!$A$1:$C$433,3,FALSE)</f>
        <v>Мистраль</v>
      </c>
      <c r="M471" s="52">
        <f t="shared" si="4"/>
        <v>181.5714286</v>
      </c>
      <c r="N471" s="53">
        <f>VLOOKUP(H471,'клиенты'!$A$1:$F$435,5,FALSE)</f>
        <v>44881</v>
      </c>
      <c r="O471" s="20">
        <f t="shared" si="5"/>
        <v>316</v>
      </c>
      <c r="P471" s="20" t="str">
        <f>VLOOKUP(H471,'клиенты'!$A$2:$J$435,10,FALSE)</f>
        <v>Украина</v>
      </c>
      <c r="Q471" s="54">
        <f t="shared" si="6"/>
        <v>46078.45901</v>
      </c>
      <c r="R471" s="55">
        <f t="shared" si="7"/>
        <v>39.91530039</v>
      </c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41">
        <v>471.0</v>
      </c>
      <c r="B472" s="41">
        <v>476.0</v>
      </c>
      <c r="C472" s="41">
        <v>109.0</v>
      </c>
      <c r="D472" s="41">
        <v>4.0</v>
      </c>
      <c r="E472" s="41">
        <f t="shared" si="1"/>
        <v>436</v>
      </c>
      <c r="F472" s="42">
        <v>45087.0</v>
      </c>
      <c r="G472" s="41" t="s">
        <v>42</v>
      </c>
      <c r="H472" s="41">
        <v>335.0</v>
      </c>
      <c r="I472" s="41" t="str">
        <f>VLOOKUP(B472,'товар'!$A$1:$C$433,2,FALSE)</f>
        <v>Рыба</v>
      </c>
      <c r="J472" s="43">
        <f t="shared" si="2"/>
        <v>258.5128205</v>
      </c>
      <c r="K472" s="44">
        <f t="shared" si="3"/>
        <v>-0.5783574688</v>
      </c>
      <c r="L472" s="41" t="str">
        <f>VLOOKUP(B472,'товар'!$A$1:$C$433,3,FALSE)</f>
        <v>Балтийский берег</v>
      </c>
      <c r="M472" s="45">
        <f t="shared" si="4"/>
        <v>289.8888889</v>
      </c>
      <c r="N472" s="46">
        <f>VLOOKUP(H472,'клиенты'!$A$1:$F$435,5,FALSE)</f>
        <v>44619</v>
      </c>
      <c r="O472" s="41">
        <f t="shared" si="5"/>
        <v>468</v>
      </c>
      <c r="P472" s="41" t="str">
        <f>VLOOKUP(H472,'клиенты'!$A$2:$J$435,10,FALSE)</f>
        <v>Узбекистан</v>
      </c>
      <c r="Q472" s="47">
        <f t="shared" si="6"/>
        <v>46078.45901</v>
      </c>
      <c r="R472" s="48">
        <f t="shared" si="7"/>
        <v>48.64863373</v>
      </c>
      <c r="S472" s="41"/>
      <c r="T472" s="41"/>
      <c r="U472" s="41"/>
      <c r="V472" s="41"/>
      <c r="W472" s="41"/>
      <c r="X472" s="41"/>
      <c r="Y472" s="41"/>
      <c r="Z472" s="41"/>
    </row>
    <row r="473" ht="14.25" customHeight="1">
      <c r="A473" s="20">
        <v>472.0</v>
      </c>
      <c r="B473" s="20">
        <v>49.0</v>
      </c>
      <c r="C473" s="20">
        <v>412.0</v>
      </c>
      <c r="D473" s="20">
        <v>3.0</v>
      </c>
      <c r="E473" s="20">
        <f t="shared" si="1"/>
        <v>1236</v>
      </c>
      <c r="F473" s="49">
        <v>45165.0</v>
      </c>
      <c r="G473" s="20" t="s">
        <v>51</v>
      </c>
      <c r="H473" s="20">
        <v>370.0</v>
      </c>
      <c r="I473" s="20" t="str">
        <f>VLOOKUP(B473,'товар'!$A$1:$C$433,2,FALSE)</f>
        <v>Рис</v>
      </c>
      <c r="J473" s="50">
        <f t="shared" si="2"/>
        <v>258.375</v>
      </c>
      <c r="K473" s="51">
        <f t="shared" si="3"/>
        <v>0.5945815191</v>
      </c>
      <c r="L473" s="20" t="str">
        <f>VLOOKUP(B473,'товар'!$A$1:$C$433,3,FALSE)</f>
        <v>Агро-Альянс</v>
      </c>
      <c r="M473" s="52">
        <f t="shared" si="4"/>
        <v>317.8571429</v>
      </c>
      <c r="N473" s="53">
        <f>VLOOKUP(H473,'клиенты'!$A$1:$F$435,5,FALSE)</f>
        <v>44726</v>
      </c>
      <c r="O473" s="20">
        <f t="shared" si="5"/>
        <v>439</v>
      </c>
      <c r="P473" s="20" t="str">
        <f>VLOOKUP(H473,'клиенты'!$A$2:$J$435,10,FALSE)</f>
        <v>Таджикистан</v>
      </c>
      <c r="Q473" s="54">
        <f t="shared" si="6"/>
        <v>46078.45901</v>
      </c>
      <c r="R473" s="55">
        <f t="shared" si="7"/>
        <v>45.08196706</v>
      </c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41">
        <v>473.0</v>
      </c>
      <c r="B474" s="41">
        <v>7.0</v>
      </c>
      <c r="C474" s="41">
        <v>254.0</v>
      </c>
      <c r="D474" s="41">
        <v>2.0</v>
      </c>
      <c r="E474" s="41">
        <f t="shared" si="1"/>
        <v>508</v>
      </c>
      <c r="F474" s="42">
        <v>45271.0</v>
      </c>
      <c r="G474" s="41" t="s">
        <v>43</v>
      </c>
      <c r="H474" s="41">
        <v>76.0</v>
      </c>
      <c r="I474" s="41" t="str">
        <f>VLOOKUP(B474,'товар'!$A$1:$C$433,2,FALSE)</f>
        <v>Сыр</v>
      </c>
      <c r="J474" s="43">
        <f t="shared" si="2"/>
        <v>262.6349206</v>
      </c>
      <c r="K474" s="44">
        <f t="shared" si="3"/>
        <v>-0.03287803699</v>
      </c>
      <c r="L474" s="41" t="str">
        <f>VLOOKUP(B474,'товар'!$A$1:$C$433,3,FALSE)</f>
        <v>President</v>
      </c>
      <c r="M474" s="45">
        <f t="shared" si="4"/>
        <v>238.7222222</v>
      </c>
      <c r="N474" s="46">
        <f>VLOOKUP(H474,'клиенты'!$A$1:$F$435,5,FALSE)</f>
        <v>44575</v>
      </c>
      <c r="O474" s="41">
        <f t="shared" si="5"/>
        <v>696</v>
      </c>
      <c r="P474" s="41" t="str">
        <f>VLOOKUP(H474,'клиенты'!$A$2:$J$435,10,FALSE)</f>
        <v>Беларусь</v>
      </c>
      <c r="Q474" s="47">
        <f t="shared" si="6"/>
        <v>46078.45901</v>
      </c>
      <c r="R474" s="48">
        <f t="shared" si="7"/>
        <v>50.11530039</v>
      </c>
      <c r="S474" s="41"/>
      <c r="T474" s="41"/>
      <c r="U474" s="41"/>
      <c r="V474" s="41"/>
      <c r="W474" s="41"/>
      <c r="X474" s="41"/>
      <c r="Y474" s="41"/>
      <c r="Z474" s="41"/>
    </row>
    <row r="475" ht="14.25" customHeight="1">
      <c r="A475" s="20">
        <v>474.0</v>
      </c>
      <c r="B475" s="20">
        <v>180.0</v>
      </c>
      <c r="C475" s="20">
        <v>338.0</v>
      </c>
      <c r="D475" s="20">
        <v>3.0</v>
      </c>
      <c r="E475" s="20">
        <f t="shared" si="1"/>
        <v>1014</v>
      </c>
      <c r="F475" s="49">
        <v>45158.0</v>
      </c>
      <c r="G475" s="20" t="s">
        <v>38</v>
      </c>
      <c r="H475" s="20">
        <v>25.0</v>
      </c>
      <c r="I475" s="20" t="str">
        <f>VLOOKUP(B475,'товар'!$A$1:$C$433,2,FALSE)</f>
        <v>Чипсы</v>
      </c>
      <c r="J475" s="50">
        <f t="shared" si="2"/>
        <v>273.7254902</v>
      </c>
      <c r="K475" s="51">
        <f t="shared" si="3"/>
        <v>0.2348137536</v>
      </c>
      <c r="L475" s="20" t="str">
        <f>VLOOKUP(B475,'товар'!$A$1:$C$433,3,FALSE)</f>
        <v>Русская картошка</v>
      </c>
      <c r="M475" s="52">
        <f t="shared" si="4"/>
        <v>241.8333333</v>
      </c>
      <c r="N475" s="53">
        <f>VLOOKUP(H475,'клиенты'!$A$1:$F$435,5,FALSE)</f>
        <v>44582</v>
      </c>
      <c r="O475" s="20">
        <f t="shared" si="5"/>
        <v>576</v>
      </c>
      <c r="P475" s="20" t="str">
        <f>VLOOKUP(H475,'клиенты'!$A$2:$J$435,10,FALSE)</f>
        <v>Таджикистан</v>
      </c>
      <c r="Q475" s="54">
        <f t="shared" si="6"/>
        <v>46078.45901</v>
      </c>
      <c r="R475" s="55">
        <f t="shared" si="7"/>
        <v>49.88196706</v>
      </c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41">
        <v>475.0</v>
      </c>
      <c r="B476" s="41">
        <v>194.0</v>
      </c>
      <c r="C476" s="41">
        <v>268.0</v>
      </c>
      <c r="D476" s="41">
        <v>5.0</v>
      </c>
      <c r="E476" s="41">
        <f t="shared" si="1"/>
        <v>1340</v>
      </c>
      <c r="F476" s="42">
        <v>45408.0</v>
      </c>
      <c r="G476" s="41" t="s">
        <v>49</v>
      </c>
      <c r="H476" s="41">
        <v>80.0</v>
      </c>
      <c r="I476" s="41" t="str">
        <f>VLOOKUP(B476,'товар'!$A$1:$C$433,2,FALSE)</f>
        <v>Соль</v>
      </c>
      <c r="J476" s="43">
        <f t="shared" si="2"/>
        <v>264.8679245</v>
      </c>
      <c r="K476" s="44">
        <f t="shared" si="3"/>
        <v>0.0118250463</v>
      </c>
      <c r="L476" s="41" t="str">
        <f>VLOOKUP(B476,'товар'!$A$1:$C$433,3,FALSE)</f>
        <v>Салта</v>
      </c>
      <c r="M476" s="45">
        <f t="shared" si="4"/>
        <v>273.7</v>
      </c>
      <c r="N476" s="46">
        <f>VLOOKUP(H476,'клиенты'!$A$1:$F$435,5,FALSE)</f>
        <v>44623</v>
      </c>
      <c r="O476" s="41">
        <f t="shared" si="5"/>
        <v>785</v>
      </c>
      <c r="P476" s="41" t="str">
        <f>VLOOKUP(H476,'клиенты'!$A$2:$J$435,10,FALSE)</f>
        <v>Беларусь</v>
      </c>
      <c r="Q476" s="47">
        <f t="shared" si="6"/>
        <v>46078.45901</v>
      </c>
      <c r="R476" s="48">
        <f t="shared" si="7"/>
        <v>48.51530039</v>
      </c>
      <c r="S476" s="41"/>
      <c r="T476" s="41"/>
      <c r="U476" s="41"/>
      <c r="V476" s="41"/>
      <c r="W476" s="41"/>
      <c r="X476" s="41"/>
      <c r="Y476" s="41"/>
      <c r="Z476" s="41"/>
    </row>
    <row r="477" ht="14.25" customHeight="1">
      <c r="A477" s="20">
        <v>476.0</v>
      </c>
      <c r="B477" s="20">
        <v>312.0</v>
      </c>
      <c r="C477" s="20">
        <v>223.0</v>
      </c>
      <c r="D477" s="20">
        <v>2.0</v>
      </c>
      <c r="E477" s="20">
        <f t="shared" si="1"/>
        <v>446</v>
      </c>
      <c r="F477" s="49">
        <v>44991.0</v>
      </c>
      <c r="G477" s="20" t="s">
        <v>53</v>
      </c>
      <c r="H477" s="20">
        <v>276.0</v>
      </c>
      <c r="I477" s="20" t="str">
        <f>VLOOKUP(B477,'товар'!$A$1:$C$433,2,FALSE)</f>
        <v>Хлеб</v>
      </c>
      <c r="J477" s="50">
        <f t="shared" si="2"/>
        <v>300.3181818</v>
      </c>
      <c r="K477" s="51">
        <f t="shared" si="3"/>
        <v>-0.2574542152</v>
      </c>
      <c r="L477" s="20" t="str">
        <f>VLOOKUP(B477,'товар'!$A$1:$C$433,3,FALSE)</f>
        <v>Каравай</v>
      </c>
      <c r="M477" s="52">
        <f t="shared" si="4"/>
        <v>331.1666667</v>
      </c>
      <c r="N477" s="53">
        <f>VLOOKUP(H477,'клиенты'!$A$1:$F$435,5,FALSE)</f>
        <v>44632</v>
      </c>
      <c r="O477" s="20">
        <f t="shared" si="5"/>
        <v>359</v>
      </c>
      <c r="P477" s="20" t="str">
        <f>VLOOKUP(H477,'клиенты'!$A$2:$J$435,10,FALSE)</f>
        <v>Таджикистан</v>
      </c>
      <c r="Q477" s="54">
        <f t="shared" si="6"/>
        <v>46078.45901</v>
      </c>
      <c r="R477" s="55">
        <f t="shared" si="7"/>
        <v>48.21530039</v>
      </c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41">
        <v>477.0</v>
      </c>
      <c r="B478" s="41">
        <v>235.0</v>
      </c>
      <c r="C478" s="41">
        <v>455.0</v>
      </c>
      <c r="D478" s="41">
        <v>5.0</v>
      </c>
      <c r="E478" s="41">
        <f t="shared" si="1"/>
        <v>2275</v>
      </c>
      <c r="F478" s="42">
        <v>45038.0</v>
      </c>
      <c r="G478" s="41" t="s">
        <v>36</v>
      </c>
      <c r="H478" s="41">
        <v>71.0</v>
      </c>
      <c r="I478" s="41" t="str">
        <f>VLOOKUP(B478,'товар'!$A$1:$C$433,2,FALSE)</f>
        <v>Хлеб</v>
      </c>
      <c r="J478" s="43">
        <f t="shared" si="2"/>
        <v>300.3181818</v>
      </c>
      <c r="K478" s="44">
        <f t="shared" si="3"/>
        <v>0.5150597851</v>
      </c>
      <c r="L478" s="41" t="str">
        <f>VLOOKUP(B478,'товар'!$A$1:$C$433,3,FALSE)</f>
        <v>Русский Хлеб</v>
      </c>
      <c r="M478" s="45">
        <f t="shared" si="4"/>
        <v>316.6</v>
      </c>
      <c r="N478" s="46">
        <f>VLOOKUP(H478,'клиенты'!$A$1:$F$435,5,FALSE)</f>
        <v>44762</v>
      </c>
      <c r="O478" s="41">
        <f t="shared" si="5"/>
        <v>276</v>
      </c>
      <c r="P478" s="41" t="str">
        <f>VLOOKUP(H478,'клиенты'!$A$2:$J$435,10,FALSE)</f>
        <v>Украина</v>
      </c>
      <c r="Q478" s="47">
        <f t="shared" si="6"/>
        <v>46078.45901</v>
      </c>
      <c r="R478" s="48">
        <f t="shared" si="7"/>
        <v>43.88196706</v>
      </c>
      <c r="S478" s="41"/>
      <c r="T478" s="41"/>
      <c r="U478" s="41"/>
      <c r="V478" s="41"/>
      <c r="W478" s="41"/>
      <c r="X478" s="41"/>
      <c r="Y478" s="41"/>
      <c r="Z478" s="41"/>
    </row>
    <row r="479" ht="14.25" customHeight="1">
      <c r="A479" s="20">
        <v>478.0</v>
      </c>
      <c r="B479" s="20">
        <v>399.0</v>
      </c>
      <c r="C479" s="20">
        <v>379.0</v>
      </c>
      <c r="D479" s="20">
        <v>1.0</v>
      </c>
      <c r="E479" s="20">
        <f t="shared" si="1"/>
        <v>379</v>
      </c>
      <c r="F479" s="49">
        <v>45188.0</v>
      </c>
      <c r="G479" s="20" t="s">
        <v>35</v>
      </c>
      <c r="H479" s="20">
        <v>12.0</v>
      </c>
      <c r="I479" s="20" t="str">
        <f>VLOOKUP(B479,'товар'!$A$1:$C$433,2,FALSE)</f>
        <v>Хлеб</v>
      </c>
      <c r="J479" s="50">
        <f t="shared" si="2"/>
        <v>300.3181818</v>
      </c>
      <c r="K479" s="51">
        <f t="shared" si="3"/>
        <v>0.2619948539</v>
      </c>
      <c r="L479" s="20" t="str">
        <f>VLOOKUP(B479,'товар'!$A$1:$C$433,3,FALSE)</f>
        <v>Хлебный Дом</v>
      </c>
      <c r="M479" s="52">
        <f t="shared" si="4"/>
        <v>281.7333333</v>
      </c>
      <c r="N479" s="53">
        <f>VLOOKUP(H479,'клиенты'!$A$1:$F$435,5,FALSE)</f>
        <v>44842</v>
      </c>
      <c r="O479" s="20">
        <f t="shared" si="5"/>
        <v>346</v>
      </c>
      <c r="P479" s="20" t="str">
        <f>VLOOKUP(H479,'клиенты'!$A$2:$J$435,10,FALSE)</f>
        <v>Беларусь</v>
      </c>
      <c r="Q479" s="54">
        <f t="shared" si="6"/>
        <v>46078.45901</v>
      </c>
      <c r="R479" s="55">
        <f t="shared" si="7"/>
        <v>41.21530039</v>
      </c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41">
        <v>479.0</v>
      </c>
      <c r="B480" s="41">
        <v>494.0</v>
      </c>
      <c r="C480" s="41">
        <v>216.0</v>
      </c>
      <c r="D480" s="41">
        <v>3.0</v>
      </c>
      <c r="E480" s="41">
        <f t="shared" si="1"/>
        <v>648</v>
      </c>
      <c r="F480" s="42">
        <v>45009.0</v>
      </c>
      <c r="G480" s="41" t="s">
        <v>36</v>
      </c>
      <c r="H480" s="41">
        <v>9.0</v>
      </c>
      <c r="I480" s="41" t="str">
        <f>VLOOKUP(B480,'товар'!$A$1:$C$433,2,FALSE)</f>
        <v>Сыр</v>
      </c>
      <c r="J480" s="43">
        <f t="shared" si="2"/>
        <v>262.6349206</v>
      </c>
      <c r="K480" s="44">
        <f t="shared" si="3"/>
        <v>-0.1775655748</v>
      </c>
      <c r="L480" s="41" t="str">
        <f>VLOOKUP(B480,'товар'!$A$1:$C$433,3,FALSE)</f>
        <v>Сырная долина</v>
      </c>
      <c r="M480" s="45">
        <f t="shared" si="4"/>
        <v>271</v>
      </c>
      <c r="N480" s="46">
        <f>VLOOKUP(H480,'клиенты'!$A$1:$F$435,5,FALSE)</f>
        <v>44900</v>
      </c>
      <c r="O480" s="41">
        <f t="shared" si="5"/>
        <v>109</v>
      </c>
      <c r="P480" s="41" t="str">
        <f>VLOOKUP(H480,'клиенты'!$A$2:$J$435,10,FALSE)</f>
        <v>Таджикистан</v>
      </c>
      <c r="Q480" s="47">
        <f t="shared" si="6"/>
        <v>46078.45901</v>
      </c>
      <c r="R480" s="48">
        <f t="shared" si="7"/>
        <v>39.28196706</v>
      </c>
      <c r="S480" s="41"/>
      <c r="T480" s="41"/>
      <c r="U480" s="41"/>
      <c r="V480" s="41"/>
      <c r="W480" s="41"/>
      <c r="X480" s="41"/>
      <c r="Y480" s="41"/>
      <c r="Z480" s="41"/>
    </row>
    <row r="481" ht="14.25" customHeight="1">
      <c r="A481" s="20">
        <v>480.0</v>
      </c>
      <c r="B481" s="20">
        <v>458.0</v>
      </c>
      <c r="C481" s="20">
        <v>469.0</v>
      </c>
      <c r="D481" s="20">
        <v>4.0</v>
      </c>
      <c r="E481" s="20">
        <f t="shared" si="1"/>
        <v>1876</v>
      </c>
      <c r="F481" s="49">
        <v>45411.0</v>
      </c>
      <c r="G481" s="20" t="s">
        <v>38</v>
      </c>
      <c r="H481" s="20">
        <v>51.0</v>
      </c>
      <c r="I481" s="20" t="str">
        <f>VLOOKUP(B481,'товар'!$A$1:$C$433,2,FALSE)</f>
        <v>Макароны</v>
      </c>
      <c r="J481" s="50">
        <f t="shared" si="2"/>
        <v>265.4767442</v>
      </c>
      <c r="K481" s="51">
        <f t="shared" si="3"/>
        <v>0.7666330866</v>
      </c>
      <c r="L481" s="20" t="str">
        <f>VLOOKUP(B481,'товар'!$A$1:$C$433,3,FALSE)</f>
        <v>Борилла</v>
      </c>
      <c r="M481" s="52">
        <f t="shared" si="4"/>
        <v>236.2758621</v>
      </c>
      <c r="N481" s="53">
        <f>VLOOKUP(H481,'клиенты'!$A$1:$F$435,5,FALSE)</f>
        <v>44605</v>
      </c>
      <c r="O481" s="20">
        <f t="shared" si="5"/>
        <v>806</v>
      </c>
      <c r="P481" s="20" t="str">
        <f>VLOOKUP(H481,'клиенты'!$A$2:$J$435,10,FALSE)</f>
        <v>Узбекистан</v>
      </c>
      <c r="Q481" s="54">
        <f t="shared" si="6"/>
        <v>46078.45901</v>
      </c>
      <c r="R481" s="55">
        <f t="shared" si="7"/>
        <v>49.11530039</v>
      </c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41">
        <v>481.0</v>
      </c>
      <c r="B482" s="41">
        <v>193.0</v>
      </c>
      <c r="C482" s="41">
        <v>94.0</v>
      </c>
      <c r="D482" s="41">
        <v>3.0</v>
      </c>
      <c r="E482" s="41">
        <f t="shared" si="1"/>
        <v>282</v>
      </c>
      <c r="F482" s="42">
        <v>45106.0</v>
      </c>
      <c r="G482" s="41" t="s">
        <v>37</v>
      </c>
      <c r="H482" s="41">
        <v>370.0</v>
      </c>
      <c r="I482" s="41" t="str">
        <f>VLOOKUP(B482,'товар'!$A$1:$C$433,2,FALSE)</f>
        <v>Соль</v>
      </c>
      <c r="J482" s="43">
        <f t="shared" si="2"/>
        <v>264.8679245</v>
      </c>
      <c r="K482" s="44">
        <f t="shared" si="3"/>
        <v>-0.6451061405</v>
      </c>
      <c r="L482" s="41" t="str">
        <f>VLOOKUP(B482,'товар'!$A$1:$C$433,3,FALSE)</f>
        <v>Салта</v>
      </c>
      <c r="M482" s="45">
        <f t="shared" si="4"/>
        <v>273.7</v>
      </c>
      <c r="N482" s="46">
        <f>VLOOKUP(H482,'клиенты'!$A$1:$F$435,5,FALSE)</f>
        <v>44726</v>
      </c>
      <c r="O482" s="41">
        <f t="shared" si="5"/>
        <v>380</v>
      </c>
      <c r="P482" s="41" t="str">
        <f>VLOOKUP(H482,'клиенты'!$A$2:$J$435,10,FALSE)</f>
        <v>Таджикистан</v>
      </c>
      <c r="Q482" s="47">
        <f t="shared" si="6"/>
        <v>46078.45901</v>
      </c>
      <c r="R482" s="48">
        <f t="shared" si="7"/>
        <v>45.08196706</v>
      </c>
      <c r="S482" s="41"/>
      <c r="T482" s="41"/>
      <c r="U482" s="41"/>
      <c r="V482" s="41"/>
      <c r="W482" s="41"/>
      <c r="X482" s="41"/>
      <c r="Y482" s="41"/>
      <c r="Z482" s="41"/>
    </row>
    <row r="483" ht="14.25" customHeight="1">
      <c r="A483" s="20">
        <v>482.0</v>
      </c>
      <c r="B483" s="20">
        <v>450.0</v>
      </c>
      <c r="C483" s="20">
        <v>494.0</v>
      </c>
      <c r="D483" s="20">
        <v>4.0</v>
      </c>
      <c r="E483" s="20">
        <f t="shared" si="1"/>
        <v>1976</v>
      </c>
      <c r="F483" s="49">
        <v>45004.0</v>
      </c>
      <c r="G483" s="20" t="s">
        <v>44</v>
      </c>
      <c r="H483" s="20">
        <v>17.0</v>
      </c>
      <c r="I483" s="20" t="str">
        <f>VLOOKUP(B483,'товар'!$A$1:$C$433,2,FALSE)</f>
        <v>Хлеб</v>
      </c>
      <c r="J483" s="50">
        <f t="shared" si="2"/>
        <v>300.3181818</v>
      </c>
      <c r="K483" s="51">
        <f t="shared" si="3"/>
        <v>0.6449220524</v>
      </c>
      <c r="L483" s="20" t="str">
        <f>VLOOKUP(B483,'товар'!$A$1:$C$433,3,FALSE)</f>
        <v>Хлебный Дом</v>
      </c>
      <c r="M483" s="52">
        <f t="shared" si="4"/>
        <v>281.7333333</v>
      </c>
      <c r="N483" s="53">
        <f>VLOOKUP(H483,'клиенты'!$A$1:$F$435,5,FALSE)</f>
        <v>44877</v>
      </c>
      <c r="O483" s="20">
        <f t="shared" si="5"/>
        <v>127</v>
      </c>
      <c r="P483" s="20" t="str">
        <f>VLOOKUP(H483,'клиенты'!$A$2:$J$435,10,FALSE)</f>
        <v>Таджикистан</v>
      </c>
      <c r="Q483" s="54">
        <f t="shared" si="6"/>
        <v>46078.45901</v>
      </c>
      <c r="R483" s="55">
        <f t="shared" si="7"/>
        <v>40.04863373</v>
      </c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41">
        <v>483.0</v>
      </c>
      <c r="B484" s="41">
        <v>334.0</v>
      </c>
      <c r="C484" s="41">
        <v>309.0</v>
      </c>
      <c r="D484" s="41">
        <v>5.0</v>
      </c>
      <c r="E484" s="41">
        <f t="shared" si="1"/>
        <v>1545</v>
      </c>
      <c r="F484" s="42">
        <v>45003.0</v>
      </c>
      <c r="G484" s="41" t="s">
        <v>41</v>
      </c>
      <c r="H484" s="41">
        <v>39.0</v>
      </c>
      <c r="I484" s="41" t="str">
        <f>VLOOKUP(B484,'товар'!$A$1:$C$433,2,FALSE)</f>
        <v>Молоко</v>
      </c>
      <c r="J484" s="43">
        <f t="shared" si="2"/>
        <v>294.952381</v>
      </c>
      <c r="K484" s="44">
        <f t="shared" si="3"/>
        <v>0.04762673555</v>
      </c>
      <c r="L484" s="41" t="str">
        <f>VLOOKUP(B484,'товар'!$A$1:$C$433,3,FALSE)</f>
        <v>Домик в деревне</v>
      </c>
      <c r="M484" s="45">
        <f t="shared" si="4"/>
        <v>274.7777778</v>
      </c>
      <c r="N484" s="46">
        <f>VLOOKUP(H484,'клиенты'!$A$1:$F$435,5,FALSE)</f>
        <v>44653</v>
      </c>
      <c r="O484" s="41">
        <f t="shared" si="5"/>
        <v>350</v>
      </c>
      <c r="P484" s="41" t="str">
        <f>VLOOKUP(H484,'клиенты'!$A$2:$J$435,10,FALSE)</f>
        <v>Беларусь</v>
      </c>
      <c r="Q484" s="47">
        <f t="shared" si="6"/>
        <v>46078.45901</v>
      </c>
      <c r="R484" s="48">
        <f t="shared" si="7"/>
        <v>47.51530039</v>
      </c>
      <c r="S484" s="41"/>
      <c r="T484" s="41"/>
      <c r="U484" s="41"/>
      <c r="V484" s="41"/>
      <c r="W484" s="41"/>
      <c r="X484" s="41"/>
      <c r="Y484" s="41"/>
      <c r="Z484" s="41"/>
    </row>
    <row r="485" ht="14.25" customHeight="1">
      <c r="A485" s="20">
        <v>484.0</v>
      </c>
      <c r="B485" s="20">
        <v>115.0</v>
      </c>
      <c r="C485" s="20">
        <v>118.0</v>
      </c>
      <c r="D485" s="20">
        <v>1.0</v>
      </c>
      <c r="E485" s="20">
        <f t="shared" si="1"/>
        <v>118</v>
      </c>
      <c r="F485" s="49">
        <v>45327.0</v>
      </c>
      <c r="G485" s="20" t="s">
        <v>46</v>
      </c>
      <c r="H485" s="20">
        <v>481.0</v>
      </c>
      <c r="I485" s="20" t="str">
        <f>VLOOKUP(B485,'товар'!$A$1:$C$433,2,FALSE)</f>
        <v>Сыр</v>
      </c>
      <c r="J485" s="50">
        <f t="shared" si="2"/>
        <v>262.6349206</v>
      </c>
      <c r="K485" s="51">
        <f t="shared" si="3"/>
        <v>-0.5507071195</v>
      </c>
      <c r="L485" s="20" t="str">
        <f>VLOOKUP(B485,'товар'!$A$1:$C$433,3,FALSE)</f>
        <v>President</v>
      </c>
      <c r="M485" s="52">
        <f t="shared" si="4"/>
        <v>238.7222222</v>
      </c>
      <c r="N485" s="53">
        <f>VLOOKUP(H485,'клиенты'!$A$1:$F$435,5,FALSE)</f>
        <v>44756</v>
      </c>
      <c r="O485" s="20">
        <f t="shared" si="5"/>
        <v>571</v>
      </c>
      <c r="P485" s="20" t="str">
        <f>VLOOKUP(H485,'клиенты'!$A$2:$J$435,10,FALSE)</f>
        <v>Беларусь</v>
      </c>
      <c r="Q485" s="54">
        <f t="shared" si="6"/>
        <v>46078.45901</v>
      </c>
      <c r="R485" s="55">
        <f t="shared" si="7"/>
        <v>44.08196706</v>
      </c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41">
        <v>485.0</v>
      </c>
      <c r="B486" s="41">
        <v>163.0</v>
      </c>
      <c r="C486" s="41">
        <v>344.0</v>
      </c>
      <c r="D486" s="41">
        <v>1.0</v>
      </c>
      <c r="E486" s="41">
        <f t="shared" si="1"/>
        <v>344</v>
      </c>
      <c r="F486" s="42">
        <v>45188.0</v>
      </c>
      <c r="G486" s="41" t="s">
        <v>37</v>
      </c>
      <c r="H486" s="41">
        <v>363.0</v>
      </c>
      <c r="I486" s="41" t="str">
        <f>VLOOKUP(B486,'товар'!$A$1:$C$433,2,FALSE)</f>
        <v>Соль</v>
      </c>
      <c r="J486" s="43">
        <f t="shared" si="2"/>
        <v>264.8679245</v>
      </c>
      <c r="K486" s="44">
        <f t="shared" si="3"/>
        <v>0.2987605072</v>
      </c>
      <c r="L486" s="41" t="str">
        <f>VLOOKUP(B486,'товар'!$A$1:$C$433,3,FALSE)</f>
        <v>Экстра</v>
      </c>
      <c r="M486" s="45">
        <f t="shared" si="4"/>
        <v>320.8461538</v>
      </c>
      <c r="N486" s="46">
        <f>VLOOKUP(H486,'клиенты'!$A$1:$F$435,5,FALSE)</f>
        <v>44675</v>
      </c>
      <c r="O486" s="41">
        <f t="shared" si="5"/>
        <v>513</v>
      </c>
      <c r="P486" s="41" t="str">
        <f>VLOOKUP(H486,'клиенты'!$A$2:$J$435,10,FALSE)</f>
        <v>Узбекистан</v>
      </c>
      <c r="Q486" s="47">
        <f t="shared" si="6"/>
        <v>46078.45901</v>
      </c>
      <c r="R486" s="48">
        <f t="shared" si="7"/>
        <v>46.78196706</v>
      </c>
      <c r="S486" s="41"/>
      <c r="T486" s="41"/>
      <c r="U486" s="41"/>
      <c r="V486" s="41"/>
      <c r="W486" s="41"/>
      <c r="X486" s="41"/>
      <c r="Y486" s="41"/>
      <c r="Z486" s="41"/>
    </row>
    <row r="487" ht="14.25" customHeight="1">
      <c r="A487" s="20">
        <v>486.0</v>
      </c>
      <c r="B487" s="20">
        <v>321.0</v>
      </c>
      <c r="C487" s="20">
        <v>322.0</v>
      </c>
      <c r="D487" s="20">
        <v>3.0</v>
      </c>
      <c r="E487" s="20">
        <f t="shared" si="1"/>
        <v>966</v>
      </c>
      <c r="F487" s="49">
        <v>45094.0</v>
      </c>
      <c r="G487" s="20" t="s">
        <v>42</v>
      </c>
      <c r="H487" s="20">
        <v>328.0</v>
      </c>
      <c r="I487" s="20" t="str">
        <f>VLOOKUP(B487,'товар'!$A$1:$C$433,2,FALSE)</f>
        <v>Мясо</v>
      </c>
      <c r="J487" s="50">
        <f t="shared" si="2"/>
        <v>271.7454545</v>
      </c>
      <c r="K487" s="51">
        <f t="shared" si="3"/>
        <v>0.1849324234</v>
      </c>
      <c r="L487" s="20" t="str">
        <f>VLOOKUP(B487,'товар'!$A$1:$C$433,3,FALSE)</f>
        <v>Сава</v>
      </c>
      <c r="M487" s="52">
        <f t="shared" si="4"/>
        <v>212.8125</v>
      </c>
      <c r="N487" s="53">
        <f>VLOOKUP(H487,'клиенты'!$A$1:$F$435,5,FALSE)</f>
        <v>44568</v>
      </c>
      <c r="O487" s="20">
        <f t="shared" si="5"/>
        <v>526</v>
      </c>
      <c r="P487" s="20" t="str">
        <f>VLOOKUP(H487,'клиенты'!$A$2:$J$435,10,FALSE)</f>
        <v>Россия</v>
      </c>
      <c r="Q487" s="54">
        <f t="shared" si="6"/>
        <v>46078.45901</v>
      </c>
      <c r="R487" s="55">
        <f t="shared" si="7"/>
        <v>50.34863373</v>
      </c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41">
        <v>487.0</v>
      </c>
      <c r="B488" s="41">
        <v>129.0</v>
      </c>
      <c r="C488" s="41">
        <v>328.0</v>
      </c>
      <c r="D488" s="41">
        <v>4.0</v>
      </c>
      <c r="E488" s="41">
        <f t="shared" si="1"/>
        <v>1312</v>
      </c>
      <c r="F488" s="42">
        <v>45304.0</v>
      </c>
      <c r="G488" s="41" t="s">
        <v>52</v>
      </c>
      <c r="H488" s="41">
        <v>127.0</v>
      </c>
      <c r="I488" s="41" t="str">
        <f>VLOOKUP(B488,'товар'!$A$1:$C$433,2,FALSE)</f>
        <v>Мясо</v>
      </c>
      <c r="J488" s="43">
        <f t="shared" si="2"/>
        <v>271.7454545</v>
      </c>
      <c r="K488" s="44">
        <f t="shared" si="3"/>
        <v>0.2070119095</v>
      </c>
      <c r="L488" s="41" t="str">
        <f>VLOOKUP(B488,'товар'!$A$1:$C$433,3,FALSE)</f>
        <v>Агрокомплекс</v>
      </c>
      <c r="M488" s="45">
        <f t="shared" si="4"/>
        <v>311.2</v>
      </c>
      <c r="N488" s="46">
        <f>VLOOKUP(H488,'клиенты'!$A$1:$F$435,5,FALSE)</f>
        <v>44914</v>
      </c>
      <c r="O488" s="41">
        <f t="shared" si="5"/>
        <v>390</v>
      </c>
      <c r="P488" s="41" t="str">
        <f>VLOOKUP(H488,'клиенты'!$A$2:$J$435,10,FALSE)</f>
        <v>Украина</v>
      </c>
      <c r="Q488" s="47">
        <f t="shared" si="6"/>
        <v>46078.45901</v>
      </c>
      <c r="R488" s="48">
        <f t="shared" si="7"/>
        <v>38.81530039</v>
      </c>
      <c r="S488" s="41"/>
      <c r="T488" s="41"/>
      <c r="U488" s="41"/>
      <c r="V488" s="41"/>
      <c r="W488" s="41"/>
      <c r="X488" s="41"/>
      <c r="Y488" s="41"/>
      <c r="Z488" s="41"/>
    </row>
    <row r="489" ht="14.25" customHeight="1">
      <c r="A489" s="20">
        <v>488.0</v>
      </c>
      <c r="B489" s="20">
        <v>12.0</v>
      </c>
      <c r="C489" s="20">
        <v>357.0</v>
      </c>
      <c r="D489" s="20">
        <v>1.0</v>
      </c>
      <c r="E489" s="20">
        <f t="shared" si="1"/>
        <v>357</v>
      </c>
      <c r="F489" s="49">
        <v>45369.0</v>
      </c>
      <c r="G489" s="20" t="s">
        <v>37</v>
      </c>
      <c r="H489" s="20">
        <v>221.0</v>
      </c>
      <c r="I489" s="20" t="str">
        <f>VLOOKUP(B489,'товар'!$A$1:$C$433,2,FALSE)</f>
        <v>Макароны</v>
      </c>
      <c r="J489" s="50">
        <f t="shared" si="2"/>
        <v>265.4767442</v>
      </c>
      <c r="K489" s="51">
        <f t="shared" si="3"/>
        <v>0.3447505585</v>
      </c>
      <c r="L489" s="20" t="str">
        <f>VLOOKUP(B489,'товар'!$A$1:$C$433,3,FALSE)</f>
        <v>Макфа</v>
      </c>
      <c r="M489" s="52">
        <f t="shared" si="4"/>
        <v>329.2727273</v>
      </c>
      <c r="N489" s="53">
        <f>VLOOKUP(H489,'клиенты'!$A$1:$F$435,5,FALSE)</f>
        <v>44820</v>
      </c>
      <c r="O489" s="20">
        <f t="shared" si="5"/>
        <v>549</v>
      </c>
      <c r="P489" s="20" t="str">
        <f>VLOOKUP(H489,'клиенты'!$A$2:$J$435,10,FALSE)</f>
        <v>Таджикистан</v>
      </c>
      <c r="Q489" s="54">
        <f t="shared" si="6"/>
        <v>46078.45901</v>
      </c>
      <c r="R489" s="55">
        <f t="shared" si="7"/>
        <v>41.94863373</v>
      </c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41">
        <v>489.0</v>
      </c>
      <c r="B490" s="41">
        <v>104.0</v>
      </c>
      <c r="C490" s="41">
        <v>276.0</v>
      </c>
      <c r="D490" s="41">
        <v>2.0</v>
      </c>
      <c r="E490" s="41">
        <f t="shared" si="1"/>
        <v>552</v>
      </c>
      <c r="F490" s="42">
        <v>45372.0</v>
      </c>
      <c r="G490" s="41" t="s">
        <v>42</v>
      </c>
      <c r="H490" s="41">
        <v>134.0</v>
      </c>
      <c r="I490" s="41" t="str">
        <f>VLOOKUP(B490,'товар'!$A$1:$C$433,2,FALSE)</f>
        <v>Йогурт</v>
      </c>
      <c r="J490" s="43">
        <f t="shared" si="2"/>
        <v>263.2542373</v>
      </c>
      <c r="K490" s="44">
        <f t="shared" si="3"/>
        <v>0.04841617306</v>
      </c>
      <c r="L490" s="41" t="str">
        <f>VLOOKUP(B490,'товар'!$A$1:$C$433,3,FALSE)</f>
        <v>Ростагроэкспорт</v>
      </c>
      <c r="M490" s="45">
        <f t="shared" si="4"/>
        <v>257.7826087</v>
      </c>
      <c r="N490" s="46">
        <f>VLOOKUP(H490,'клиенты'!$A$1:$F$435,5,FALSE)</f>
        <v>44753</v>
      </c>
      <c r="O490" s="41">
        <f t="shared" si="5"/>
        <v>619</v>
      </c>
      <c r="P490" s="41" t="str">
        <f>VLOOKUP(H490,'клиенты'!$A$2:$J$435,10,FALSE)</f>
        <v>Россия</v>
      </c>
      <c r="Q490" s="47">
        <f t="shared" si="6"/>
        <v>46078.45901</v>
      </c>
      <c r="R490" s="48">
        <f t="shared" si="7"/>
        <v>44.18196706</v>
      </c>
      <c r="S490" s="41"/>
      <c r="T490" s="41"/>
      <c r="U490" s="41"/>
      <c r="V490" s="41"/>
      <c r="W490" s="41"/>
      <c r="X490" s="41"/>
      <c r="Y490" s="41"/>
      <c r="Z490" s="41"/>
    </row>
    <row r="491" ht="14.25" customHeight="1">
      <c r="A491" s="20">
        <v>490.0</v>
      </c>
      <c r="B491" s="20">
        <v>61.0</v>
      </c>
      <c r="C491" s="20">
        <v>170.0</v>
      </c>
      <c r="D491" s="20">
        <v>2.0</v>
      </c>
      <c r="E491" s="20">
        <f t="shared" si="1"/>
        <v>340</v>
      </c>
      <c r="F491" s="49">
        <v>45292.0</v>
      </c>
      <c r="G491" s="20" t="s">
        <v>52</v>
      </c>
      <c r="H491" s="20">
        <v>374.0</v>
      </c>
      <c r="I491" s="20" t="str">
        <f>VLOOKUP(B491,'товар'!$A$1:$C$433,2,FALSE)</f>
        <v>Йогурт</v>
      </c>
      <c r="J491" s="50">
        <f t="shared" si="2"/>
        <v>263.2542373</v>
      </c>
      <c r="K491" s="51">
        <f t="shared" si="3"/>
        <v>-0.3542364151</v>
      </c>
      <c r="L491" s="20" t="str">
        <f>VLOOKUP(B491,'товар'!$A$1:$C$433,3,FALSE)</f>
        <v>Эрманн</v>
      </c>
      <c r="M491" s="52">
        <f t="shared" si="4"/>
        <v>248.5</v>
      </c>
      <c r="N491" s="53">
        <f>VLOOKUP(H491,'клиенты'!$A$1:$F$435,5,FALSE)</f>
        <v>44582</v>
      </c>
      <c r="O491" s="20">
        <f t="shared" si="5"/>
        <v>710</v>
      </c>
      <c r="P491" s="20" t="str">
        <f>VLOOKUP(H491,'клиенты'!$A$2:$J$435,10,FALSE)</f>
        <v>Украина</v>
      </c>
      <c r="Q491" s="54">
        <f t="shared" si="6"/>
        <v>46078.45901</v>
      </c>
      <c r="R491" s="55">
        <f t="shared" si="7"/>
        <v>49.88196706</v>
      </c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41">
        <v>491.0</v>
      </c>
      <c r="B492" s="41">
        <v>202.0</v>
      </c>
      <c r="C492" s="41">
        <v>89.0</v>
      </c>
      <c r="D492" s="41">
        <v>1.0</v>
      </c>
      <c r="E492" s="41">
        <f t="shared" si="1"/>
        <v>89</v>
      </c>
      <c r="F492" s="42">
        <v>45389.0</v>
      </c>
      <c r="G492" s="41" t="s">
        <v>45</v>
      </c>
      <c r="H492" s="41">
        <v>441.0</v>
      </c>
      <c r="I492" s="41" t="str">
        <f>VLOOKUP(B492,'товар'!$A$1:$C$433,2,FALSE)</f>
        <v>Овощи</v>
      </c>
      <c r="J492" s="43">
        <f t="shared" si="2"/>
        <v>250.4878049</v>
      </c>
      <c r="K492" s="44">
        <f t="shared" si="3"/>
        <v>-0.6446932814</v>
      </c>
      <c r="L492" s="41" t="str">
        <f>VLOOKUP(B492,'товар'!$A$1:$C$433,3,FALSE)</f>
        <v>Овощной ряд</v>
      </c>
      <c r="M492" s="45">
        <f t="shared" si="4"/>
        <v>303.8235294</v>
      </c>
      <c r="N492" s="46">
        <f>VLOOKUP(H492,'клиенты'!$A$1:$F$435,5,FALSE)</f>
        <v>44867</v>
      </c>
      <c r="O492" s="41">
        <f t="shared" si="5"/>
        <v>522</v>
      </c>
      <c r="P492" s="41" t="str">
        <f>VLOOKUP(H492,'клиенты'!$A$2:$J$435,10,FALSE)</f>
        <v>Узбекистан</v>
      </c>
      <c r="Q492" s="47">
        <f t="shared" si="6"/>
        <v>46078.45901</v>
      </c>
      <c r="R492" s="48">
        <f t="shared" si="7"/>
        <v>40.38196706</v>
      </c>
      <c r="S492" s="41"/>
      <c r="T492" s="41"/>
      <c r="U492" s="41"/>
      <c r="V492" s="41"/>
      <c r="W492" s="41"/>
      <c r="X492" s="41"/>
      <c r="Y492" s="41"/>
      <c r="Z492" s="41"/>
    </row>
    <row r="493" ht="14.25" customHeight="1">
      <c r="A493" s="20">
        <v>492.0</v>
      </c>
      <c r="B493" s="20">
        <v>464.0</v>
      </c>
      <c r="C493" s="20">
        <v>134.0</v>
      </c>
      <c r="D493" s="20">
        <v>1.0</v>
      </c>
      <c r="E493" s="20">
        <f t="shared" si="1"/>
        <v>134</v>
      </c>
      <c r="F493" s="49">
        <v>45078.0</v>
      </c>
      <c r="G493" s="20" t="s">
        <v>45</v>
      </c>
      <c r="H493" s="20">
        <v>220.0</v>
      </c>
      <c r="I493" s="20" t="str">
        <f>VLOOKUP(B493,'товар'!$A$1:$C$433,2,FALSE)</f>
        <v>Сыр</v>
      </c>
      <c r="J493" s="50">
        <f t="shared" si="2"/>
        <v>262.6349206</v>
      </c>
      <c r="K493" s="51">
        <f t="shared" si="3"/>
        <v>-0.489786051</v>
      </c>
      <c r="L493" s="20" t="str">
        <f>VLOOKUP(B493,'товар'!$A$1:$C$433,3,FALSE)</f>
        <v>Сырная долина</v>
      </c>
      <c r="M493" s="52">
        <f t="shared" si="4"/>
        <v>271</v>
      </c>
      <c r="N493" s="53">
        <f>VLOOKUP(H493,'клиенты'!$A$1:$F$435,5,FALSE)</f>
        <v>44570</v>
      </c>
      <c r="O493" s="20">
        <f t="shared" si="5"/>
        <v>508</v>
      </c>
      <c r="P493" s="20" t="str">
        <f>VLOOKUP(H493,'клиенты'!$A$2:$J$435,10,FALSE)</f>
        <v>Украина</v>
      </c>
      <c r="Q493" s="54">
        <f t="shared" si="6"/>
        <v>46078.45901</v>
      </c>
      <c r="R493" s="55">
        <f t="shared" si="7"/>
        <v>50.28196706</v>
      </c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41">
        <v>493.0</v>
      </c>
      <c r="B494" s="41">
        <v>335.0</v>
      </c>
      <c r="C494" s="41">
        <v>436.0</v>
      </c>
      <c r="D494" s="41">
        <v>1.0</v>
      </c>
      <c r="E494" s="41">
        <f t="shared" si="1"/>
        <v>436</v>
      </c>
      <c r="F494" s="42">
        <v>45407.0</v>
      </c>
      <c r="G494" s="41" t="s">
        <v>42</v>
      </c>
      <c r="H494" s="41">
        <v>235.0</v>
      </c>
      <c r="I494" s="41" t="str">
        <f>VLOOKUP(B494,'товар'!$A$1:$C$433,2,FALSE)</f>
        <v>Хлеб</v>
      </c>
      <c r="J494" s="43">
        <f t="shared" si="2"/>
        <v>300.3181818</v>
      </c>
      <c r="K494" s="44">
        <f t="shared" si="3"/>
        <v>0.4517935523</v>
      </c>
      <c r="L494" s="41" t="str">
        <f>VLOOKUP(B494,'товар'!$A$1:$C$433,3,FALSE)</f>
        <v>Каравай</v>
      </c>
      <c r="M494" s="45">
        <f t="shared" si="4"/>
        <v>331.1666667</v>
      </c>
      <c r="N494" s="46">
        <f>VLOOKUP(H494,'клиенты'!$A$1:$F$435,5,FALSE)</f>
        <v>44635</v>
      </c>
      <c r="O494" s="41">
        <f t="shared" si="5"/>
        <v>772</v>
      </c>
      <c r="P494" s="41" t="str">
        <f>VLOOKUP(H494,'клиенты'!$A$2:$J$435,10,FALSE)</f>
        <v>Узбекистан</v>
      </c>
      <c r="Q494" s="47">
        <f t="shared" si="6"/>
        <v>46078.45901</v>
      </c>
      <c r="R494" s="48">
        <f t="shared" si="7"/>
        <v>48.11530039</v>
      </c>
      <c r="S494" s="41"/>
      <c r="T494" s="41"/>
      <c r="U494" s="41"/>
      <c r="V494" s="41"/>
      <c r="W494" s="41"/>
      <c r="X494" s="41"/>
      <c r="Y494" s="41"/>
      <c r="Z494" s="41"/>
    </row>
    <row r="495" ht="14.25" customHeight="1">
      <c r="A495" s="20">
        <v>494.0</v>
      </c>
      <c r="B495" s="20">
        <v>15.0</v>
      </c>
      <c r="C495" s="20">
        <v>318.0</v>
      </c>
      <c r="D495" s="20">
        <v>5.0</v>
      </c>
      <c r="E495" s="20">
        <f t="shared" si="1"/>
        <v>1590</v>
      </c>
      <c r="F495" s="49">
        <v>44982.0</v>
      </c>
      <c r="G495" s="20" t="s">
        <v>47</v>
      </c>
      <c r="H495" s="20">
        <v>323.0</v>
      </c>
      <c r="I495" s="20" t="str">
        <f>VLOOKUP(B495,'товар'!$A$1:$C$433,2,FALSE)</f>
        <v>Сахар</v>
      </c>
      <c r="J495" s="50">
        <f t="shared" si="2"/>
        <v>252.7627119</v>
      </c>
      <c r="K495" s="51">
        <f t="shared" si="3"/>
        <v>0.2580969624</v>
      </c>
      <c r="L495" s="20" t="str">
        <f>VLOOKUP(B495,'товар'!$A$1:$C$433,3,FALSE)</f>
        <v>Агросахар</v>
      </c>
      <c r="M495" s="52">
        <f t="shared" si="4"/>
        <v>215.8571429</v>
      </c>
      <c r="N495" s="53">
        <f>VLOOKUP(H495,'клиенты'!$A$1:$F$435,5,FALSE)</f>
        <v>44821</v>
      </c>
      <c r="O495" s="20">
        <f t="shared" si="5"/>
        <v>161</v>
      </c>
      <c r="P495" s="20" t="str">
        <f>VLOOKUP(H495,'клиенты'!$A$2:$J$435,10,FALSE)</f>
        <v>Таджикистан</v>
      </c>
      <c r="Q495" s="54">
        <f t="shared" si="6"/>
        <v>46078.45901</v>
      </c>
      <c r="R495" s="55">
        <f t="shared" si="7"/>
        <v>41.91530039</v>
      </c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41">
        <v>495.0</v>
      </c>
      <c r="B496" s="41">
        <v>441.0</v>
      </c>
      <c r="C496" s="41">
        <v>183.0</v>
      </c>
      <c r="D496" s="41">
        <v>1.0</v>
      </c>
      <c r="E496" s="41">
        <f t="shared" si="1"/>
        <v>183</v>
      </c>
      <c r="F496" s="42">
        <v>45235.0</v>
      </c>
      <c r="G496" s="41" t="s">
        <v>42</v>
      </c>
      <c r="H496" s="41">
        <v>296.0</v>
      </c>
      <c r="I496" s="41" t="str">
        <f>VLOOKUP(B496,'товар'!$A$1:$C$433,2,FALSE)</f>
        <v>Чай</v>
      </c>
      <c r="J496" s="43">
        <f t="shared" si="2"/>
        <v>271.1818182</v>
      </c>
      <c r="K496" s="44">
        <f t="shared" si="3"/>
        <v>-0.3251759973</v>
      </c>
      <c r="L496" s="41" t="str">
        <f>VLOOKUP(B496,'товар'!$A$1:$C$433,3,FALSE)</f>
        <v>Lipton</v>
      </c>
      <c r="M496" s="45">
        <f t="shared" si="4"/>
        <v>260.1578947</v>
      </c>
      <c r="N496" s="46">
        <f>VLOOKUP(H496,'клиенты'!$A$1:$F$435,5,FALSE)</f>
        <v>44758</v>
      </c>
      <c r="O496" s="41">
        <f t="shared" si="5"/>
        <v>477</v>
      </c>
      <c r="P496" s="41" t="str">
        <f>VLOOKUP(H496,'клиенты'!$A$2:$J$435,10,FALSE)</f>
        <v>Узбекистан</v>
      </c>
      <c r="Q496" s="47">
        <f t="shared" si="6"/>
        <v>46078.45901</v>
      </c>
      <c r="R496" s="48">
        <f t="shared" si="7"/>
        <v>44.01530039</v>
      </c>
      <c r="S496" s="41"/>
      <c r="T496" s="41"/>
      <c r="U496" s="41"/>
      <c r="V496" s="41"/>
      <c r="W496" s="41"/>
      <c r="X496" s="41"/>
      <c r="Y496" s="41"/>
      <c r="Z496" s="41"/>
    </row>
    <row r="497" ht="14.25" customHeight="1">
      <c r="A497" s="20">
        <v>496.0</v>
      </c>
      <c r="B497" s="20">
        <v>149.0</v>
      </c>
      <c r="C497" s="20">
        <v>448.0</v>
      </c>
      <c r="D497" s="20">
        <v>2.0</v>
      </c>
      <c r="E497" s="20">
        <f t="shared" si="1"/>
        <v>896</v>
      </c>
      <c r="F497" s="49">
        <v>45069.0</v>
      </c>
      <c r="G497" s="20" t="s">
        <v>51</v>
      </c>
      <c r="H497" s="20">
        <v>206.0</v>
      </c>
      <c r="I497" s="20" t="str">
        <f>VLOOKUP(B497,'товар'!$A$1:$C$433,2,FALSE)</f>
        <v>Конфеты</v>
      </c>
      <c r="J497" s="50">
        <f t="shared" si="2"/>
        <v>267.8548387</v>
      </c>
      <c r="K497" s="51">
        <f t="shared" si="3"/>
        <v>0.6725477208</v>
      </c>
      <c r="L497" s="20" t="str">
        <f>VLOOKUP(B497,'товар'!$A$1:$C$433,3,FALSE)</f>
        <v>Бабаевский</v>
      </c>
      <c r="M497" s="52">
        <f t="shared" si="4"/>
        <v>250.2592593</v>
      </c>
      <c r="N497" s="53">
        <f>VLOOKUP(H497,'клиенты'!$A$1:$F$435,5,FALSE)</f>
        <v>44568</v>
      </c>
      <c r="O497" s="20">
        <f t="shared" si="5"/>
        <v>501</v>
      </c>
      <c r="P497" s="20" t="str">
        <f>VLOOKUP(H497,'клиенты'!$A$2:$J$435,10,FALSE)</f>
        <v>Россия</v>
      </c>
      <c r="Q497" s="54">
        <f t="shared" si="6"/>
        <v>46078.45901</v>
      </c>
      <c r="R497" s="55">
        <f t="shared" si="7"/>
        <v>50.34863373</v>
      </c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41">
        <v>497.0</v>
      </c>
      <c r="B498" s="41">
        <v>490.0</v>
      </c>
      <c r="C498" s="41">
        <v>58.0</v>
      </c>
      <c r="D498" s="41">
        <v>4.0</v>
      </c>
      <c r="E498" s="41">
        <f t="shared" si="1"/>
        <v>232</v>
      </c>
      <c r="F498" s="42">
        <v>45216.0</v>
      </c>
      <c r="G498" s="41" t="s">
        <v>47</v>
      </c>
      <c r="H498" s="41">
        <v>255.0</v>
      </c>
      <c r="I498" s="41" t="str">
        <f>VLOOKUP(B498,'товар'!$A$1:$C$433,2,FALSE)</f>
        <v>Сыр</v>
      </c>
      <c r="J498" s="43">
        <f t="shared" si="2"/>
        <v>262.6349206</v>
      </c>
      <c r="K498" s="44">
        <f t="shared" si="3"/>
        <v>-0.7791611266</v>
      </c>
      <c r="L498" s="41" t="str">
        <f>VLOOKUP(B498,'товар'!$A$1:$C$433,3,FALSE)</f>
        <v>Сырная долина</v>
      </c>
      <c r="M498" s="45">
        <f t="shared" si="4"/>
        <v>271</v>
      </c>
      <c r="N498" s="46">
        <f>VLOOKUP(H498,'клиенты'!$A$1:$F$435,5,FALSE)</f>
        <v>44793</v>
      </c>
      <c r="O498" s="41">
        <f t="shared" si="5"/>
        <v>423</v>
      </c>
      <c r="P498" s="41" t="str">
        <f>VLOOKUP(H498,'клиенты'!$A$2:$J$435,10,FALSE)</f>
        <v>Украина</v>
      </c>
      <c r="Q498" s="47">
        <f t="shared" si="6"/>
        <v>46078.45901</v>
      </c>
      <c r="R498" s="48">
        <f t="shared" si="7"/>
        <v>42.84863373</v>
      </c>
      <c r="S498" s="41"/>
      <c r="T498" s="41"/>
      <c r="U498" s="41"/>
      <c r="V498" s="41"/>
      <c r="W498" s="41"/>
      <c r="X498" s="41"/>
      <c r="Y498" s="41"/>
      <c r="Z498" s="41"/>
    </row>
    <row r="499" ht="14.25" customHeight="1">
      <c r="A499" s="20">
        <v>498.0</v>
      </c>
      <c r="B499" s="20">
        <v>90.0</v>
      </c>
      <c r="C499" s="20">
        <v>162.0</v>
      </c>
      <c r="D499" s="20">
        <v>3.0</v>
      </c>
      <c r="E499" s="20">
        <f t="shared" si="1"/>
        <v>486</v>
      </c>
      <c r="F499" s="49">
        <v>45207.0</v>
      </c>
      <c r="G499" s="20" t="s">
        <v>42</v>
      </c>
      <c r="H499" s="20">
        <v>88.0</v>
      </c>
      <c r="I499" s="20" t="str">
        <f>VLOOKUP(B499,'товар'!$A$1:$C$433,2,FALSE)</f>
        <v>Кофе</v>
      </c>
      <c r="J499" s="50">
        <f t="shared" si="2"/>
        <v>249.0238095</v>
      </c>
      <c r="K499" s="51">
        <f t="shared" si="3"/>
        <v>-0.3494597954</v>
      </c>
      <c r="L499" s="20" t="str">
        <f>VLOOKUP(B499,'товар'!$A$1:$C$433,3,FALSE)</f>
        <v>Nescafe</v>
      </c>
      <c r="M499" s="52">
        <f t="shared" si="4"/>
        <v>256.9</v>
      </c>
      <c r="N499" s="53">
        <f>VLOOKUP(H499,'клиенты'!$A$1:$F$435,5,FALSE)</f>
        <v>44630</v>
      </c>
      <c r="O499" s="20">
        <f t="shared" si="5"/>
        <v>577</v>
      </c>
      <c r="P499" s="20" t="str">
        <f>VLOOKUP(H499,'клиенты'!$A$2:$J$435,10,FALSE)</f>
        <v>Украина</v>
      </c>
      <c r="Q499" s="54">
        <f t="shared" si="6"/>
        <v>46078.45901</v>
      </c>
      <c r="R499" s="55">
        <f t="shared" si="7"/>
        <v>48.28196706</v>
      </c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41">
        <v>499.0</v>
      </c>
      <c r="B500" s="41">
        <v>396.0</v>
      </c>
      <c r="C500" s="41">
        <v>482.0</v>
      </c>
      <c r="D500" s="41">
        <v>2.0</v>
      </c>
      <c r="E500" s="41">
        <f t="shared" si="1"/>
        <v>964</v>
      </c>
      <c r="F500" s="42">
        <v>45408.0</v>
      </c>
      <c r="G500" s="41" t="s">
        <v>38</v>
      </c>
      <c r="H500" s="41">
        <v>362.0</v>
      </c>
      <c r="I500" s="41" t="str">
        <f>VLOOKUP(B500,'товар'!$A$1:$C$433,2,FALSE)</f>
        <v>Молоко</v>
      </c>
      <c r="J500" s="43">
        <f t="shared" si="2"/>
        <v>294.952381</v>
      </c>
      <c r="K500" s="44">
        <f t="shared" si="3"/>
        <v>0.6341620923</v>
      </c>
      <c r="L500" s="41" t="str">
        <f>VLOOKUP(B500,'товар'!$A$1:$C$433,3,FALSE)</f>
        <v>Домик в деревне</v>
      </c>
      <c r="M500" s="45">
        <f t="shared" si="4"/>
        <v>274.7777778</v>
      </c>
      <c r="N500" s="46">
        <f>VLOOKUP(H500,'клиенты'!$A$1:$F$435,5,FALSE)</f>
        <v>44916</v>
      </c>
      <c r="O500" s="41">
        <f t="shared" si="5"/>
        <v>492</v>
      </c>
      <c r="P500" s="41" t="str">
        <f>VLOOKUP(H500,'клиенты'!$A$2:$J$435,10,FALSE)</f>
        <v>Россия</v>
      </c>
      <c r="Q500" s="47">
        <f t="shared" si="6"/>
        <v>46078.45901</v>
      </c>
      <c r="R500" s="48">
        <f t="shared" si="7"/>
        <v>38.74863373</v>
      </c>
      <c r="S500" s="41"/>
      <c r="T500" s="41"/>
      <c r="U500" s="41"/>
      <c r="V500" s="41"/>
      <c r="W500" s="41"/>
      <c r="X500" s="41"/>
      <c r="Y500" s="41"/>
      <c r="Z500" s="41"/>
    </row>
    <row r="501" ht="14.25" customHeight="1">
      <c r="A501" s="20">
        <v>500.0</v>
      </c>
      <c r="B501" s="20">
        <v>323.0</v>
      </c>
      <c r="C501" s="20">
        <v>64.0</v>
      </c>
      <c r="D501" s="20">
        <v>4.0</v>
      </c>
      <c r="E501" s="20">
        <f t="shared" si="1"/>
        <v>256</v>
      </c>
      <c r="F501" s="49">
        <v>45349.0</v>
      </c>
      <c r="G501" s="20" t="s">
        <v>46</v>
      </c>
      <c r="H501" s="20">
        <v>265.0</v>
      </c>
      <c r="I501" s="20" t="str">
        <f>VLOOKUP(B501,'товар'!$A$1:$C$433,2,FALSE)</f>
        <v>Рыба</v>
      </c>
      <c r="J501" s="50">
        <f t="shared" si="2"/>
        <v>258.5128205</v>
      </c>
      <c r="K501" s="51">
        <f t="shared" si="3"/>
        <v>-0.7524300734</v>
      </c>
      <c r="L501" s="20" t="str">
        <f>VLOOKUP(B501,'товар'!$A$1:$C$433,3,FALSE)</f>
        <v>Меридиан</v>
      </c>
      <c r="M501" s="52">
        <f t="shared" si="4"/>
        <v>260.6470588</v>
      </c>
      <c r="N501" s="53">
        <f>VLOOKUP(H501,'клиенты'!$A$1:$F$435,5,FALSE)</f>
        <v>44756</v>
      </c>
      <c r="O501" s="20">
        <f t="shared" si="5"/>
        <v>593</v>
      </c>
      <c r="P501" s="20" t="str">
        <f>VLOOKUP(H501,'клиенты'!$A$2:$J$435,10,FALSE)</f>
        <v>Узбекистан</v>
      </c>
      <c r="Q501" s="54">
        <f t="shared" si="6"/>
        <v>46078.45901</v>
      </c>
      <c r="R501" s="55">
        <f t="shared" si="7"/>
        <v>44.08196706</v>
      </c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41">
        <v>501.0</v>
      </c>
      <c r="B502" s="41">
        <v>451.0</v>
      </c>
      <c r="C502" s="41">
        <v>187.0</v>
      </c>
      <c r="D502" s="41">
        <v>4.0</v>
      </c>
      <c r="E502" s="41">
        <f t="shared" si="1"/>
        <v>748</v>
      </c>
      <c r="F502" s="42">
        <v>45160.0</v>
      </c>
      <c r="G502" s="41" t="s">
        <v>39</v>
      </c>
      <c r="H502" s="41">
        <v>164.0</v>
      </c>
      <c r="I502" s="41" t="str">
        <f>VLOOKUP(B502,'товар'!$A$1:$C$433,2,FALSE)</f>
        <v>Рис</v>
      </c>
      <c r="J502" s="43">
        <f t="shared" si="2"/>
        <v>258.375</v>
      </c>
      <c r="K502" s="44">
        <f t="shared" si="3"/>
        <v>-0.2762457668</v>
      </c>
      <c r="L502" s="41" t="str">
        <f>VLOOKUP(B502,'товар'!$A$1:$C$433,3,FALSE)</f>
        <v>Белый Злат</v>
      </c>
      <c r="M502" s="45">
        <f t="shared" si="4"/>
        <v>269.7058824</v>
      </c>
      <c r="N502" s="46">
        <f>VLOOKUP(H502,'клиенты'!$A$1:$F$435,5,FALSE)</f>
        <v>44678</v>
      </c>
      <c r="O502" s="41">
        <f t="shared" si="5"/>
        <v>482</v>
      </c>
      <c r="P502" s="41" t="str">
        <f>VLOOKUP(H502,'клиенты'!$A$2:$J$435,10,FALSE)</f>
        <v>Россия</v>
      </c>
      <c r="Q502" s="47">
        <f t="shared" si="6"/>
        <v>46078.45901</v>
      </c>
      <c r="R502" s="48">
        <f t="shared" si="7"/>
        <v>46.68196706</v>
      </c>
      <c r="S502" s="41"/>
      <c r="T502" s="41"/>
      <c r="U502" s="41"/>
      <c r="V502" s="41"/>
      <c r="W502" s="41"/>
      <c r="X502" s="41"/>
      <c r="Y502" s="41"/>
      <c r="Z502" s="41"/>
    </row>
    <row r="503" ht="14.25" customHeight="1">
      <c r="A503" s="20">
        <v>502.0</v>
      </c>
      <c r="B503" s="20">
        <v>348.0</v>
      </c>
      <c r="C503" s="20">
        <v>461.0</v>
      </c>
      <c r="D503" s="20">
        <v>3.0</v>
      </c>
      <c r="E503" s="20">
        <f t="shared" si="1"/>
        <v>1383</v>
      </c>
      <c r="F503" s="49">
        <v>45344.0</v>
      </c>
      <c r="G503" s="20" t="s">
        <v>35</v>
      </c>
      <c r="H503" s="20">
        <v>364.0</v>
      </c>
      <c r="I503" s="20" t="str">
        <f>VLOOKUP(B503,'товар'!$A$1:$C$433,2,FALSE)</f>
        <v>Чипсы</v>
      </c>
      <c r="J503" s="50">
        <f t="shared" si="2"/>
        <v>273.7254902</v>
      </c>
      <c r="K503" s="51">
        <f t="shared" si="3"/>
        <v>0.6841690544</v>
      </c>
      <c r="L503" s="20" t="str">
        <f>VLOOKUP(B503,'товар'!$A$1:$C$433,3,FALSE)</f>
        <v>Estrella</v>
      </c>
      <c r="M503" s="52">
        <f t="shared" si="4"/>
        <v>266.2727273</v>
      </c>
      <c r="N503" s="53">
        <f>VLOOKUP(H503,'клиенты'!$A$1:$F$435,5,FALSE)</f>
        <v>44883</v>
      </c>
      <c r="O503" s="20">
        <f t="shared" si="5"/>
        <v>461</v>
      </c>
      <c r="P503" s="20" t="str">
        <f>VLOOKUP(H503,'клиенты'!$A$2:$J$435,10,FALSE)</f>
        <v>Россия</v>
      </c>
      <c r="Q503" s="54">
        <f t="shared" si="6"/>
        <v>46078.45901</v>
      </c>
      <c r="R503" s="55">
        <f t="shared" si="7"/>
        <v>39.84863373</v>
      </c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41">
        <v>503.0</v>
      </c>
      <c r="B504" s="41">
        <v>111.0</v>
      </c>
      <c r="C504" s="41">
        <v>321.0</v>
      </c>
      <c r="D504" s="41">
        <v>5.0</v>
      </c>
      <c r="E504" s="41">
        <f t="shared" si="1"/>
        <v>1605</v>
      </c>
      <c r="F504" s="42">
        <v>45131.0</v>
      </c>
      <c r="G504" s="41" t="s">
        <v>48</v>
      </c>
      <c r="H504" s="41">
        <v>19.0</v>
      </c>
      <c r="I504" s="41" t="str">
        <f>VLOOKUP(B504,'товар'!$A$1:$C$433,2,FALSE)</f>
        <v>Сахар</v>
      </c>
      <c r="J504" s="43">
        <f t="shared" si="2"/>
        <v>252.7627119</v>
      </c>
      <c r="K504" s="44">
        <f t="shared" si="3"/>
        <v>0.2699658016</v>
      </c>
      <c r="L504" s="41" t="str">
        <f>VLOOKUP(B504,'товар'!$A$1:$C$433,3,FALSE)</f>
        <v>Сладов</v>
      </c>
      <c r="M504" s="45">
        <f t="shared" si="4"/>
        <v>240.2666667</v>
      </c>
      <c r="N504" s="46">
        <f>VLOOKUP(H504,'клиенты'!$A$1:$F$435,5,FALSE)</f>
        <v>44902</v>
      </c>
      <c r="O504" s="41">
        <f t="shared" si="5"/>
        <v>229</v>
      </c>
      <c r="P504" s="41" t="str">
        <f>VLOOKUP(H504,'клиенты'!$A$2:$J$435,10,FALSE)</f>
        <v>Россия</v>
      </c>
      <c r="Q504" s="47">
        <f t="shared" si="6"/>
        <v>46078.45901</v>
      </c>
      <c r="R504" s="48">
        <f t="shared" si="7"/>
        <v>39.21530039</v>
      </c>
      <c r="S504" s="41"/>
      <c r="T504" s="41"/>
      <c r="U504" s="41"/>
      <c r="V504" s="41"/>
      <c r="W504" s="41"/>
      <c r="X504" s="41"/>
      <c r="Y504" s="41"/>
      <c r="Z504" s="41"/>
    </row>
    <row r="505" ht="14.25" customHeight="1">
      <c r="A505" s="20">
        <v>504.0</v>
      </c>
      <c r="B505" s="20">
        <v>234.0</v>
      </c>
      <c r="C505" s="20">
        <v>244.0</v>
      </c>
      <c r="D505" s="20">
        <v>3.0</v>
      </c>
      <c r="E505" s="20">
        <f t="shared" si="1"/>
        <v>732</v>
      </c>
      <c r="F505" s="49">
        <v>45081.0</v>
      </c>
      <c r="G505" s="20" t="s">
        <v>38</v>
      </c>
      <c r="H505" s="20">
        <v>453.0</v>
      </c>
      <c r="I505" s="20" t="str">
        <f>VLOOKUP(B505,'товар'!$A$1:$C$433,2,FALSE)</f>
        <v>Чай</v>
      </c>
      <c r="J505" s="50">
        <f t="shared" si="2"/>
        <v>271.1818182</v>
      </c>
      <c r="K505" s="51">
        <f t="shared" si="3"/>
        <v>-0.1002346631</v>
      </c>
      <c r="L505" s="20" t="str">
        <f>VLOOKUP(B505,'товар'!$A$1:$C$433,3,FALSE)</f>
        <v>Greenfield</v>
      </c>
      <c r="M505" s="52">
        <f t="shared" si="4"/>
        <v>291.4545455</v>
      </c>
      <c r="N505" s="53">
        <f>VLOOKUP(H505,'клиенты'!$A$1:$F$435,5,FALSE)</f>
        <v>44635</v>
      </c>
      <c r="O505" s="20">
        <f t="shared" si="5"/>
        <v>446</v>
      </c>
      <c r="P505" s="20" t="str">
        <f>VLOOKUP(H505,'клиенты'!$A$2:$J$435,10,FALSE)</f>
        <v>Россия</v>
      </c>
      <c r="Q505" s="54">
        <f t="shared" si="6"/>
        <v>46078.45901</v>
      </c>
      <c r="R505" s="55">
        <f t="shared" si="7"/>
        <v>48.11530039</v>
      </c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41">
        <v>505.0</v>
      </c>
      <c r="B506" s="41">
        <v>336.0</v>
      </c>
      <c r="C506" s="41">
        <v>416.0</v>
      </c>
      <c r="D506" s="41">
        <v>2.0</v>
      </c>
      <c r="E506" s="41">
        <f t="shared" si="1"/>
        <v>832</v>
      </c>
      <c r="F506" s="42">
        <v>45173.0</v>
      </c>
      <c r="G506" s="41" t="s">
        <v>53</v>
      </c>
      <c r="H506" s="41">
        <v>335.0</v>
      </c>
      <c r="I506" s="41" t="str">
        <f>VLOOKUP(B506,'товар'!$A$1:$C$433,2,FALSE)</f>
        <v>Чипсы</v>
      </c>
      <c r="J506" s="43">
        <f t="shared" si="2"/>
        <v>273.7254902</v>
      </c>
      <c r="K506" s="44">
        <f t="shared" si="3"/>
        <v>0.5197707736</v>
      </c>
      <c r="L506" s="41" t="str">
        <f>VLOOKUP(B506,'товар'!$A$1:$C$433,3,FALSE)</f>
        <v>Estrella</v>
      </c>
      <c r="M506" s="45">
        <f t="shared" si="4"/>
        <v>266.2727273</v>
      </c>
      <c r="N506" s="46">
        <f>VLOOKUP(H506,'клиенты'!$A$1:$F$435,5,FALSE)</f>
        <v>44619</v>
      </c>
      <c r="O506" s="41">
        <f t="shared" si="5"/>
        <v>554</v>
      </c>
      <c r="P506" s="41" t="str">
        <f>VLOOKUP(H506,'клиенты'!$A$2:$J$435,10,FALSE)</f>
        <v>Узбекистан</v>
      </c>
      <c r="Q506" s="47">
        <f t="shared" si="6"/>
        <v>46078.45901</v>
      </c>
      <c r="R506" s="48">
        <f t="shared" si="7"/>
        <v>48.64863373</v>
      </c>
      <c r="S506" s="41"/>
      <c r="T506" s="41"/>
      <c r="U506" s="41"/>
      <c r="V506" s="41"/>
      <c r="W506" s="41"/>
      <c r="X506" s="41"/>
      <c r="Y506" s="41"/>
      <c r="Z506" s="41"/>
    </row>
    <row r="507" ht="14.25" customHeight="1">
      <c r="A507" s="20">
        <v>506.0</v>
      </c>
      <c r="B507" s="20">
        <v>441.0</v>
      </c>
      <c r="C507" s="20">
        <v>293.0</v>
      </c>
      <c r="D507" s="20">
        <v>3.0</v>
      </c>
      <c r="E507" s="20">
        <f t="shared" si="1"/>
        <v>879</v>
      </c>
      <c r="F507" s="49">
        <v>45274.0</v>
      </c>
      <c r="G507" s="20" t="s">
        <v>49</v>
      </c>
      <c r="H507" s="20">
        <v>136.0</v>
      </c>
      <c r="I507" s="20" t="str">
        <f>VLOOKUP(B507,'товар'!$A$1:$C$433,2,FALSE)</f>
        <v>Чай</v>
      </c>
      <c r="J507" s="50">
        <f t="shared" si="2"/>
        <v>271.1818182</v>
      </c>
      <c r="K507" s="51">
        <f t="shared" si="3"/>
        <v>0.08045591686</v>
      </c>
      <c r="L507" s="20" t="str">
        <f>VLOOKUP(B507,'товар'!$A$1:$C$433,3,FALSE)</f>
        <v>Lipton</v>
      </c>
      <c r="M507" s="52">
        <f t="shared" si="4"/>
        <v>260.1578947</v>
      </c>
      <c r="N507" s="53">
        <f>VLOOKUP(H507,'клиенты'!$A$1:$F$435,5,FALSE)</f>
        <v>44860</v>
      </c>
      <c r="O507" s="20">
        <f t="shared" si="5"/>
        <v>414</v>
      </c>
      <c r="P507" s="20" t="str">
        <f>VLOOKUP(H507,'клиенты'!$A$2:$J$435,10,FALSE)</f>
        <v>Украина</v>
      </c>
      <c r="Q507" s="54">
        <f t="shared" si="6"/>
        <v>46078.45901</v>
      </c>
      <c r="R507" s="55">
        <f t="shared" si="7"/>
        <v>40.61530039</v>
      </c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41">
        <v>507.0</v>
      </c>
      <c r="B508" s="41">
        <v>481.0</v>
      </c>
      <c r="C508" s="41">
        <v>63.0</v>
      </c>
      <c r="D508" s="41">
        <v>1.0</v>
      </c>
      <c r="E508" s="41">
        <f t="shared" si="1"/>
        <v>63</v>
      </c>
      <c r="F508" s="42">
        <v>45301.0</v>
      </c>
      <c r="G508" s="41" t="s">
        <v>53</v>
      </c>
      <c r="H508" s="41">
        <v>388.0</v>
      </c>
      <c r="I508" s="41" t="str">
        <f>VLOOKUP(B508,'товар'!$A$1:$C$433,2,FALSE)</f>
        <v>Чипсы</v>
      </c>
      <c r="J508" s="43">
        <f t="shared" si="2"/>
        <v>273.7254902</v>
      </c>
      <c r="K508" s="44">
        <f t="shared" si="3"/>
        <v>-0.7698424069</v>
      </c>
      <c r="L508" s="41" t="str">
        <f>VLOOKUP(B508,'товар'!$A$1:$C$433,3,FALSE)</f>
        <v>Pringles</v>
      </c>
      <c r="M508" s="45">
        <f t="shared" si="4"/>
        <v>280.2380952</v>
      </c>
      <c r="N508" s="46">
        <f>VLOOKUP(H508,'клиенты'!$A$1:$F$435,5,FALSE)</f>
        <v>44581</v>
      </c>
      <c r="O508" s="41">
        <f t="shared" si="5"/>
        <v>720</v>
      </c>
      <c r="P508" s="41" t="str">
        <f>VLOOKUP(H508,'клиенты'!$A$2:$J$435,10,FALSE)</f>
        <v>Россия</v>
      </c>
      <c r="Q508" s="47">
        <f t="shared" si="6"/>
        <v>46078.45901</v>
      </c>
      <c r="R508" s="48">
        <f t="shared" si="7"/>
        <v>49.91530039</v>
      </c>
      <c r="S508" s="41"/>
      <c r="T508" s="41"/>
      <c r="U508" s="41"/>
      <c r="V508" s="41"/>
      <c r="W508" s="41"/>
      <c r="X508" s="41"/>
      <c r="Y508" s="41"/>
      <c r="Z508" s="41"/>
    </row>
    <row r="509" ht="14.25" customHeight="1">
      <c r="A509" s="20">
        <v>508.0</v>
      </c>
      <c r="B509" s="20">
        <v>403.0</v>
      </c>
      <c r="C509" s="20">
        <v>240.0</v>
      </c>
      <c r="D509" s="20">
        <v>1.0</v>
      </c>
      <c r="E509" s="20">
        <f t="shared" si="1"/>
        <v>240</v>
      </c>
      <c r="F509" s="49">
        <v>45359.0</v>
      </c>
      <c r="G509" s="20" t="s">
        <v>37</v>
      </c>
      <c r="H509" s="20">
        <v>341.0</v>
      </c>
      <c r="I509" s="20" t="str">
        <f>VLOOKUP(B509,'товар'!$A$1:$C$433,2,FALSE)</f>
        <v>Чай</v>
      </c>
      <c r="J509" s="50">
        <f t="shared" si="2"/>
        <v>271.1818182</v>
      </c>
      <c r="K509" s="51">
        <f t="shared" si="3"/>
        <v>-0.1149849145</v>
      </c>
      <c r="L509" s="20" t="str">
        <f>VLOOKUP(B509,'товар'!$A$1:$C$433,3,FALSE)</f>
        <v>Ахмад</v>
      </c>
      <c r="M509" s="52">
        <f t="shared" si="4"/>
        <v>243.3</v>
      </c>
      <c r="N509" s="53">
        <f>VLOOKUP(H509,'клиенты'!$A$1:$F$435,5,FALSE)</f>
        <v>44724</v>
      </c>
      <c r="O509" s="20">
        <f t="shared" si="5"/>
        <v>635</v>
      </c>
      <c r="P509" s="20" t="str">
        <f>VLOOKUP(H509,'клиенты'!$A$2:$J$435,10,FALSE)</f>
        <v>Россия</v>
      </c>
      <c r="Q509" s="54">
        <f t="shared" si="6"/>
        <v>46078.45901</v>
      </c>
      <c r="R509" s="55">
        <f t="shared" si="7"/>
        <v>45.14863373</v>
      </c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41">
        <v>509.0</v>
      </c>
      <c r="B510" s="41">
        <v>137.0</v>
      </c>
      <c r="C510" s="41">
        <v>432.0</v>
      </c>
      <c r="D510" s="41">
        <v>5.0</v>
      </c>
      <c r="E510" s="41">
        <f t="shared" si="1"/>
        <v>2160</v>
      </c>
      <c r="F510" s="42">
        <v>45131.0</v>
      </c>
      <c r="G510" s="41" t="s">
        <v>50</v>
      </c>
      <c r="H510" s="41">
        <v>185.0</v>
      </c>
      <c r="I510" s="41" t="str">
        <f>VLOOKUP(B510,'товар'!$A$1:$C$433,2,FALSE)</f>
        <v>Фрукты</v>
      </c>
      <c r="J510" s="43">
        <f t="shared" si="2"/>
        <v>274.1627907</v>
      </c>
      <c r="K510" s="44">
        <f t="shared" si="3"/>
        <v>0.5757061668</v>
      </c>
      <c r="L510" s="41" t="str">
        <f>VLOOKUP(B510,'товар'!$A$1:$C$433,3,FALSE)</f>
        <v>Экзотик</v>
      </c>
      <c r="M510" s="45">
        <f t="shared" si="4"/>
        <v>253.6875</v>
      </c>
      <c r="N510" s="46">
        <f>VLOOKUP(H510,'клиенты'!$A$1:$F$435,5,FALSE)</f>
        <v>44683</v>
      </c>
      <c r="O510" s="41">
        <f t="shared" si="5"/>
        <v>448</v>
      </c>
      <c r="P510" s="41" t="str">
        <f>VLOOKUP(H510,'клиенты'!$A$2:$J$435,10,FALSE)</f>
        <v>Узбекистан</v>
      </c>
      <c r="Q510" s="47">
        <f t="shared" si="6"/>
        <v>46078.45901</v>
      </c>
      <c r="R510" s="48">
        <f t="shared" si="7"/>
        <v>46.51530039</v>
      </c>
      <c r="S510" s="41"/>
      <c r="T510" s="41"/>
      <c r="U510" s="41"/>
      <c r="V510" s="41"/>
      <c r="W510" s="41"/>
      <c r="X510" s="41"/>
      <c r="Y510" s="41"/>
      <c r="Z510" s="41"/>
    </row>
    <row r="511" ht="14.25" customHeight="1">
      <c r="A511" s="20">
        <v>510.0</v>
      </c>
      <c r="B511" s="20">
        <v>246.0</v>
      </c>
      <c r="C511" s="20">
        <v>196.0</v>
      </c>
      <c r="D511" s="20">
        <v>5.0</v>
      </c>
      <c r="E511" s="20">
        <f t="shared" si="1"/>
        <v>980</v>
      </c>
      <c r="F511" s="49">
        <v>45168.0</v>
      </c>
      <c r="G511" s="20" t="s">
        <v>41</v>
      </c>
      <c r="H511" s="20">
        <v>437.0</v>
      </c>
      <c r="I511" s="20" t="str">
        <f>VLOOKUP(B511,'товар'!$A$1:$C$433,2,FALSE)</f>
        <v>Сыр</v>
      </c>
      <c r="J511" s="50">
        <f t="shared" si="2"/>
        <v>262.6349206</v>
      </c>
      <c r="K511" s="51">
        <f t="shared" si="3"/>
        <v>-0.2537169104</v>
      </c>
      <c r="L511" s="20" t="str">
        <f>VLOOKUP(B511,'товар'!$A$1:$C$433,3,FALSE)</f>
        <v>President</v>
      </c>
      <c r="M511" s="52">
        <f t="shared" si="4"/>
        <v>238.7222222</v>
      </c>
      <c r="N511" s="53">
        <f>VLOOKUP(H511,'клиенты'!$A$1:$F$435,5,FALSE)</f>
        <v>44576</v>
      </c>
      <c r="O511" s="20">
        <f t="shared" si="5"/>
        <v>592</v>
      </c>
      <c r="P511" s="20" t="str">
        <f>VLOOKUP(H511,'клиенты'!$A$2:$J$435,10,FALSE)</f>
        <v>Узбекистан</v>
      </c>
      <c r="Q511" s="54">
        <f t="shared" si="6"/>
        <v>46078.45901</v>
      </c>
      <c r="R511" s="55">
        <f t="shared" si="7"/>
        <v>50.08196706</v>
      </c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41">
        <v>511.0</v>
      </c>
      <c r="B512" s="41">
        <v>4.0</v>
      </c>
      <c r="C512" s="41">
        <v>493.0</v>
      </c>
      <c r="D512" s="41">
        <v>4.0</v>
      </c>
      <c r="E512" s="41">
        <f t="shared" si="1"/>
        <v>1972</v>
      </c>
      <c r="F512" s="42">
        <v>45155.0</v>
      </c>
      <c r="G512" s="41" t="s">
        <v>51</v>
      </c>
      <c r="H512" s="41">
        <v>263.0</v>
      </c>
      <c r="I512" s="41" t="str">
        <f>VLOOKUP(B512,'товар'!$A$1:$C$433,2,FALSE)</f>
        <v>Рис</v>
      </c>
      <c r="J512" s="43">
        <f t="shared" si="2"/>
        <v>258.375</v>
      </c>
      <c r="K512" s="44">
        <f t="shared" si="3"/>
        <v>0.908079342</v>
      </c>
      <c r="L512" s="41" t="str">
        <f>VLOOKUP(B512,'товар'!$A$1:$C$433,3,FALSE)</f>
        <v>Белый Злат</v>
      </c>
      <c r="M512" s="45">
        <f t="shared" si="4"/>
        <v>269.7058824</v>
      </c>
      <c r="N512" s="46">
        <f>VLOOKUP(H512,'клиенты'!$A$1:$F$435,5,FALSE)</f>
        <v>44612</v>
      </c>
      <c r="O512" s="41">
        <f t="shared" si="5"/>
        <v>543</v>
      </c>
      <c r="P512" s="41" t="str">
        <f>VLOOKUP(H512,'клиенты'!$A$2:$J$435,10,FALSE)</f>
        <v>Таджикистан</v>
      </c>
      <c r="Q512" s="47">
        <f t="shared" si="6"/>
        <v>46078.45901</v>
      </c>
      <c r="R512" s="48">
        <f t="shared" si="7"/>
        <v>48.88196706</v>
      </c>
      <c r="S512" s="41"/>
      <c r="T512" s="41"/>
      <c r="U512" s="41"/>
      <c r="V512" s="41"/>
      <c r="W512" s="41"/>
      <c r="X512" s="41"/>
      <c r="Y512" s="41"/>
      <c r="Z512" s="41"/>
    </row>
    <row r="513" ht="14.25" customHeight="1">
      <c r="A513" s="20">
        <v>512.0</v>
      </c>
      <c r="B513" s="20">
        <v>484.0</v>
      </c>
      <c r="C513" s="20">
        <v>436.0</v>
      </c>
      <c r="D513" s="20">
        <v>2.0</v>
      </c>
      <c r="E513" s="20">
        <f t="shared" si="1"/>
        <v>872</v>
      </c>
      <c r="F513" s="49">
        <v>45405.0</v>
      </c>
      <c r="G513" s="20" t="s">
        <v>41</v>
      </c>
      <c r="H513" s="20">
        <v>358.0</v>
      </c>
      <c r="I513" s="20" t="str">
        <f>VLOOKUP(B513,'товар'!$A$1:$C$433,2,FALSE)</f>
        <v>Печенье</v>
      </c>
      <c r="J513" s="50">
        <f t="shared" si="2"/>
        <v>283.4680851</v>
      </c>
      <c r="K513" s="51">
        <f t="shared" si="3"/>
        <v>0.5380920213</v>
      </c>
      <c r="L513" s="20" t="str">
        <f>VLOOKUP(B513,'товар'!$A$1:$C$433,3,FALSE)</f>
        <v>КДВ</v>
      </c>
      <c r="M513" s="52">
        <f t="shared" si="4"/>
        <v>323.0769231</v>
      </c>
      <c r="N513" s="53">
        <f>VLOOKUP(H513,'клиенты'!$A$1:$F$435,5,FALSE)</f>
        <v>44771</v>
      </c>
      <c r="O513" s="20">
        <f t="shared" si="5"/>
        <v>634</v>
      </c>
      <c r="P513" s="20" t="str">
        <f>VLOOKUP(H513,'клиенты'!$A$2:$J$435,10,FALSE)</f>
        <v>Украина</v>
      </c>
      <c r="Q513" s="54">
        <f t="shared" si="6"/>
        <v>46078.45901</v>
      </c>
      <c r="R513" s="55">
        <f t="shared" si="7"/>
        <v>43.58196706</v>
      </c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41">
        <v>513.0</v>
      </c>
      <c r="B514" s="41">
        <v>60.0</v>
      </c>
      <c r="C514" s="41">
        <v>412.0</v>
      </c>
      <c r="D514" s="41">
        <v>5.0</v>
      </c>
      <c r="E514" s="41">
        <f t="shared" si="1"/>
        <v>2060</v>
      </c>
      <c r="F514" s="42">
        <v>44930.0</v>
      </c>
      <c r="G514" s="41" t="s">
        <v>48</v>
      </c>
      <c r="H514" s="41">
        <v>377.0</v>
      </c>
      <c r="I514" s="41" t="str">
        <f>VLOOKUP(B514,'товар'!$A$1:$C$433,2,FALSE)</f>
        <v>Кофе</v>
      </c>
      <c r="J514" s="43">
        <f t="shared" si="2"/>
        <v>249.0238095</v>
      </c>
      <c r="K514" s="44">
        <f t="shared" si="3"/>
        <v>0.6544602734</v>
      </c>
      <c r="L514" s="41" t="str">
        <f>VLOOKUP(B514,'товар'!$A$1:$C$433,3,FALSE)</f>
        <v>Jacobs</v>
      </c>
      <c r="M514" s="45">
        <f t="shared" si="4"/>
        <v>276.2105263</v>
      </c>
      <c r="N514" s="46">
        <f>VLOOKUP(H514,'клиенты'!$A$1:$F$435,5,FALSE)</f>
        <v>44794</v>
      </c>
      <c r="O514" s="41">
        <f t="shared" si="5"/>
        <v>136</v>
      </c>
      <c r="P514" s="41" t="str">
        <f>VLOOKUP(H514,'клиенты'!$A$2:$J$435,10,FALSE)</f>
        <v>Узбекистан</v>
      </c>
      <c r="Q514" s="47">
        <f t="shared" si="6"/>
        <v>46078.45901</v>
      </c>
      <c r="R514" s="48">
        <f t="shared" si="7"/>
        <v>42.81530039</v>
      </c>
      <c r="S514" s="41"/>
      <c r="T514" s="41"/>
      <c r="U514" s="41"/>
      <c r="V514" s="41"/>
      <c r="W514" s="41"/>
      <c r="X514" s="41"/>
      <c r="Y514" s="41"/>
      <c r="Z514" s="41"/>
    </row>
    <row r="515" ht="14.25" customHeight="1">
      <c r="A515" s="20">
        <v>514.0</v>
      </c>
      <c r="B515" s="20">
        <v>477.0</v>
      </c>
      <c r="C515" s="20">
        <v>117.0</v>
      </c>
      <c r="D515" s="20">
        <v>3.0</v>
      </c>
      <c r="E515" s="20">
        <f t="shared" si="1"/>
        <v>351</v>
      </c>
      <c r="F515" s="49">
        <v>45247.0</v>
      </c>
      <c r="G515" s="20" t="s">
        <v>44</v>
      </c>
      <c r="H515" s="20">
        <v>450.0</v>
      </c>
      <c r="I515" s="20" t="str">
        <f>VLOOKUP(B515,'товар'!$A$1:$C$433,2,FALSE)</f>
        <v>Макароны</v>
      </c>
      <c r="J515" s="50">
        <f t="shared" si="2"/>
        <v>265.4767442</v>
      </c>
      <c r="K515" s="51">
        <f t="shared" si="3"/>
        <v>-0.5592834304</v>
      </c>
      <c r="L515" s="20" t="str">
        <f>VLOOKUP(B515,'товар'!$A$1:$C$433,3,FALSE)</f>
        <v>Борилла</v>
      </c>
      <c r="M515" s="52">
        <f t="shared" si="4"/>
        <v>236.2758621</v>
      </c>
      <c r="N515" s="53">
        <f>VLOOKUP(H515,'клиенты'!$A$1:$F$435,5,FALSE)</f>
        <v>44619</v>
      </c>
      <c r="O515" s="20">
        <f t="shared" si="5"/>
        <v>628</v>
      </c>
      <c r="P515" s="20" t="str">
        <f>VLOOKUP(H515,'клиенты'!$A$2:$J$435,10,FALSE)</f>
        <v>Россия</v>
      </c>
      <c r="Q515" s="54">
        <f t="shared" si="6"/>
        <v>46078.45901</v>
      </c>
      <c r="R515" s="55">
        <f t="shared" si="7"/>
        <v>48.64863373</v>
      </c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41">
        <v>515.0</v>
      </c>
      <c r="B516" s="41">
        <v>174.0</v>
      </c>
      <c r="C516" s="41">
        <v>301.0</v>
      </c>
      <c r="D516" s="41">
        <v>4.0</v>
      </c>
      <c r="E516" s="41">
        <f t="shared" si="1"/>
        <v>1204</v>
      </c>
      <c r="F516" s="42">
        <v>45382.0</v>
      </c>
      <c r="G516" s="41" t="s">
        <v>42</v>
      </c>
      <c r="H516" s="41">
        <v>210.0</v>
      </c>
      <c r="I516" s="41" t="str">
        <f>VLOOKUP(B516,'товар'!$A$1:$C$433,2,FALSE)</f>
        <v>Чай</v>
      </c>
      <c r="J516" s="43">
        <f t="shared" si="2"/>
        <v>271.1818182</v>
      </c>
      <c r="K516" s="44">
        <f t="shared" si="3"/>
        <v>0.1099564197</v>
      </c>
      <c r="L516" s="41" t="str">
        <f>VLOOKUP(B516,'товар'!$A$1:$C$433,3,FALSE)</f>
        <v>Ахмад</v>
      </c>
      <c r="M516" s="45">
        <f t="shared" si="4"/>
        <v>243.3</v>
      </c>
      <c r="N516" s="46">
        <f>VLOOKUP(H516,'клиенты'!$A$1:$F$435,5,FALSE)</f>
        <v>44602</v>
      </c>
      <c r="O516" s="41">
        <f t="shared" si="5"/>
        <v>780</v>
      </c>
      <c r="P516" s="41" t="str">
        <f>VLOOKUP(H516,'клиенты'!$A$2:$J$435,10,FALSE)</f>
        <v>Узбекистан</v>
      </c>
      <c r="Q516" s="47">
        <f t="shared" si="6"/>
        <v>46078.45901</v>
      </c>
      <c r="R516" s="48">
        <f t="shared" si="7"/>
        <v>49.21530039</v>
      </c>
      <c r="S516" s="41"/>
      <c r="T516" s="41"/>
      <c r="U516" s="41"/>
      <c r="V516" s="41"/>
      <c r="W516" s="41"/>
      <c r="X516" s="41"/>
      <c r="Y516" s="41"/>
      <c r="Z516" s="41"/>
    </row>
    <row r="517" ht="14.25" customHeight="1">
      <c r="A517" s="20">
        <v>516.0</v>
      </c>
      <c r="B517" s="20">
        <v>240.0</v>
      </c>
      <c r="C517" s="20">
        <v>156.0</v>
      </c>
      <c r="D517" s="20">
        <v>4.0</v>
      </c>
      <c r="E517" s="20">
        <f t="shared" si="1"/>
        <v>624</v>
      </c>
      <c r="F517" s="49">
        <v>45317.0</v>
      </c>
      <c r="G517" s="20" t="s">
        <v>44</v>
      </c>
      <c r="H517" s="20">
        <v>67.0</v>
      </c>
      <c r="I517" s="20" t="str">
        <f>VLOOKUP(B517,'товар'!$A$1:$C$433,2,FALSE)</f>
        <v>Макароны</v>
      </c>
      <c r="J517" s="50">
        <f t="shared" si="2"/>
        <v>265.4767442</v>
      </c>
      <c r="K517" s="51">
        <f t="shared" si="3"/>
        <v>-0.4123779072</v>
      </c>
      <c r="L517" s="20" t="str">
        <f>VLOOKUP(B517,'товар'!$A$1:$C$433,3,FALSE)</f>
        <v>Борилла</v>
      </c>
      <c r="M517" s="52">
        <f t="shared" si="4"/>
        <v>236.2758621</v>
      </c>
      <c r="N517" s="53">
        <f>VLOOKUP(H517,'клиенты'!$A$1:$F$435,5,FALSE)</f>
        <v>44731</v>
      </c>
      <c r="O517" s="20">
        <f t="shared" si="5"/>
        <v>586</v>
      </c>
      <c r="P517" s="20" t="str">
        <f>VLOOKUP(H517,'клиенты'!$A$2:$J$435,10,FALSE)</f>
        <v>Узбекистан</v>
      </c>
      <c r="Q517" s="54">
        <f t="shared" si="6"/>
        <v>46078.45901</v>
      </c>
      <c r="R517" s="55">
        <f t="shared" si="7"/>
        <v>44.91530039</v>
      </c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41">
        <v>517.0</v>
      </c>
      <c r="B518" s="41">
        <v>299.0</v>
      </c>
      <c r="C518" s="41">
        <v>141.0</v>
      </c>
      <c r="D518" s="41">
        <v>4.0</v>
      </c>
      <c r="E518" s="41">
        <f t="shared" si="1"/>
        <v>564</v>
      </c>
      <c r="F518" s="42">
        <v>45269.0</v>
      </c>
      <c r="G518" s="41" t="s">
        <v>35</v>
      </c>
      <c r="H518" s="41">
        <v>125.0</v>
      </c>
      <c r="I518" s="41" t="str">
        <f>VLOOKUP(B518,'товар'!$A$1:$C$433,2,FALSE)</f>
        <v>Чай</v>
      </c>
      <c r="J518" s="43">
        <f t="shared" si="2"/>
        <v>271.1818182</v>
      </c>
      <c r="K518" s="44">
        <f t="shared" si="3"/>
        <v>-0.4800536373</v>
      </c>
      <c r="L518" s="41" t="str">
        <f>VLOOKUP(B518,'товар'!$A$1:$C$433,3,FALSE)</f>
        <v>Lipton</v>
      </c>
      <c r="M518" s="45">
        <f t="shared" si="4"/>
        <v>260.1578947</v>
      </c>
      <c r="N518" s="46">
        <f>VLOOKUP(H518,'клиенты'!$A$1:$F$435,5,FALSE)</f>
        <v>44701</v>
      </c>
      <c r="O518" s="41">
        <f t="shared" si="5"/>
        <v>568</v>
      </c>
      <c r="P518" s="41" t="str">
        <f>VLOOKUP(H518,'клиенты'!$A$2:$J$435,10,FALSE)</f>
        <v>Россия</v>
      </c>
      <c r="Q518" s="47">
        <f t="shared" si="6"/>
        <v>46078.45901</v>
      </c>
      <c r="R518" s="48">
        <f t="shared" si="7"/>
        <v>45.91530039</v>
      </c>
      <c r="S518" s="41"/>
      <c r="T518" s="41"/>
      <c r="U518" s="41"/>
      <c r="V518" s="41"/>
      <c r="W518" s="41"/>
      <c r="X518" s="41"/>
      <c r="Y518" s="41"/>
      <c r="Z518" s="41"/>
    </row>
    <row r="519" ht="14.25" customHeight="1">
      <c r="A519" s="20">
        <v>518.0</v>
      </c>
      <c r="B519" s="20">
        <v>481.0</v>
      </c>
      <c r="C519" s="20">
        <v>463.0</v>
      </c>
      <c r="D519" s="20">
        <v>2.0</v>
      </c>
      <c r="E519" s="20">
        <f t="shared" si="1"/>
        <v>926</v>
      </c>
      <c r="F519" s="49">
        <v>45171.0</v>
      </c>
      <c r="G519" s="20" t="s">
        <v>50</v>
      </c>
      <c r="H519" s="20">
        <v>213.0</v>
      </c>
      <c r="I519" s="20" t="str">
        <f>VLOOKUP(B519,'товар'!$A$1:$C$433,2,FALSE)</f>
        <v>Чипсы</v>
      </c>
      <c r="J519" s="50">
        <f t="shared" si="2"/>
        <v>273.7254902</v>
      </c>
      <c r="K519" s="51">
        <f t="shared" si="3"/>
        <v>0.6914756447</v>
      </c>
      <c r="L519" s="20" t="str">
        <f>VLOOKUP(B519,'товар'!$A$1:$C$433,3,FALSE)</f>
        <v>Pringles</v>
      </c>
      <c r="M519" s="52">
        <f t="shared" si="4"/>
        <v>280.2380952</v>
      </c>
      <c r="N519" s="53">
        <f>VLOOKUP(H519,'клиенты'!$A$1:$F$435,5,FALSE)</f>
        <v>44733</v>
      </c>
      <c r="O519" s="20">
        <f t="shared" si="5"/>
        <v>438</v>
      </c>
      <c r="P519" s="20" t="str">
        <f>VLOOKUP(H519,'клиенты'!$A$2:$J$435,10,FALSE)</f>
        <v>Узбекистан</v>
      </c>
      <c r="Q519" s="54">
        <f t="shared" si="6"/>
        <v>46078.45901</v>
      </c>
      <c r="R519" s="55">
        <f t="shared" si="7"/>
        <v>44.84863373</v>
      </c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41">
        <v>519.0</v>
      </c>
      <c r="B520" s="41">
        <v>213.0</v>
      </c>
      <c r="C520" s="41">
        <v>432.0</v>
      </c>
      <c r="D520" s="41">
        <v>3.0</v>
      </c>
      <c r="E520" s="41">
        <f t="shared" si="1"/>
        <v>1296</v>
      </c>
      <c r="F520" s="42">
        <v>45196.0</v>
      </c>
      <c r="G520" s="41" t="s">
        <v>54</v>
      </c>
      <c r="H520" s="41">
        <v>254.0</v>
      </c>
      <c r="I520" s="41" t="str">
        <f>VLOOKUP(B520,'товар'!$A$1:$C$433,2,FALSE)</f>
        <v>Сахар</v>
      </c>
      <c r="J520" s="43">
        <f t="shared" si="2"/>
        <v>252.7627119</v>
      </c>
      <c r="K520" s="44">
        <f t="shared" si="3"/>
        <v>0.7091128546</v>
      </c>
      <c r="L520" s="41" t="str">
        <f>VLOOKUP(B520,'товар'!$A$1:$C$433,3,FALSE)</f>
        <v>Продимекс</v>
      </c>
      <c r="M520" s="45">
        <f t="shared" si="4"/>
        <v>240.5</v>
      </c>
      <c r="N520" s="46">
        <f>VLOOKUP(H520,'клиенты'!$A$1:$F$435,5,FALSE)</f>
        <v>44862</v>
      </c>
      <c r="O520" s="41">
        <f t="shared" si="5"/>
        <v>334</v>
      </c>
      <c r="P520" s="41" t="str">
        <f>VLOOKUP(H520,'клиенты'!$A$2:$J$435,10,FALSE)</f>
        <v>Беларусь</v>
      </c>
      <c r="Q520" s="47">
        <f t="shared" si="6"/>
        <v>46078.45901</v>
      </c>
      <c r="R520" s="48">
        <f t="shared" si="7"/>
        <v>40.54863373</v>
      </c>
      <c r="S520" s="41"/>
      <c r="T520" s="41"/>
      <c r="U520" s="41"/>
      <c r="V520" s="41"/>
      <c r="W520" s="41"/>
      <c r="X520" s="41"/>
      <c r="Y520" s="41"/>
      <c r="Z520" s="41"/>
    </row>
    <row r="521" ht="14.25" customHeight="1">
      <c r="A521" s="20">
        <v>520.0</v>
      </c>
      <c r="B521" s="20">
        <v>484.0</v>
      </c>
      <c r="C521" s="20">
        <v>238.0</v>
      </c>
      <c r="D521" s="20">
        <v>2.0</v>
      </c>
      <c r="E521" s="20">
        <f t="shared" si="1"/>
        <v>476</v>
      </c>
      <c r="F521" s="49">
        <v>45364.0</v>
      </c>
      <c r="G521" s="20" t="s">
        <v>42</v>
      </c>
      <c r="H521" s="20">
        <v>252.0</v>
      </c>
      <c r="I521" s="20" t="str">
        <f>VLOOKUP(B521,'товар'!$A$1:$C$433,2,FALSE)</f>
        <v>Печенье</v>
      </c>
      <c r="J521" s="50">
        <f t="shared" si="2"/>
        <v>283.4680851</v>
      </c>
      <c r="K521" s="51">
        <f t="shared" si="3"/>
        <v>-0.1603993095</v>
      </c>
      <c r="L521" s="20" t="str">
        <f>VLOOKUP(B521,'товар'!$A$1:$C$433,3,FALSE)</f>
        <v>КДВ</v>
      </c>
      <c r="M521" s="52">
        <f t="shared" si="4"/>
        <v>323.0769231</v>
      </c>
      <c r="N521" s="53">
        <f>VLOOKUP(H521,'клиенты'!$A$1:$F$435,5,FALSE)</f>
        <v>44643</v>
      </c>
      <c r="O521" s="20">
        <f t="shared" si="5"/>
        <v>721</v>
      </c>
      <c r="P521" s="20" t="str">
        <f>VLOOKUP(H521,'клиенты'!$A$2:$J$435,10,FALSE)</f>
        <v>Россия</v>
      </c>
      <c r="Q521" s="54">
        <f t="shared" si="6"/>
        <v>46078.45901</v>
      </c>
      <c r="R521" s="55">
        <f t="shared" si="7"/>
        <v>47.84863373</v>
      </c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41">
        <v>521.0</v>
      </c>
      <c r="B522" s="41">
        <v>479.0</v>
      </c>
      <c r="C522" s="41">
        <v>131.0</v>
      </c>
      <c r="D522" s="41">
        <v>5.0</v>
      </c>
      <c r="E522" s="41">
        <f t="shared" si="1"/>
        <v>655</v>
      </c>
      <c r="F522" s="42">
        <v>44965.0</v>
      </c>
      <c r="G522" s="41" t="s">
        <v>53</v>
      </c>
      <c r="H522" s="41">
        <v>164.0</v>
      </c>
      <c r="I522" s="41" t="str">
        <f>VLOOKUP(B522,'товар'!$A$1:$C$433,2,FALSE)</f>
        <v>Овощи</v>
      </c>
      <c r="J522" s="43">
        <f t="shared" si="2"/>
        <v>250.4878049</v>
      </c>
      <c r="K522" s="44">
        <f t="shared" si="3"/>
        <v>-0.4770204479</v>
      </c>
      <c r="L522" s="41" t="str">
        <f>VLOOKUP(B522,'товар'!$A$1:$C$433,3,FALSE)</f>
        <v>Гавриш</v>
      </c>
      <c r="M522" s="45">
        <f t="shared" si="4"/>
        <v>247.6666667</v>
      </c>
      <c r="N522" s="46">
        <f>VLOOKUP(H522,'клиенты'!$A$1:$F$435,5,FALSE)</f>
        <v>44678</v>
      </c>
      <c r="O522" s="41">
        <f t="shared" si="5"/>
        <v>287</v>
      </c>
      <c r="P522" s="41" t="str">
        <f>VLOOKUP(H522,'клиенты'!$A$2:$J$435,10,FALSE)</f>
        <v>Россия</v>
      </c>
      <c r="Q522" s="47">
        <f t="shared" si="6"/>
        <v>46078.45901</v>
      </c>
      <c r="R522" s="48">
        <f t="shared" si="7"/>
        <v>46.68196706</v>
      </c>
      <c r="S522" s="41"/>
      <c r="T522" s="41"/>
      <c r="U522" s="41"/>
      <c r="V522" s="41"/>
      <c r="W522" s="41"/>
      <c r="X522" s="41"/>
      <c r="Y522" s="41"/>
      <c r="Z522" s="41"/>
    </row>
    <row r="523" ht="14.25" customHeight="1">
      <c r="A523" s="20">
        <v>522.0</v>
      </c>
      <c r="B523" s="20">
        <v>159.0</v>
      </c>
      <c r="C523" s="20">
        <v>225.0</v>
      </c>
      <c r="D523" s="20">
        <v>1.0</v>
      </c>
      <c r="E523" s="20">
        <f t="shared" si="1"/>
        <v>225</v>
      </c>
      <c r="F523" s="49">
        <v>45016.0</v>
      </c>
      <c r="G523" s="20" t="s">
        <v>54</v>
      </c>
      <c r="H523" s="20">
        <v>258.0</v>
      </c>
      <c r="I523" s="20" t="str">
        <f>VLOOKUP(B523,'товар'!$A$1:$C$433,2,FALSE)</f>
        <v>Крупа</v>
      </c>
      <c r="J523" s="50">
        <f t="shared" si="2"/>
        <v>255.1162791</v>
      </c>
      <c r="K523" s="51">
        <f t="shared" si="3"/>
        <v>-0.1180492252</v>
      </c>
      <c r="L523" s="20" t="str">
        <f>VLOOKUP(B523,'товар'!$A$1:$C$433,3,FALSE)</f>
        <v>Националь</v>
      </c>
      <c r="M523" s="52">
        <f t="shared" si="4"/>
        <v>274.2857143</v>
      </c>
      <c r="N523" s="53">
        <f>VLOOKUP(H523,'клиенты'!$A$1:$F$435,5,FALSE)</f>
        <v>44717</v>
      </c>
      <c r="O523" s="20">
        <f t="shared" si="5"/>
        <v>299</v>
      </c>
      <c r="P523" s="20" t="str">
        <f>VLOOKUP(H523,'клиенты'!$A$2:$J$435,10,FALSE)</f>
        <v>Украина</v>
      </c>
      <c r="Q523" s="54">
        <f t="shared" si="6"/>
        <v>46078.45901</v>
      </c>
      <c r="R523" s="55">
        <f t="shared" si="7"/>
        <v>45.38196706</v>
      </c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41">
        <v>523.0</v>
      </c>
      <c r="B524" s="41">
        <v>110.0</v>
      </c>
      <c r="C524" s="41">
        <v>279.0</v>
      </c>
      <c r="D524" s="41">
        <v>1.0</v>
      </c>
      <c r="E524" s="41">
        <f t="shared" si="1"/>
        <v>279</v>
      </c>
      <c r="F524" s="42">
        <v>45311.0</v>
      </c>
      <c r="G524" s="41" t="s">
        <v>35</v>
      </c>
      <c r="H524" s="41">
        <v>290.0</v>
      </c>
      <c r="I524" s="41" t="str">
        <f>VLOOKUP(B524,'товар'!$A$1:$C$433,2,FALSE)</f>
        <v>Макароны</v>
      </c>
      <c r="J524" s="43">
        <f t="shared" si="2"/>
        <v>265.4767442</v>
      </c>
      <c r="K524" s="44">
        <f t="shared" si="3"/>
        <v>0.05093951207</v>
      </c>
      <c r="L524" s="41" t="str">
        <f>VLOOKUP(B524,'товар'!$A$1:$C$433,3,FALSE)</f>
        <v>Паста Зара</v>
      </c>
      <c r="M524" s="45">
        <f t="shared" si="4"/>
        <v>276.6756757</v>
      </c>
      <c r="N524" s="46">
        <f>VLOOKUP(H524,'клиенты'!$A$1:$F$435,5,FALSE)</f>
        <v>44777</v>
      </c>
      <c r="O524" s="41">
        <f t="shared" si="5"/>
        <v>534</v>
      </c>
      <c r="P524" s="41" t="str">
        <f>VLOOKUP(H524,'клиенты'!$A$2:$J$435,10,FALSE)</f>
        <v>Россия</v>
      </c>
      <c r="Q524" s="47">
        <f t="shared" si="6"/>
        <v>46078.45901</v>
      </c>
      <c r="R524" s="48">
        <f t="shared" si="7"/>
        <v>43.38196706</v>
      </c>
      <c r="S524" s="41"/>
      <c r="T524" s="41"/>
      <c r="U524" s="41"/>
      <c r="V524" s="41"/>
      <c r="W524" s="41"/>
      <c r="X524" s="41"/>
      <c r="Y524" s="41"/>
      <c r="Z524" s="41"/>
    </row>
    <row r="525" ht="14.25" customHeight="1">
      <c r="A525" s="20">
        <v>524.0</v>
      </c>
      <c r="B525" s="20">
        <v>224.0</v>
      </c>
      <c r="C525" s="20">
        <v>161.0</v>
      </c>
      <c r="D525" s="20">
        <v>2.0</v>
      </c>
      <c r="E525" s="20">
        <f t="shared" si="1"/>
        <v>322</v>
      </c>
      <c r="F525" s="49">
        <v>45177.0</v>
      </c>
      <c r="G525" s="20" t="s">
        <v>35</v>
      </c>
      <c r="H525" s="20">
        <v>336.0</v>
      </c>
      <c r="I525" s="20" t="str">
        <f>VLOOKUP(B525,'товар'!$A$1:$C$433,2,FALSE)</f>
        <v>Чипсы</v>
      </c>
      <c r="J525" s="50">
        <f t="shared" si="2"/>
        <v>273.7254902</v>
      </c>
      <c r="K525" s="51">
        <f t="shared" si="3"/>
        <v>-0.4118194842</v>
      </c>
      <c r="L525" s="20" t="str">
        <f>VLOOKUP(B525,'товар'!$A$1:$C$433,3,FALSE)</f>
        <v>Pringles</v>
      </c>
      <c r="M525" s="52">
        <f t="shared" si="4"/>
        <v>280.2380952</v>
      </c>
      <c r="N525" s="53">
        <f>VLOOKUP(H525,'клиенты'!$A$1:$F$435,5,FALSE)</f>
        <v>44856</v>
      </c>
      <c r="O525" s="20">
        <f t="shared" si="5"/>
        <v>321</v>
      </c>
      <c r="P525" s="20" t="str">
        <f>VLOOKUP(H525,'клиенты'!$A$2:$J$435,10,FALSE)</f>
        <v>Узбекистан</v>
      </c>
      <c r="Q525" s="54">
        <f t="shared" si="6"/>
        <v>46078.45901</v>
      </c>
      <c r="R525" s="55">
        <f t="shared" si="7"/>
        <v>40.74863373</v>
      </c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41">
        <v>525.0</v>
      </c>
      <c r="B526" s="41">
        <v>126.0</v>
      </c>
      <c r="C526" s="41">
        <v>267.0</v>
      </c>
      <c r="D526" s="41">
        <v>1.0</v>
      </c>
      <c r="E526" s="41">
        <f t="shared" si="1"/>
        <v>267</v>
      </c>
      <c r="F526" s="42">
        <v>44989.0</v>
      </c>
      <c r="G526" s="41" t="s">
        <v>49</v>
      </c>
      <c r="H526" s="41">
        <v>437.0</v>
      </c>
      <c r="I526" s="41" t="str">
        <f>VLOOKUP(B526,'товар'!$A$1:$C$433,2,FALSE)</f>
        <v>Сахар</v>
      </c>
      <c r="J526" s="43">
        <f t="shared" si="2"/>
        <v>252.7627119</v>
      </c>
      <c r="K526" s="44">
        <f t="shared" si="3"/>
        <v>0.05632669483</v>
      </c>
      <c r="L526" s="41" t="str">
        <f>VLOOKUP(B526,'товар'!$A$1:$C$433,3,FALSE)</f>
        <v>Русский сахар</v>
      </c>
      <c r="M526" s="45">
        <f t="shared" si="4"/>
        <v>293.4117647</v>
      </c>
      <c r="N526" s="46">
        <f>VLOOKUP(H526,'клиенты'!$A$1:$F$435,5,FALSE)</f>
        <v>44576</v>
      </c>
      <c r="O526" s="41">
        <f t="shared" si="5"/>
        <v>413</v>
      </c>
      <c r="P526" s="41" t="str">
        <f>VLOOKUP(H526,'клиенты'!$A$2:$J$435,10,FALSE)</f>
        <v>Узбекистан</v>
      </c>
      <c r="Q526" s="47">
        <f t="shared" si="6"/>
        <v>46078.45901</v>
      </c>
      <c r="R526" s="48">
        <f t="shared" si="7"/>
        <v>50.08196706</v>
      </c>
      <c r="S526" s="41"/>
      <c r="T526" s="41"/>
      <c r="U526" s="41"/>
      <c r="V526" s="41"/>
      <c r="W526" s="41"/>
      <c r="X526" s="41"/>
      <c r="Y526" s="41"/>
      <c r="Z526" s="41"/>
    </row>
    <row r="527" ht="14.25" customHeight="1">
      <c r="A527" s="20">
        <v>526.0</v>
      </c>
      <c r="B527" s="20">
        <v>344.0</v>
      </c>
      <c r="C527" s="20">
        <v>110.0</v>
      </c>
      <c r="D527" s="20">
        <v>4.0</v>
      </c>
      <c r="E527" s="20">
        <f t="shared" si="1"/>
        <v>440</v>
      </c>
      <c r="F527" s="49">
        <v>45284.0</v>
      </c>
      <c r="G527" s="20" t="s">
        <v>36</v>
      </c>
      <c r="H527" s="20">
        <v>294.0</v>
      </c>
      <c r="I527" s="20" t="str">
        <f>VLOOKUP(B527,'товар'!$A$1:$C$433,2,FALSE)</f>
        <v>Сок</v>
      </c>
      <c r="J527" s="50">
        <f t="shared" si="2"/>
        <v>268.6034483</v>
      </c>
      <c r="K527" s="51">
        <f t="shared" si="3"/>
        <v>-0.5904743565</v>
      </c>
      <c r="L527" s="20" t="str">
        <f>VLOOKUP(B527,'товар'!$A$1:$C$433,3,FALSE)</f>
        <v>Сады Придонья</v>
      </c>
      <c r="M527" s="52">
        <f t="shared" si="4"/>
        <v>254.1818182</v>
      </c>
      <c r="N527" s="53">
        <f>VLOOKUP(H527,'клиенты'!$A$1:$F$435,5,FALSE)</f>
        <v>44879</v>
      </c>
      <c r="O527" s="20">
        <f t="shared" si="5"/>
        <v>405</v>
      </c>
      <c r="P527" s="20" t="str">
        <f>VLOOKUP(H527,'клиенты'!$A$2:$J$435,10,FALSE)</f>
        <v>Украина</v>
      </c>
      <c r="Q527" s="54">
        <f t="shared" si="6"/>
        <v>46078.45901</v>
      </c>
      <c r="R527" s="55">
        <f t="shared" si="7"/>
        <v>39.98196706</v>
      </c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41">
        <v>527.0</v>
      </c>
      <c r="B528" s="41">
        <v>447.0</v>
      </c>
      <c r="C528" s="41">
        <v>316.0</v>
      </c>
      <c r="D528" s="41">
        <v>1.0</v>
      </c>
      <c r="E528" s="41">
        <f t="shared" si="1"/>
        <v>316</v>
      </c>
      <c r="F528" s="42">
        <v>45121.0</v>
      </c>
      <c r="G528" s="41" t="s">
        <v>48</v>
      </c>
      <c r="H528" s="41">
        <v>297.0</v>
      </c>
      <c r="I528" s="41" t="str">
        <f>VLOOKUP(B528,'товар'!$A$1:$C$433,2,FALSE)</f>
        <v>Йогурт</v>
      </c>
      <c r="J528" s="43">
        <f t="shared" si="2"/>
        <v>263.2542373</v>
      </c>
      <c r="K528" s="44">
        <f t="shared" si="3"/>
        <v>0.200360546</v>
      </c>
      <c r="L528" s="41" t="str">
        <f>VLOOKUP(B528,'товар'!$A$1:$C$433,3,FALSE)</f>
        <v>Эрманн</v>
      </c>
      <c r="M528" s="45">
        <f t="shared" si="4"/>
        <v>248.5</v>
      </c>
      <c r="N528" s="46">
        <f>VLOOKUP(H528,'клиенты'!$A$1:$F$435,5,FALSE)</f>
        <v>44666</v>
      </c>
      <c r="O528" s="41">
        <f t="shared" si="5"/>
        <v>455</v>
      </c>
      <c r="P528" s="41" t="str">
        <f>VLOOKUP(H528,'клиенты'!$A$2:$J$435,10,FALSE)</f>
        <v>Украина</v>
      </c>
      <c r="Q528" s="47">
        <f t="shared" si="6"/>
        <v>46078.45901</v>
      </c>
      <c r="R528" s="48">
        <f t="shared" si="7"/>
        <v>47.08196706</v>
      </c>
      <c r="S528" s="41"/>
      <c r="T528" s="41"/>
      <c r="U528" s="41"/>
      <c r="V528" s="41"/>
      <c r="W528" s="41"/>
      <c r="X528" s="41"/>
      <c r="Y528" s="41"/>
      <c r="Z528" s="41"/>
    </row>
    <row r="529" ht="14.25" customHeight="1">
      <c r="A529" s="20">
        <v>528.0</v>
      </c>
      <c r="B529" s="20">
        <v>450.0</v>
      </c>
      <c r="C529" s="20">
        <v>228.0</v>
      </c>
      <c r="D529" s="20">
        <v>4.0</v>
      </c>
      <c r="E529" s="20">
        <f t="shared" si="1"/>
        <v>912</v>
      </c>
      <c r="F529" s="49">
        <v>45193.0</v>
      </c>
      <c r="G529" s="20" t="s">
        <v>41</v>
      </c>
      <c r="H529" s="20">
        <v>27.0</v>
      </c>
      <c r="I529" s="20" t="str">
        <f>VLOOKUP(B529,'товар'!$A$1:$C$433,2,FALSE)</f>
        <v>Хлеб</v>
      </c>
      <c r="J529" s="50">
        <f t="shared" si="2"/>
        <v>300.3181818</v>
      </c>
      <c r="K529" s="51">
        <f t="shared" si="3"/>
        <v>-0.2408052066</v>
      </c>
      <c r="L529" s="20" t="str">
        <f>VLOOKUP(B529,'товар'!$A$1:$C$433,3,FALSE)</f>
        <v>Хлебный Дом</v>
      </c>
      <c r="M529" s="52">
        <f t="shared" si="4"/>
        <v>281.7333333</v>
      </c>
      <c r="N529" s="53">
        <f>VLOOKUP(H529,'клиенты'!$A$1:$F$435,5,FALSE)</f>
        <v>44586</v>
      </c>
      <c r="O529" s="20">
        <f t="shared" si="5"/>
        <v>607</v>
      </c>
      <c r="P529" s="20" t="str">
        <f>VLOOKUP(H529,'клиенты'!$A$2:$J$435,10,FALSE)</f>
        <v>Украина</v>
      </c>
      <c r="Q529" s="54">
        <f t="shared" si="6"/>
        <v>46078.45901</v>
      </c>
      <c r="R529" s="55">
        <f t="shared" si="7"/>
        <v>49.74863373</v>
      </c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41">
        <v>529.0</v>
      </c>
      <c r="B530" s="41">
        <v>60.0</v>
      </c>
      <c r="C530" s="41">
        <v>100.0</v>
      </c>
      <c r="D530" s="41">
        <v>1.0</v>
      </c>
      <c r="E530" s="41">
        <f t="shared" si="1"/>
        <v>100</v>
      </c>
      <c r="F530" s="42">
        <v>45397.0</v>
      </c>
      <c r="G530" s="41" t="s">
        <v>40</v>
      </c>
      <c r="H530" s="41">
        <v>102.0</v>
      </c>
      <c r="I530" s="41" t="str">
        <f>VLOOKUP(B530,'товар'!$A$1:$C$433,2,FALSE)</f>
        <v>Кофе</v>
      </c>
      <c r="J530" s="43">
        <f t="shared" si="2"/>
        <v>249.0238095</v>
      </c>
      <c r="K530" s="44">
        <f t="shared" si="3"/>
        <v>-0.5984319725</v>
      </c>
      <c r="L530" s="41" t="str">
        <f>VLOOKUP(B530,'товар'!$A$1:$C$433,3,FALSE)</f>
        <v>Jacobs</v>
      </c>
      <c r="M530" s="45">
        <f t="shared" si="4"/>
        <v>276.2105263</v>
      </c>
      <c r="N530" s="46">
        <f>VLOOKUP(H530,'клиенты'!$A$1:$F$435,5,FALSE)</f>
        <v>44723</v>
      </c>
      <c r="O530" s="41">
        <f t="shared" si="5"/>
        <v>674</v>
      </c>
      <c r="P530" s="41" t="str">
        <f>VLOOKUP(H530,'клиенты'!$A$2:$J$435,10,FALSE)</f>
        <v>Узбекистан</v>
      </c>
      <c r="Q530" s="47">
        <f t="shared" si="6"/>
        <v>46078.45901</v>
      </c>
      <c r="R530" s="48">
        <f t="shared" si="7"/>
        <v>45.18196706</v>
      </c>
      <c r="S530" s="41"/>
      <c r="T530" s="41"/>
      <c r="U530" s="41"/>
      <c r="V530" s="41"/>
      <c r="W530" s="41"/>
      <c r="X530" s="41"/>
      <c r="Y530" s="41"/>
      <c r="Z530" s="41"/>
    </row>
    <row r="531" ht="14.25" customHeight="1">
      <c r="A531" s="20">
        <v>530.0</v>
      </c>
      <c r="B531" s="20">
        <v>42.0</v>
      </c>
      <c r="C531" s="20">
        <v>332.0</v>
      </c>
      <c r="D531" s="20">
        <v>2.0</v>
      </c>
      <c r="E531" s="20">
        <f t="shared" si="1"/>
        <v>664</v>
      </c>
      <c r="F531" s="49">
        <v>45301.0</v>
      </c>
      <c r="G531" s="20" t="s">
        <v>45</v>
      </c>
      <c r="H531" s="20">
        <v>323.0</v>
      </c>
      <c r="I531" s="20" t="str">
        <f>VLOOKUP(B531,'товар'!$A$1:$C$433,2,FALSE)</f>
        <v>Рис</v>
      </c>
      <c r="J531" s="50">
        <f t="shared" si="2"/>
        <v>258.375</v>
      </c>
      <c r="K531" s="51">
        <f t="shared" si="3"/>
        <v>0.2849540397</v>
      </c>
      <c r="L531" s="20" t="str">
        <f>VLOOKUP(B531,'товар'!$A$1:$C$433,3,FALSE)</f>
        <v>Мистраль</v>
      </c>
      <c r="M531" s="52">
        <f t="shared" si="4"/>
        <v>181.5714286</v>
      </c>
      <c r="N531" s="53">
        <f>VLOOKUP(H531,'клиенты'!$A$1:$F$435,5,FALSE)</f>
        <v>44821</v>
      </c>
      <c r="O531" s="20">
        <f t="shared" si="5"/>
        <v>480</v>
      </c>
      <c r="P531" s="20" t="str">
        <f>VLOOKUP(H531,'клиенты'!$A$2:$J$435,10,FALSE)</f>
        <v>Таджикистан</v>
      </c>
      <c r="Q531" s="54">
        <f t="shared" si="6"/>
        <v>46078.45901</v>
      </c>
      <c r="R531" s="55">
        <f t="shared" si="7"/>
        <v>41.91530039</v>
      </c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41">
        <v>531.0</v>
      </c>
      <c r="B532" s="41">
        <v>267.0</v>
      </c>
      <c r="C532" s="41">
        <v>65.0</v>
      </c>
      <c r="D532" s="41">
        <v>2.0</v>
      </c>
      <c r="E532" s="41">
        <f t="shared" si="1"/>
        <v>130</v>
      </c>
      <c r="F532" s="42">
        <v>45142.0</v>
      </c>
      <c r="G532" s="41" t="s">
        <v>36</v>
      </c>
      <c r="H532" s="41">
        <v>53.0</v>
      </c>
      <c r="I532" s="41" t="str">
        <f>VLOOKUP(B532,'товар'!$A$1:$C$433,2,FALSE)</f>
        <v>Овощи</v>
      </c>
      <c r="J532" s="43">
        <f t="shared" si="2"/>
        <v>250.4878049</v>
      </c>
      <c r="K532" s="44">
        <f t="shared" si="3"/>
        <v>-0.7405063291</v>
      </c>
      <c r="L532" s="41" t="str">
        <f>VLOOKUP(B532,'товар'!$A$1:$C$433,3,FALSE)</f>
        <v>Семко</v>
      </c>
      <c r="M532" s="45">
        <f t="shared" si="4"/>
        <v>208</v>
      </c>
      <c r="N532" s="46">
        <f>VLOOKUP(H532,'клиенты'!$A$1:$F$435,5,FALSE)</f>
        <v>44593</v>
      </c>
      <c r="O532" s="41">
        <f t="shared" si="5"/>
        <v>549</v>
      </c>
      <c r="P532" s="41" t="str">
        <f>VLOOKUP(H532,'клиенты'!$A$2:$J$435,10,FALSE)</f>
        <v>Россия</v>
      </c>
      <c r="Q532" s="47">
        <f t="shared" si="6"/>
        <v>46078.45901</v>
      </c>
      <c r="R532" s="48">
        <f t="shared" si="7"/>
        <v>49.51530039</v>
      </c>
      <c r="S532" s="41"/>
      <c r="T532" s="41"/>
      <c r="U532" s="41"/>
      <c r="V532" s="41"/>
      <c r="W532" s="41"/>
      <c r="X532" s="41"/>
      <c r="Y532" s="41"/>
      <c r="Z532" s="41"/>
    </row>
    <row r="533" ht="14.25" customHeight="1">
      <c r="A533" s="20">
        <v>532.0</v>
      </c>
      <c r="B533" s="20">
        <v>161.0</v>
      </c>
      <c r="C533" s="20">
        <v>489.0</v>
      </c>
      <c r="D533" s="20">
        <v>5.0</v>
      </c>
      <c r="E533" s="20">
        <f t="shared" si="1"/>
        <v>2445</v>
      </c>
      <c r="F533" s="49">
        <v>45117.0</v>
      </c>
      <c r="G533" s="20" t="s">
        <v>43</v>
      </c>
      <c r="H533" s="20">
        <v>143.0</v>
      </c>
      <c r="I533" s="20" t="str">
        <f>VLOOKUP(B533,'товар'!$A$1:$C$433,2,FALSE)</f>
        <v>Молоко</v>
      </c>
      <c r="J533" s="50">
        <f t="shared" si="2"/>
        <v>294.952381</v>
      </c>
      <c r="K533" s="51">
        <f t="shared" si="3"/>
        <v>0.6578947368</v>
      </c>
      <c r="L533" s="20" t="str">
        <f>VLOOKUP(B533,'товар'!$A$1:$C$433,3,FALSE)</f>
        <v>Простоквашино</v>
      </c>
      <c r="M533" s="52">
        <f t="shared" si="4"/>
        <v>318.8181818</v>
      </c>
      <c r="N533" s="53">
        <f>VLOOKUP(H533,'клиенты'!$A$1:$F$435,5,FALSE)</f>
        <v>44601</v>
      </c>
      <c r="O533" s="20">
        <f t="shared" si="5"/>
        <v>516</v>
      </c>
      <c r="P533" s="20" t="str">
        <f>VLOOKUP(H533,'клиенты'!$A$2:$J$435,10,FALSE)</f>
        <v>Россия</v>
      </c>
      <c r="Q533" s="54">
        <f t="shared" si="6"/>
        <v>46078.45901</v>
      </c>
      <c r="R533" s="55">
        <f t="shared" si="7"/>
        <v>49.24863373</v>
      </c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41">
        <v>533.0</v>
      </c>
      <c r="B534" s="41">
        <v>83.0</v>
      </c>
      <c r="C534" s="41">
        <v>315.0</v>
      </c>
      <c r="D534" s="41">
        <v>2.0</v>
      </c>
      <c r="E534" s="41">
        <f t="shared" si="1"/>
        <v>630</v>
      </c>
      <c r="F534" s="42">
        <v>45369.0</v>
      </c>
      <c r="G534" s="41" t="s">
        <v>51</v>
      </c>
      <c r="H534" s="41">
        <v>135.0</v>
      </c>
      <c r="I534" s="41" t="str">
        <f>VLOOKUP(B534,'товар'!$A$1:$C$433,2,FALSE)</f>
        <v>Сок</v>
      </c>
      <c r="J534" s="43">
        <f t="shared" si="2"/>
        <v>268.6034483</v>
      </c>
      <c r="K534" s="44">
        <f t="shared" si="3"/>
        <v>0.1727325246</v>
      </c>
      <c r="L534" s="41" t="str">
        <f>VLOOKUP(B534,'товар'!$A$1:$C$433,3,FALSE)</f>
        <v>Сады Придонья</v>
      </c>
      <c r="M534" s="45">
        <f t="shared" si="4"/>
        <v>254.1818182</v>
      </c>
      <c r="N534" s="46">
        <f>VLOOKUP(H534,'клиенты'!$A$1:$F$435,5,FALSE)</f>
        <v>44602</v>
      </c>
      <c r="O534" s="41">
        <f t="shared" si="5"/>
        <v>767</v>
      </c>
      <c r="P534" s="41" t="str">
        <f>VLOOKUP(H534,'клиенты'!$A$2:$J$435,10,FALSE)</f>
        <v>Россия</v>
      </c>
      <c r="Q534" s="47">
        <f t="shared" si="6"/>
        <v>46078.45901</v>
      </c>
      <c r="R534" s="48">
        <f t="shared" si="7"/>
        <v>49.21530039</v>
      </c>
      <c r="S534" s="41"/>
      <c r="T534" s="41"/>
      <c r="U534" s="41"/>
      <c r="V534" s="41"/>
      <c r="W534" s="41"/>
      <c r="X534" s="41"/>
      <c r="Y534" s="41"/>
      <c r="Z534" s="41"/>
    </row>
    <row r="535" ht="14.25" customHeight="1">
      <c r="A535" s="20">
        <v>534.0</v>
      </c>
      <c r="B535" s="20">
        <v>315.0</v>
      </c>
      <c r="C535" s="20">
        <v>348.0</v>
      </c>
      <c r="D535" s="20">
        <v>2.0</v>
      </c>
      <c r="E535" s="20">
        <f t="shared" si="1"/>
        <v>696</v>
      </c>
      <c r="F535" s="49">
        <v>45002.0</v>
      </c>
      <c r="G535" s="20" t="s">
        <v>53</v>
      </c>
      <c r="H535" s="20">
        <v>402.0</v>
      </c>
      <c r="I535" s="20" t="str">
        <f>VLOOKUP(B535,'товар'!$A$1:$C$433,2,FALSE)</f>
        <v>Йогурт</v>
      </c>
      <c r="J535" s="50">
        <f t="shared" si="2"/>
        <v>263.2542373</v>
      </c>
      <c r="K535" s="51">
        <f t="shared" si="3"/>
        <v>0.3219160443</v>
      </c>
      <c r="L535" s="20" t="str">
        <f>VLOOKUP(B535,'товар'!$A$1:$C$433,3,FALSE)</f>
        <v>Чудо</v>
      </c>
      <c r="M535" s="52">
        <f t="shared" si="4"/>
        <v>287.1</v>
      </c>
      <c r="N535" s="53">
        <f>VLOOKUP(H535,'клиенты'!$A$1:$F$435,5,FALSE)</f>
        <v>44742</v>
      </c>
      <c r="O535" s="20">
        <f t="shared" si="5"/>
        <v>260</v>
      </c>
      <c r="P535" s="20" t="str">
        <f>VLOOKUP(H535,'клиенты'!$A$2:$J$435,10,FALSE)</f>
        <v>Узбекистан</v>
      </c>
      <c r="Q535" s="54">
        <f t="shared" si="6"/>
        <v>46078.45901</v>
      </c>
      <c r="R535" s="55">
        <f t="shared" si="7"/>
        <v>44.54863373</v>
      </c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41">
        <v>535.0</v>
      </c>
      <c r="B536" s="41">
        <v>121.0</v>
      </c>
      <c r="C536" s="41">
        <v>77.0</v>
      </c>
      <c r="D536" s="41">
        <v>1.0</v>
      </c>
      <c r="E536" s="41">
        <f t="shared" si="1"/>
        <v>77</v>
      </c>
      <c r="F536" s="42">
        <v>45047.0</v>
      </c>
      <c r="G536" s="41" t="s">
        <v>52</v>
      </c>
      <c r="H536" s="41">
        <v>279.0</v>
      </c>
      <c r="I536" s="41" t="str">
        <f>VLOOKUP(B536,'товар'!$A$1:$C$433,2,FALSE)</f>
        <v>Чипсы</v>
      </c>
      <c r="J536" s="43">
        <f t="shared" si="2"/>
        <v>273.7254902</v>
      </c>
      <c r="K536" s="44">
        <f t="shared" si="3"/>
        <v>-0.7186962751</v>
      </c>
      <c r="L536" s="41" t="str">
        <f>VLOOKUP(B536,'товар'!$A$1:$C$433,3,FALSE)</f>
        <v>Pringles</v>
      </c>
      <c r="M536" s="45">
        <f t="shared" si="4"/>
        <v>280.2380952</v>
      </c>
      <c r="N536" s="46">
        <f>VLOOKUP(H536,'клиенты'!$A$1:$F$435,5,FALSE)</f>
        <v>44786</v>
      </c>
      <c r="O536" s="41">
        <f t="shared" si="5"/>
        <v>261</v>
      </c>
      <c r="P536" s="41" t="str">
        <f>VLOOKUP(H536,'клиенты'!$A$2:$J$435,10,FALSE)</f>
        <v>Узбекистан</v>
      </c>
      <c r="Q536" s="47">
        <f t="shared" si="6"/>
        <v>46078.45901</v>
      </c>
      <c r="R536" s="48">
        <f t="shared" si="7"/>
        <v>43.08196706</v>
      </c>
      <c r="S536" s="41"/>
      <c r="T536" s="41"/>
      <c r="U536" s="41"/>
      <c r="V536" s="41"/>
      <c r="W536" s="41"/>
      <c r="X536" s="41"/>
      <c r="Y536" s="41"/>
      <c r="Z536" s="41"/>
    </row>
    <row r="537" ht="14.25" customHeight="1">
      <c r="A537" s="20">
        <v>536.0</v>
      </c>
      <c r="B537" s="20">
        <v>371.0</v>
      </c>
      <c r="C537" s="20">
        <v>62.0</v>
      </c>
      <c r="D537" s="20">
        <v>5.0</v>
      </c>
      <c r="E537" s="20">
        <f t="shared" si="1"/>
        <v>310</v>
      </c>
      <c r="F537" s="49">
        <v>45330.0</v>
      </c>
      <c r="G537" s="20" t="s">
        <v>37</v>
      </c>
      <c r="H537" s="20">
        <v>385.0</v>
      </c>
      <c r="I537" s="20" t="str">
        <f>VLOOKUP(B537,'товар'!$A$1:$C$433,2,FALSE)</f>
        <v>Сахар</v>
      </c>
      <c r="J537" s="50">
        <f t="shared" si="2"/>
        <v>252.7627119</v>
      </c>
      <c r="K537" s="51">
        <f t="shared" si="3"/>
        <v>-0.7547106551</v>
      </c>
      <c r="L537" s="20" t="str">
        <f>VLOOKUP(B537,'товар'!$A$1:$C$433,3,FALSE)</f>
        <v>Русский сахар</v>
      </c>
      <c r="M537" s="52">
        <f t="shared" si="4"/>
        <v>293.4117647</v>
      </c>
      <c r="N537" s="53">
        <f>VLOOKUP(H537,'клиенты'!$A$1:$F$435,5,FALSE)</f>
        <v>44753</v>
      </c>
      <c r="O537" s="20">
        <f t="shared" si="5"/>
        <v>577</v>
      </c>
      <c r="P537" s="20" t="str">
        <f>VLOOKUP(H537,'клиенты'!$A$2:$J$435,10,FALSE)</f>
        <v>Украина</v>
      </c>
      <c r="Q537" s="54">
        <f t="shared" si="6"/>
        <v>46078.45901</v>
      </c>
      <c r="R537" s="55">
        <f t="shared" si="7"/>
        <v>44.18196706</v>
      </c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41">
        <v>537.0</v>
      </c>
      <c r="B538" s="41">
        <v>169.0</v>
      </c>
      <c r="C538" s="41">
        <v>429.0</v>
      </c>
      <c r="D538" s="41">
        <v>2.0</v>
      </c>
      <c r="E538" s="41">
        <f t="shared" si="1"/>
        <v>858</v>
      </c>
      <c r="F538" s="42">
        <v>45289.0</v>
      </c>
      <c r="G538" s="41" t="s">
        <v>47</v>
      </c>
      <c r="H538" s="41">
        <v>326.0</v>
      </c>
      <c r="I538" s="41" t="str">
        <f>VLOOKUP(B538,'товар'!$A$1:$C$433,2,FALSE)</f>
        <v>Фрукты</v>
      </c>
      <c r="J538" s="43">
        <f t="shared" si="2"/>
        <v>274.1627907</v>
      </c>
      <c r="K538" s="44">
        <f t="shared" si="3"/>
        <v>0.5647637628</v>
      </c>
      <c r="L538" s="41" t="str">
        <f>VLOOKUP(B538,'товар'!$A$1:$C$433,3,FALSE)</f>
        <v>Фруктовый Рай</v>
      </c>
      <c r="M538" s="45">
        <f t="shared" si="4"/>
        <v>258.3076923</v>
      </c>
      <c r="N538" s="46">
        <f>VLOOKUP(H538,'клиенты'!$A$1:$F$435,5,FALSE)</f>
        <v>44655</v>
      </c>
      <c r="O538" s="41">
        <f t="shared" si="5"/>
        <v>634</v>
      </c>
      <c r="P538" s="41" t="str">
        <f>VLOOKUP(H538,'клиенты'!$A$2:$J$435,10,FALSE)</f>
        <v>Россия</v>
      </c>
      <c r="Q538" s="47">
        <f t="shared" si="6"/>
        <v>46078.45901</v>
      </c>
      <c r="R538" s="48">
        <f t="shared" si="7"/>
        <v>47.44863373</v>
      </c>
      <c r="S538" s="41"/>
      <c r="T538" s="41"/>
      <c r="U538" s="41"/>
      <c r="V538" s="41"/>
      <c r="W538" s="41"/>
      <c r="X538" s="41"/>
      <c r="Y538" s="41"/>
      <c r="Z538" s="41"/>
    </row>
    <row r="539" ht="14.25" customHeight="1">
      <c r="A539" s="20">
        <v>538.0</v>
      </c>
      <c r="B539" s="20">
        <v>433.0</v>
      </c>
      <c r="C539" s="20">
        <v>115.0</v>
      </c>
      <c r="D539" s="20">
        <v>4.0</v>
      </c>
      <c r="E539" s="20">
        <f t="shared" si="1"/>
        <v>460</v>
      </c>
      <c r="F539" s="49">
        <v>45203.0</v>
      </c>
      <c r="G539" s="20" t="s">
        <v>36</v>
      </c>
      <c r="H539" s="20">
        <v>138.0</v>
      </c>
      <c r="I539" s="20" t="str">
        <f>VLOOKUP(B539,'товар'!$A$1:$C$433,2,FALSE)</f>
        <v>Рыба</v>
      </c>
      <c r="J539" s="50">
        <f t="shared" si="2"/>
        <v>258.5128205</v>
      </c>
      <c r="K539" s="51">
        <f t="shared" si="3"/>
        <v>-0.5551477881</v>
      </c>
      <c r="L539" s="20" t="str">
        <f>VLOOKUP(B539,'товар'!$A$1:$C$433,3,FALSE)</f>
        <v>Меридиан</v>
      </c>
      <c r="M539" s="52">
        <f t="shared" si="4"/>
        <v>260.6470588</v>
      </c>
      <c r="N539" s="53">
        <f>VLOOKUP(H539,'клиенты'!$A$1:$F$435,5,FALSE)</f>
        <v>44723</v>
      </c>
      <c r="O539" s="20">
        <f t="shared" si="5"/>
        <v>480</v>
      </c>
      <c r="P539" s="20" t="str">
        <f>VLOOKUP(H539,'клиенты'!$A$2:$J$435,10,FALSE)</f>
        <v>Украина</v>
      </c>
      <c r="Q539" s="54">
        <f t="shared" si="6"/>
        <v>46078.45901</v>
      </c>
      <c r="R539" s="55">
        <f t="shared" si="7"/>
        <v>45.18196706</v>
      </c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41">
        <v>539.0</v>
      </c>
      <c r="B540" s="41">
        <v>43.0</v>
      </c>
      <c r="C540" s="41">
        <v>158.0</v>
      </c>
      <c r="D540" s="41">
        <v>5.0</v>
      </c>
      <c r="E540" s="41">
        <f t="shared" si="1"/>
        <v>790</v>
      </c>
      <c r="F540" s="42">
        <v>45397.0</v>
      </c>
      <c r="G540" s="41" t="s">
        <v>51</v>
      </c>
      <c r="H540" s="41">
        <v>271.0</v>
      </c>
      <c r="I540" s="41" t="str">
        <f>VLOOKUP(B540,'товар'!$A$1:$C$433,2,FALSE)</f>
        <v>Печенье</v>
      </c>
      <c r="J540" s="43">
        <f t="shared" si="2"/>
        <v>283.4680851</v>
      </c>
      <c r="K540" s="44">
        <f t="shared" si="3"/>
        <v>-0.442618029</v>
      </c>
      <c r="L540" s="41" t="str">
        <f>VLOOKUP(B540,'товар'!$A$1:$C$433,3,FALSE)</f>
        <v>КДВ</v>
      </c>
      <c r="M540" s="45">
        <f t="shared" si="4"/>
        <v>323.0769231</v>
      </c>
      <c r="N540" s="46">
        <f>VLOOKUP(H540,'клиенты'!$A$1:$F$435,5,FALSE)</f>
        <v>44892</v>
      </c>
      <c r="O540" s="41">
        <f t="shared" si="5"/>
        <v>505</v>
      </c>
      <c r="P540" s="41" t="str">
        <f>VLOOKUP(H540,'клиенты'!$A$2:$J$435,10,FALSE)</f>
        <v>Беларусь</v>
      </c>
      <c r="Q540" s="47">
        <f t="shared" si="6"/>
        <v>46078.45901</v>
      </c>
      <c r="R540" s="48">
        <f t="shared" si="7"/>
        <v>39.54863373</v>
      </c>
      <c r="S540" s="41"/>
      <c r="T540" s="41"/>
      <c r="U540" s="41"/>
      <c r="V540" s="41"/>
      <c r="W540" s="41"/>
      <c r="X540" s="41"/>
      <c r="Y540" s="41"/>
      <c r="Z540" s="41"/>
    </row>
    <row r="541" ht="14.25" customHeight="1">
      <c r="A541" s="20">
        <v>540.0</v>
      </c>
      <c r="B541" s="20">
        <v>453.0</v>
      </c>
      <c r="C541" s="20">
        <v>318.0</v>
      </c>
      <c r="D541" s="20">
        <v>4.0</v>
      </c>
      <c r="E541" s="20">
        <f t="shared" si="1"/>
        <v>1272</v>
      </c>
      <c r="F541" s="49">
        <v>45355.0</v>
      </c>
      <c r="G541" s="20" t="s">
        <v>51</v>
      </c>
      <c r="H541" s="20">
        <v>408.0</v>
      </c>
      <c r="I541" s="20" t="str">
        <f>VLOOKUP(B541,'товар'!$A$1:$C$433,2,FALSE)</f>
        <v>Макароны</v>
      </c>
      <c r="J541" s="50">
        <f t="shared" si="2"/>
        <v>265.4767442</v>
      </c>
      <c r="K541" s="51">
        <f t="shared" si="3"/>
        <v>0.1978450353</v>
      </c>
      <c r="L541" s="20" t="str">
        <f>VLOOKUP(B541,'товар'!$A$1:$C$433,3,FALSE)</f>
        <v>Макфа</v>
      </c>
      <c r="M541" s="52">
        <f t="shared" si="4"/>
        <v>329.2727273</v>
      </c>
      <c r="N541" s="53">
        <f>VLOOKUP(H541,'клиенты'!$A$1:$F$435,5,FALSE)</f>
        <v>44857</v>
      </c>
      <c r="O541" s="20">
        <f t="shared" si="5"/>
        <v>498</v>
      </c>
      <c r="P541" s="20" t="str">
        <f>VLOOKUP(H541,'клиенты'!$A$2:$J$435,10,FALSE)</f>
        <v>Россия</v>
      </c>
      <c r="Q541" s="54">
        <f t="shared" si="6"/>
        <v>46078.45901</v>
      </c>
      <c r="R541" s="55">
        <f t="shared" si="7"/>
        <v>40.71530039</v>
      </c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41">
        <v>541.0</v>
      </c>
      <c r="B542" s="41">
        <v>403.0</v>
      </c>
      <c r="C542" s="41">
        <v>184.0</v>
      </c>
      <c r="D542" s="41">
        <v>5.0</v>
      </c>
      <c r="E542" s="41">
        <f t="shared" si="1"/>
        <v>920</v>
      </c>
      <c r="F542" s="42">
        <v>45378.0</v>
      </c>
      <c r="G542" s="41" t="s">
        <v>52</v>
      </c>
      <c r="H542" s="41">
        <v>444.0</v>
      </c>
      <c r="I542" s="41" t="str">
        <f>VLOOKUP(B542,'товар'!$A$1:$C$433,2,FALSE)</f>
        <v>Чай</v>
      </c>
      <c r="J542" s="43">
        <f t="shared" si="2"/>
        <v>271.1818182</v>
      </c>
      <c r="K542" s="44">
        <f t="shared" si="3"/>
        <v>-0.3214884345</v>
      </c>
      <c r="L542" s="41" t="str">
        <f>VLOOKUP(B542,'товар'!$A$1:$C$433,3,FALSE)</f>
        <v>Ахмад</v>
      </c>
      <c r="M542" s="45">
        <f t="shared" si="4"/>
        <v>243.3</v>
      </c>
      <c r="N542" s="46">
        <f>VLOOKUP(H542,'клиенты'!$A$1:$F$435,5,FALSE)</f>
        <v>44688</v>
      </c>
      <c r="O542" s="41">
        <f t="shared" si="5"/>
        <v>690</v>
      </c>
      <c r="P542" s="41" t="str">
        <f>VLOOKUP(H542,'клиенты'!$A$2:$J$435,10,FALSE)</f>
        <v>Россия</v>
      </c>
      <c r="Q542" s="47">
        <f t="shared" si="6"/>
        <v>46078.45901</v>
      </c>
      <c r="R542" s="48">
        <f t="shared" si="7"/>
        <v>46.34863373</v>
      </c>
      <c r="S542" s="41"/>
      <c r="T542" s="41"/>
      <c r="U542" s="41"/>
      <c r="V542" s="41"/>
      <c r="W542" s="41"/>
      <c r="X542" s="41"/>
      <c r="Y542" s="41"/>
      <c r="Z542" s="41"/>
    </row>
    <row r="543" ht="14.25" customHeight="1">
      <c r="A543" s="20">
        <v>542.0</v>
      </c>
      <c r="B543" s="20">
        <v>248.0</v>
      </c>
      <c r="C543" s="20">
        <v>497.0</v>
      </c>
      <c r="D543" s="20">
        <v>2.0</v>
      </c>
      <c r="E543" s="20">
        <f t="shared" si="1"/>
        <v>994</v>
      </c>
      <c r="F543" s="49">
        <v>45051.0</v>
      </c>
      <c r="G543" s="20" t="s">
        <v>48</v>
      </c>
      <c r="H543" s="20">
        <v>116.0</v>
      </c>
      <c r="I543" s="20" t="str">
        <f>VLOOKUP(B543,'товар'!$A$1:$C$433,2,FALSE)</f>
        <v>Конфеты</v>
      </c>
      <c r="J543" s="50">
        <f t="shared" si="2"/>
        <v>267.8548387</v>
      </c>
      <c r="K543" s="51">
        <f t="shared" si="3"/>
        <v>0.8554826278</v>
      </c>
      <c r="L543" s="20" t="str">
        <f>VLOOKUP(B543,'товар'!$A$1:$C$433,3,FALSE)</f>
        <v>Красный Октябрь</v>
      </c>
      <c r="M543" s="52">
        <f t="shared" si="4"/>
        <v>273.625</v>
      </c>
      <c r="N543" s="53">
        <f>VLOOKUP(H543,'клиенты'!$A$1:$F$435,5,FALSE)</f>
        <v>44643</v>
      </c>
      <c r="O543" s="20">
        <f t="shared" si="5"/>
        <v>408</v>
      </c>
      <c r="P543" s="20" t="str">
        <f>VLOOKUP(H543,'клиенты'!$A$2:$J$435,10,FALSE)</f>
        <v>Россия</v>
      </c>
      <c r="Q543" s="54">
        <f t="shared" si="6"/>
        <v>46078.45901</v>
      </c>
      <c r="R543" s="55">
        <f t="shared" si="7"/>
        <v>47.84863373</v>
      </c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41">
        <v>543.0</v>
      </c>
      <c r="B544" s="41">
        <v>492.0</v>
      </c>
      <c r="C544" s="41">
        <v>469.0</v>
      </c>
      <c r="D544" s="41">
        <v>4.0</v>
      </c>
      <c r="E544" s="41">
        <f t="shared" si="1"/>
        <v>1876</v>
      </c>
      <c r="F544" s="42">
        <v>45386.0</v>
      </c>
      <c r="G544" s="41" t="s">
        <v>37</v>
      </c>
      <c r="H544" s="41">
        <v>38.0</v>
      </c>
      <c r="I544" s="41" t="str">
        <f>VLOOKUP(B544,'товар'!$A$1:$C$433,2,FALSE)</f>
        <v>Рыба</v>
      </c>
      <c r="J544" s="43">
        <f t="shared" si="2"/>
        <v>258.5128205</v>
      </c>
      <c r="K544" s="44">
        <f t="shared" si="3"/>
        <v>0.8142233684</v>
      </c>
      <c r="L544" s="41" t="str">
        <f>VLOOKUP(B544,'товар'!$A$1:$C$433,3,FALSE)</f>
        <v>Русское море</v>
      </c>
      <c r="M544" s="45">
        <f t="shared" si="4"/>
        <v>292.6666667</v>
      </c>
      <c r="N544" s="46">
        <f>VLOOKUP(H544,'клиенты'!$A$1:$F$435,5,FALSE)</f>
        <v>44819</v>
      </c>
      <c r="O544" s="41">
        <f t="shared" si="5"/>
        <v>567</v>
      </c>
      <c r="P544" s="41" t="str">
        <f>VLOOKUP(H544,'клиенты'!$A$2:$J$435,10,FALSE)</f>
        <v>Таджикистан</v>
      </c>
      <c r="Q544" s="47">
        <f t="shared" si="6"/>
        <v>46078.45901</v>
      </c>
      <c r="R544" s="48">
        <f t="shared" si="7"/>
        <v>41.98196706</v>
      </c>
      <c r="S544" s="41"/>
      <c r="T544" s="41"/>
      <c r="U544" s="41"/>
      <c r="V544" s="41"/>
      <c r="W544" s="41"/>
      <c r="X544" s="41"/>
      <c r="Y544" s="41"/>
      <c r="Z544" s="41"/>
    </row>
    <row r="545" ht="14.25" customHeight="1">
      <c r="A545" s="20">
        <v>544.0</v>
      </c>
      <c r="B545" s="20">
        <v>428.0</v>
      </c>
      <c r="C545" s="20">
        <v>263.0</v>
      </c>
      <c r="D545" s="20">
        <v>4.0</v>
      </c>
      <c r="E545" s="20">
        <f t="shared" si="1"/>
        <v>1052</v>
      </c>
      <c r="F545" s="49">
        <v>45385.0</v>
      </c>
      <c r="G545" s="20" t="s">
        <v>50</v>
      </c>
      <c r="H545" s="20">
        <v>136.0</v>
      </c>
      <c r="I545" s="20" t="str">
        <f>VLOOKUP(B545,'товар'!$A$1:$C$433,2,FALSE)</f>
        <v>Конфеты</v>
      </c>
      <c r="J545" s="50">
        <f t="shared" si="2"/>
        <v>267.8548387</v>
      </c>
      <c r="K545" s="51">
        <f t="shared" si="3"/>
        <v>-0.0181248871</v>
      </c>
      <c r="L545" s="20" t="str">
        <f>VLOOKUP(B545,'товар'!$A$1:$C$433,3,FALSE)</f>
        <v>Бабаевский</v>
      </c>
      <c r="M545" s="52">
        <f t="shared" si="4"/>
        <v>250.2592593</v>
      </c>
      <c r="N545" s="53">
        <f>VLOOKUP(H545,'клиенты'!$A$1:$F$435,5,FALSE)</f>
        <v>44860</v>
      </c>
      <c r="O545" s="20">
        <f t="shared" si="5"/>
        <v>525</v>
      </c>
      <c r="P545" s="20" t="str">
        <f>VLOOKUP(H545,'клиенты'!$A$2:$J$435,10,FALSE)</f>
        <v>Украина</v>
      </c>
      <c r="Q545" s="54">
        <f t="shared" si="6"/>
        <v>46078.45901</v>
      </c>
      <c r="R545" s="55">
        <f t="shared" si="7"/>
        <v>40.61530039</v>
      </c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41">
        <v>545.0</v>
      </c>
      <c r="B546" s="41">
        <v>91.0</v>
      </c>
      <c r="C546" s="41">
        <v>335.0</v>
      </c>
      <c r="D546" s="41">
        <v>2.0</v>
      </c>
      <c r="E546" s="41">
        <f t="shared" si="1"/>
        <v>670</v>
      </c>
      <c r="F546" s="42">
        <v>45186.0</v>
      </c>
      <c r="G546" s="41" t="s">
        <v>44</v>
      </c>
      <c r="H546" s="41">
        <v>310.0</v>
      </c>
      <c r="I546" s="41" t="str">
        <f>VLOOKUP(B546,'товар'!$A$1:$C$433,2,FALSE)</f>
        <v>Сыр</v>
      </c>
      <c r="J546" s="43">
        <f t="shared" si="2"/>
        <v>262.6349206</v>
      </c>
      <c r="K546" s="44">
        <f t="shared" si="3"/>
        <v>0.2755348725</v>
      </c>
      <c r="L546" s="41" t="str">
        <f>VLOOKUP(B546,'товар'!$A$1:$C$433,3,FALSE)</f>
        <v>Сырная долина</v>
      </c>
      <c r="M546" s="45">
        <f t="shared" si="4"/>
        <v>271</v>
      </c>
      <c r="N546" s="46">
        <f>VLOOKUP(H546,'клиенты'!$A$1:$F$435,5,FALSE)</f>
        <v>44807</v>
      </c>
      <c r="O546" s="41">
        <f t="shared" si="5"/>
        <v>379</v>
      </c>
      <c r="P546" s="41" t="str">
        <f>VLOOKUP(H546,'клиенты'!$A$2:$J$435,10,FALSE)</f>
        <v>Таджикистан</v>
      </c>
      <c r="Q546" s="47">
        <f t="shared" si="6"/>
        <v>46078.45901</v>
      </c>
      <c r="R546" s="48">
        <f t="shared" si="7"/>
        <v>42.38196706</v>
      </c>
      <c r="S546" s="41"/>
      <c r="T546" s="41"/>
      <c r="U546" s="41"/>
      <c r="V546" s="41"/>
      <c r="W546" s="41"/>
      <c r="X546" s="41"/>
      <c r="Y546" s="41"/>
      <c r="Z546" s="41"/>
    </row>
    <row r="547" ht="14.25" customHeight="1">
      <c r="A547" s="20">
        <v>546.0</v>
      </c>
      <c r="B547" s="20">
        <v>122.0</v>
      </c>
      <c r="C547" s="20">
        <v>309.0</v>
      </c>
      <c r="D547" s="20">
        <v>3.0</v>
      </c>
      <c r="E547" s="20">
        <f t="shared" si="1"/>
        <v>927</v>
      </c>
      <c r="F547" s="49">
        <v>45073.0</v>
      </c>
      <c r="G547" s="20" t="s">
        <v>39</v>
      </c>
      <c r="H547" s="20">
        <v>263.0</v>
      </c>
      <c r="I547" s="20" t="str">
        <f>VLOOKUP(B547,'товар'!$A$1:$C$433,2,FALSE)</f>
        <v>Фрукты</v>
      </c>
      <c r="J547" s="50">
        <f t="shared" si="2"/>
        <v>274.1627907</v>
      </c>
      <c r="K547" s="51">
        <f t="shared" si="3"/>
        <v>0.1270676054</v>
      </c>
      <c r="L547" s="20" t="str">
        <f>VLOOKUP(B547,'товар'!$A$1:$C$433,3,FALSE)</f>
        <v>Фрукты-Ягоды</v>
      </c>
      <c r="M547" s="52">
        <f t="shared" si="4"/>
        <v>280.6666667</v>
      </c>
      <c r="N547" s="53">
        <f>VLOOKUP(H547,'клиенты'!$A$1:$F$435,5,FALSE)</f>
        <v>44612</v>
      </c>
      <c r="O547" s="20">
        <f t="shared" si="5"/>
        <v>461</v>
      </c>
      <c r="P547" s="20" t="str">
        <f>VLOOKUP(H547,'клиенты'!$A$2:$J$435,10,FALSE)</f>
        <v>Таджикистан</v>
      </c>
      <c r="Q547" s="54">
        <f t="shared" si="6"/>
        <v>46078.45901</v>
      </c>
      <c r="R547" s="55">
        <f t="shared" si="7"/>
        <v>48.88196706</v>
      </c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41">
        <v>547.0</v>
      </c>
      <c r="B548" s="41">
        <v>444.0</v>
      </c>
      <c r="C548" s="41">
        <v>59.0</v>
      </c>
      <c r="D548" s="41">
        <v>2.0</v>
      </c>
      <c r="E548" s="41">
        <f t="shared" si="1"/>
        <v>118</v>
      </c>
      <c r="F548" s="42">
        <v>45263.0</v>
      </c>
      <c r="G548" s="41" t="s">
        <v>40</v>
      </c>
      <c r="H548" s="41">
        <v>381.0</v>
      </c>
      <c r="I548" s="41" t="str">
        <f>VLOOKUP(B548,'товар'!$A$1:$C$433,2,FALSE)</f>
        <v>Йогурт</v>
      </c>
      <c r="J548" s="43">
        <f t="shared" si="2"/>
        <v>263.2542373</v>
      </c>
      <c r="K548" s="44">
        <f t="shared" si="3"/>
        <v>-0.77588205</v>
      </c>
      <c r="L548" s="41" t="str">
        <f>VLOOKUP(B548,'товар'!$A$1:$C$433,3,FALSE)</f>
        <v>Эрманн</v>
      </c>
      <c r="M548" s="45">
        <f t="shared" si="4"/>
        <v>248.5</v>
      </c>
      <c r="N548" s="46">
        <f>VLOOKUP(H548,'клиенты'!$A$1:$F$435,5,FALSE)</f>
        <v>44714</v>
      </c>
      <c r="O548" s="41">
        <f t="shared" si="5"/>
        <v>549</v>
      </c>
      <c r="P548" s="41" t="str">
        <f>VLOOKUP(H548,'клиенты'!$A$2:$J$435,10,FALSE)</f>
        <v>Узбекистан</v>
      </c>
      <c r="Q548" s="47">
        <f t="shared" si="6"/>
        <v>46078.45901</v>
      </c>
      <c r="R548" s="48">
        <f t="shared" si="7"/>
        <v>45.48196706</v>
      </c>
      <c r="S548" s="41"/>
      <c r="T548" s="41"/>
      <c r="U548" s="41"/>
      <c r="V548" s="41"/>
      <c r="W548" s="41"/>
      <c r="X548" s="41"/>
      <c r="Y548" s="41"/>
      <c r="Z548" s="41"/>
    </row>
    <row r="549" ht="14.25" customHeight="1">
      <c r="A549" s="20">
        <v>548.0</v>
      </c>
      <c r="B549" s="20">
        <v>334.0</v>
      </c>
      <c r="C549" s="20">
        <v>459.0</v>
      </c>
      <c r="D549" s="20">
        <v>5.0</v>
      </c>
      <c r="E549" s="20">
        <f t="shared" si="1"/>
        <v>2295</v>
      </c>
      <c r="F549" s="49">
        <v>45146.0</v>
      </c>
      <c r="G549" s="20" t="s">
        <v>45</v>
      </c>
      <c r="H549" s="20">
        <v>167.0</v>
      </c>
      <c r="I549" s="20" t="str">
        <f>VLOOKUP(B549,'товар'!$A$1:$C$433,2,FALSE)</f>
        <v>Молоко</v>
      </c>
      <c r="J549" s="50">
        <f t="shared" si="2"/>
        <v>294.952381</v>
      </c>
      <c r="K549" s="51">
        <f t="shared" si="3"/>
        <v>0.5561834033</v>
      </c>
      <c r="L549" s="20" t="str">
        <f>VLOOKUP(B549,'товар'!$A$1:$C$433,3,FALSE)</f>
        <v>Домик в деревне</v>
      </c>
      <c r="M549" s="52">
        <f t="shared" si="4"/>
        <v>274.7777778</v>
      </c>
      <c r="N549" s="53">
        <f>VLOOKUP(H549,'клиенты'!$A$1:$F$435,5,FALSE)</f>
        <v>44563</v>
      </c>
      <c r="O549" s="20">
        <f t="shared" si="5"/>
        <v>583</v>
      </c>
      <c r="P549" s="20" t="str">
        <f>VLOOKUP(H549,'клиенты'!$A$2:$J$435,10,FALSE)</f>
        <v>Узбекистан</v>
      </c>
      <c r="Q549" s="54">
        <f t="shared" si="6"/>
        <v>46078.45901</v>
      </c>
      <c r="R549" s="55">
        <f t="shared" si="7"/>
        <v>50.51530039</v>
      </c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41">
        <v>549.0</v>
      </c>
      <c r="B550" s="41">
        <v>431.0</v>
      </c>
      <c r="C550" s="41">
        <v>149.0</v>
      </c>
      <c r="D550" s="41">
        <v>5.0</v>
      </c>
      <c r="E550" s="41">
        <f t="shared" si="1"/>
        <v>745</v>
      </c>
      <c r="F550" s="42">
        <v>45271.0</v>
      </c>
      <c r="G550" s="41" t="s">
        <v>44</v>
      </c>
      <c r="H550" s="41">
        <v>12.0</v>
      </c>
      <c r="I550" s="41" t="str">
        <f>VLOOKUP(B550,'товар'!$A$1:$C$433,2,FALSE)</f>
        <v>Овощи</v>
      </c>
      <c r="J550" s="43">
        <f t="shared" si="2"/>
        <v>250.4878049</v>
      </c>
      <c r="K550" s="44">
        <f t="shared" si="3"/>
        <v>-0.4051606621</v>
      </c>
      <c r="L550" s="41" t="str">
        <f>VLOOKUP(B550,'товар'!$A$1:$C$433,3,FALSE)</f>
        <v>Гавриш</v>
      </c>
      <c r="M550" s="45">
        <f t="shared" si="4"/>
        <v>247.6666667</v>
      </c>
      <c r="N550" s="46">
        <f>VLOOKUP(H550,'клиенты'!$A$1:$F$435,5,FALSE)</f>
        <v>44842</v>
      </c>
      <c r="O550" s="41">
        <f t="shared" si="5"/>
        <v>429</v>
      </c>
      <c r="P550" s="41" t="str">
        <f>VLOOKUP(H550,'клиенты'!$A$2:$J$435,10,FALSE)</f>
        <v>Беларусь</v>
      </c>
      <c r="Q550" s="47">
        <f t="shared" si="6"/>
        <v>46078.45901</v>
      </c>
      <c r="R550" s="48">
        <f t="shared" si="7"/>
        <v>41.21530039</v>
      </c>
      <c r="S550" s="41"/>
      <c r="T550" s="41"/>
      <c r="U550" s="41"/>
      <c r="V550" s="41"/>
      <c r="W550" s="41"/>
      <c r="X550" s="41"/>
      <c r="Y550" s="41"/>
      <c r="Z550" s="41"/>
    </row>
    <row r="551" ht="14.25" customHeight="1">
      <c r="A551" s="20">
        <v>550.0</v>
      </c>
      <c r="B551" s="20">
        <v>62.0</v>
      </c>
      <c r="C551" s="20">
        <v>88.0</v>
      </c>
      <c r="D551" s="20">
        <v>1.0</v>
      </c>
      <c r="E551" s="20">
        <f t="shared" si="1"/>
        <v>88</v>
      </c>
      <c r="F551" s="49">
        <v>44950.0</v>
      </c>
      <c r="G551" s="20" t="s">
        <v>42</v>
      </c>
      <c r="H551" s="20">
        <v>44.0</v>
      </c>
      <c r="I551" s="20" t="str">
        <f>VLOOKUP(B551,'товар'!$A$1:$C$433,2,FALSE)</f>
        <v>Рыба</v>
      </c>
      <c r="J551" s="50">
        <f t="shared" si="2"/>
        <v>258.5128205</v>
      </c>
      <c r="K551" s="51">
        <f t="shared" si="3"/>
        <v>-0.6595913509</v>
      </c>
      <c r="L551" s="20" t="str">
        <f>VLOOKUP(B551,'товар'!$A$1:$C$433,3,FALSE)</f>
        <v>Балтийский берег</v>
      </c>
      <c r="M551" s="52">
        <f t="shared" si="4"/>
        <v>289.8888889</v>
      </c>
      <c r="N551" s="53">
        <f>VLOOKUP(H551,'клиенты'!$A$1:$F$435,5,FALSE)</f>
        <v>44701</v>
      </c>
      <c r="O551" s="20">
        <f t="shared" si="5"/>
        <v>249</v>
      </c>
      <c r="P551" s="20" t="str">
        <f>VLOOKUP(H551,'клиенты'!$A$2:$J$435,10,FALSE)</f>
        <v>Беларусь</v>
      </c>
      <c r="Q551" s="54">
        <f t="shared" si="6"/>
        <v>46078.45901</v>
      </c>
      <c r="R551" s="55">
        <f t="shared" si="7"/>
        <v>45.91530039</v>
      </c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41">
        <v>551.0</v>
      </c>
      <c r="B552" s="41">
        <v>458.0</v>
      </c>
      <c r="C552" s="41">
        <v>79.0</v>
      </c>
      <c r="D552" s="41">
        <v>2.0</v>
      </c>
      <c r="E552" s="41">
        <f t="shared" si="1"/>
        <v>158</v>
      </c>
      <c r="F552" s="42">
        <v>45023.0</v>
      </c>
      <c r="G552" s="41" t="s">
        <v>50</v>
      </c>
      <c r="H552" s="41">
        <v>133.0</v>
      </c>
      <c r="I552" s="41" t="str">
        <f>VLOOKUP(B552,'товар'!$A$1:$C$433,2,FALSE)</f>
        <v>Макароны</v>
      </c>
      <c r="J552" s="43">
        <f t="shared" si="2"/>
        <v>265.4767442</v>
      </c>
      <c r="K552" s="44">
        <f t="shared" si="3"/>
        <v>-0.7024221453</v>
      </c>
      <c r="L552" s="41" t="str">
        <f>VLOOKUP(B552,'товар'!$A$1:$C$433,3,FALSE)</f>
        <v>Борилла</v>
      </c>
      <c r="M552" s="45">
        <f t="shared" si="4"/>
        <v>236.2758621</v>
      </c>
      <c r="N552" s="46">
        <f>VLOOKUP(H552,'клиенты'!$A$1:$F$435,5,FALSE)</f>
        <v>44588</v>
      </c>
      <c r="O552" s="41">
        <f t="shared" si="5"/>
        <v>435</v>
      </c>
      <c r="P552" s="41" t="str">
        <f>VLOOKUP(H552,'клиенты'!$A$2:$J$435,10,FALSE)</f>
        <v>Узбекистан</v>
      </c>
      <c r="Q552" s="47">
        <f t="shared" si="6"/>
        <v>46078.45901</v>
      </c>
      <c r="R552" s="48">
        <f t="shared" si="7"/>
        <v>49.68196706</v>
      </c>
      <c r="S552" s="41"/>
      <c r="T552" s="41"/>
      <c r="U552" s="41"/>
      <c r="V552" s="41"/>
      <c r="W552" s="41"/>
      <c r="X552" s="41"/>
      <c r="Y552" s="41"/>
      <c r="Z552" s="41"/>
    </row>
    <row r="553" ht="14.25" customHeight="1">
      <c r="A553" s="20">
        <v>552.0</v>
      </c>
      <c r="B553" s="20">
        <v>119.0</v>
      </c>
      <c r="C553" s="20">
        <v>369.0</v>
      </c>
      <c r="D553" s="20">
        <v>2.0</v>
      </c>
      <c r="E553" s="20">
        <f t="shared" si="1"/>
        <v>738</v>
      </c>
      <c r="F553" s="49">
        <v>45105.0</v>
      </c>
      <c r="G553" s="20" t="s">
        <v>38</v>
      </c>
      <c r="H553" s="20">
        <v>21.0</v>
      </c>
      <c r="I553" s="20" t="str">
        <f>VLOOKUP(B553,'товар'!$A$1:$C$433,2,FALSE)</f>
        <v>Печенье</v>
      </c>
      <c r="J553" s="50">
        <f t="shared" si="2"/>
        <v>283.4680851</v>
      </c>
      <c r="K553" s="51">
        <f t="shared" si="3"/>
        <v>0.3017338437</v>
      </c>
      <c r="L553" s="20" t="str">
        <f>VLOOKUP(B553,'товар'!$A$1:$C$433,3,FALSE)</f>
        <v>КДВ</v>
      </c>
      <c r="M553" s="52">
        <f t="shared" si="4"/>
        <v>323.0769231</v>
      </c>
      <c r="N553" s="53">
        <f>VLOOKUP(H553,'клиенты'!$A$1:$F$435,5,FALSE)</f>
        <v>44881</v>
      </c>
      <c r="O553" s="20">
        <f t="shared" si="5"/>
        <v>224</v>
      </c>
      <c r="P553" s="20" t="str">
        <f>VLOOKUP(H553,'клиенты'!$A$2:$J$435,10,FALSE)</f>
        <v>Беларусь</v>
      </c>
      <c r="Q553" s="54">
        <f t="shared" si="6"/>
        <v>46078.45901</v>
      </c>
      <c r="R553" s="55">
        <f t="shared" si="7"/>
        <v>39.91530039</v>
      </c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41">
        <v>553.0</v>
      </c>
      <c r="B554" s="41">
        <v>388.0</v>
      </c>
      <c r="C554" s="41">
        <v>107.0</v>
      </c>
      <c r="D554" s="41">
        <v>1.0</v>
      </c>
      <c r="E554" s="41">
        <f t="shared" si="1"/>
        <v>107</v>
      </c>
      <c r="F554" s="42">
        <v>45137.0</v>
      </c>
      <c r="G554" s="41" t="s">
        <v>53</v>
      </c>
      <c r="H554" s="41">
        <v>179.0</v>
      </c>
      <c r="I554" s="41" t="str">
        <f>VLOOKUP(B554,'товар'!$A$1:$C$433,2,FALSE)</f>
        <v>Рыба</v>
      </c>
      <c r="J554" s="43">
        <f t="shared" si="2"/>
        <v>258.5128205</v>
      </c>
      <c r="K554" s="44">
        <f t="shared" si="3"/>
        <v>-0.586094029</v>
      </c>
      <c r="L554" s="41" t="str">
        <f>VLOOKUP(B554,'товар'!$A$1:$C$433,3,FALSE)</f>
        <v>Меридиан</v>
      </c>
      <c r="M554" s="45">
        <f t="shared" si="4"/>
        <v>260.6470588</v>
      </c>
      <c r="N554" s="46">
        <f>VLOOKUP(H554,'клиенты'!$A$1:$F$435,5,FALSE)</f>
        <v>44833</v>
      </c>
      <c r="O554" s="41">
        <f t="shared" si="5"/>
        <v>304</v>
      </c>
      <c r="P554" s="41" t="str">
        <f>VLOOKUP(H554,'клиенты'!$A$2:$J$435,10,FALSE)</f>
        <v>Россия</v>
      </c>
      <c r="Q554" s="47">
        <f t="shared" si="6"/>
        <v>46078.45901</v>
      </c>
      <c r="R554" s="48">
        <f t="shared" si="7"/>
        <v>41.51530039</v>
      </c>
      <c r="S554" s="41"/>
      <c r="T554" s="41"/>
      <c r="U554" s="41"/>
      <c r="V554" s="41"/>
      <c r="W554" s="41"/>
      <c r="X554" s="41"/>
      <c r="Y554" s="41"/>
      <c r="Z554" s="41"/>
    </row>
    <row r="555" ht="14.25" customHeight="1">
      <c r="A555" s="20">
        <v>554.0</v>
      </c>
      <c r="B555" s="20">
        <v>303.0</v>
      </c>
      <c r="C555" s="20">
        <v>258.0</v>
      </c>
      <c r="D555" s="20">
        <v>4.0</v>
      </c>
      <c r="E555" s="20">
        <f t="shared" si="1"/>
        <v>1032</v>
      </c>
      <c r="F555" s="49">
        <v>45076.0</v>
      </c>
      <c r="G555" s="20" t="s">
        <v>35</v>
      </c>
      <c r="H555" s="20">
        <v>300.0</v>
      </c>
      <c r="I555" s="20" t="str">
        <f>VLOOKUP(B555,'товар'!$A$1:$C$433,2,FALSE)</f>
        <v>Фрукты</v>
      </c>
      <c r="J555" s="50">
        <f t="shared" si="2"/>
        <v>274.1627907</v>
      </c>
      <c r="K555" s="51">
        <f t="shared" si="3"/>
        <v>-0.05895326151</v>
      </c>
      <c r="L555" s="20" t="str">
        <f>VLOOKUP(B555,'товар'!$A$1:$C$433,3,FALSE)</f>
        <v>Фруктовый Рай</v>
      </c>
      <c r="M555" s="52">
        <f t="shared" si="4"/>
        <v>258.3076923</v>
      </c>
      <c r="N555" s="53">
        <f>VLOOKUP(H555,'клиенты'!$A$1:$F$435,5,FALSE)</f>
        <v>44824</v>
      </c>
      <c r="O555" s="20">
        <f t="shared" si="5"/>
        <v>252</v>
      </c>
      <c r="P555" s="20" t="str">
        <f>VLOOKUP(H555,'клиенты'!$A$2:$J$435,10,FALSE)</f>
        <v>Украина</v>
      </c>
      <c r="Q555" s="54">
        <f t="shared" si="6"/>
        <v>46078.45901</v>
      </c>
      <c r="R555" s="55">
        <f t="shared" si="7"/>
        <v>41.81530039</v>
      </c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41">
        <v>555.0</v>
      </c>
      <c r="B556" s="41">
        <v>160.0</v>
      </c>
      <c r="C556" s="41">
        <v>400.0</v>
      </c>
      <c r="D556" s="41">
        <v>3.0</v>
      </c>
      <c r="E556" s="41">
        <f t="shared" si="1"/>
        <v>1200</v>
      </c>
      <c r="F556" s="42">
        <v>45181.0</v>
      </c>
      <c r="G556" s="41" t="s">
        <v>40</v>
      </c>
      <c r="H556" s="41">
        <v>134.0</v>
      </c>
      <c r="I556" s="41" t="str">
        <f>VLOOKUP(B556,'товар'!$A$1:$C$433,2,FALSE)</f>
        <v>Крупа</v>
      </c>
      <c r="J556" s="43">
        <f t="shared" si="2"/>
        <v>255.1162791</v>
      </c>
      <c r="K556" s="44">
        <f t="shared" si="3"/>
        <v>0.5679124886</v>
      </c>
      <c r="L556" s="41" t="str">
        <f>VLOOKUP(B556,'товар'!$A$1:$C$433,3,FALSE)</f>
        <v>Мистраль</v>
      </c>
      <c r="M556" s="45">
        <f t="shared" si="4"/>
        <v>250.3076923</v>
      </c>
      <c r="N556" s="46">
        <f>VLOOKUP(H556,'клиенты'!$A$1:$F$435,5,FALSE)</f>
        <v>44753</v>
      </c>
      <c r="O556" s="41">
        <f t="shared" si="5"/>
        <v>428</v>
      </c>
      <c r="P556" s="41" t="str">
        <f>VLOOKUP(H556,'клиенты'!$A$2:$J$435,10,FALSE)</f>
        <v>Россия</v>
      </c>
      <c r="Q556" s="47">
        <f t="shared" si="6"/>
        <v>46078.45901</v>
      </c>
      <c r="R556" s="48">
        <f t="shared" si="7"/>
        <v>44.18196706</v>
      </c>
      <c r="S556" s="41"/>
      <c r="T556" s="41"/>
      <c r="U556" s="41"/>
      <c r="V556" s="41"/>
      <c r="W556" s="41"/>
      <c r="X556" s="41"/>
      <c r="Y556" s="41"/>
      <c r="Z556" s="41"/>
    </row>
    <row r="557" ht="14.25" customHeight="1">
      <c r="A557" s="20">
        <v>556.0</v>
      </c>
      <c r="B557" s="20">
        <v>66.0</v>
      </c>
      <c r="C557" s="20">
        <v>230.0</v>
      </c>
      <c r="D557" s="20">
        <v>2.0</v>
      </c>
      <c r="E557" s="20">
        <f t="shared" si="1"/>
        <v>460</v>
      </c>
      <c r="F557" s="49">
        <v>45074.0</v>
      </c>
      <c r="G557" s="20" t="s">
        <v>54</v>
      </c>
      <c r="H557" s="20">
        <v>391.0</v>
      </c>
      <c r="I557" s="20" t="str">
        <f>VLOOKUP(B557,'товар'!$A$1:$C$433,2,FALSE)</f>
        <v>Кофе</v>
      </c>
      <c r="J557" s="50">
        <f t="shared" si="2"/>
        <v>249.0238095</v>
      </c>
      <c r="K557" s="51">
        <f t="shared" si="3"/>
        <v>-0.07639353667</v>
      </c>
      <c r="L557" s="20" t="str">
        <f>VLOOKUP(B557,'товар'!$A$1:$C$433,3,FALSE)</f>
        <v>Черная Карта</v>
      </c>
      <c r="M557" s="52">
        <f t="shared" si="4"/>
        <v>222.2</v>
      </c>
      <c r="N557" s="53">
        <f>VLOOKUP(H557,'клиенты'!$A$1:$F$435,5,FALSE)</f>
        <v>44675</v>
      </c>
      <c r="O557" s="20">
        <f t="shared" si="5"/>
        <v>399</v>
      </c>
      <c r="P557" s="20" t="str">
        <f>VLOOKUP(H557,'клиенты'!$A$2:$J$435,10,FALSE)</f>
        <v>Таджикистан</v>
      </c>
      <c r="Q557" s="54">
        <f t="shared" si="6"/>
        <v>46078.45901</v>
      </c>
      <c r="R557" s="55">
        <f t="shared" si="7"/>
        <v>46.78196706</v>
      </c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41">
        <v>557.0</v>
      </c>
      <c r="B558" s="41">
        <v>125.0</v>
      </c>
      <c r="C558" s="41">
        <v>187.0</v>
      </c>
      <c r="D558" s="41">
        <v>5.0</v>
      </c>
      <c r="E558" s="41">
        <f t="shared" si="1"/>
        <v>935</v>
      </c>
      <c r="F558" s="42">
        <v>45027.0</v>
      </c>
      <c r="G558" s="41" t="s">
        <v>44</v>
      </c>
      <c r="H558" s="41">
        <v>54.0</v>
      </c>
      <c r="I558" s="41" t="str">
        <f>VLOOKUP(B558,'товар'!$A$1:$C$433,2,FALSE)</f>
        <v>Рис</v>
      </c>
      <c r="J558" s="43">
        <f t="shared" si="2"/>
        <v>258.375</v>
      </c>
      <c r="K558" s="44">
        <f t="shared" si="3"/>
        <v>-0.2762457668</v>
      </c>
      <c r="L558" s="41" t="str">
        <f>VLOOKUP(B558,'товар'!$A$1:$C$433,3,FALSE)</f>
        <v>Националь</v>
      </c>
      <c r="M558" s="45">
        <f t="shared" si="4"/>
        <v>187</v>
      </c>
      <c r="N558" s="46">
        <f>VLOOKUP(H558,'клиенты'!$A$1:$F$435,5,FALSE)</f>
        <v>44847</v>
      </c>
      <c r="O558" s="41">
        <f t="shared" si="5"/>
        <v>180</v>
      </c>
      <c r="P558" s="41" t="str">
        <f>VLOOKUP(H558,'клиенты'!$A$2:$J$435,10,FALSE)</f>
        <v>Беларусь</v>
      </c>
      <c r="Q558" s="47">
        <f t="shared" si="6"/>
        <v>46078.45901</v>
      </c>
      <c r="R558" s="48">
        <f t="shared" si="7"/>
        <v>41.04863373</v>
      </c>
      <c r="S558" s="41"/>
      <c r="T558" s="41"/>
      <c r="U558" s="41"/>
      <c r="V558" s="41"/>
      <c r="W558" s="41"/>
      <c r="X558" s="41"/>
      <c r="Y558" s="41"/>
      <c r="Z558" s="41"/>
    </row>
    <row r="559" ht="14.25" customHeight="1">
      <c r="A559" s="20">
        <v>558.0</v>
      </c>
      <c r="B559" s="20">
        <v>280.0</v>
      </c>
      <c r="C559" s="20">
        <v>234.0</v>
      </c>
      <c r="D559" s="20">
        <v>2.0</v>
      </c>
      <c r="E559" s="20">
        <f t="shared" si="1"/>
        <v>468</v>
      </c>
      <c r="F559" s="49">
        <v>45088.0</v>
      </c>
      <c r="G559" s="20" t="s">
        <v>53</v>
      </c>
      <c r="H559" s="20">
        <v>19.0</v>
      </c>
      <c r="I559" s="20" t="str">
        <f>VLOOKUP(B559,'товар'!$A$1:$C$433,2,FALSE)</f>
        <v>Сыр</v>
      </c>
      <c r="J559" s="50">
        <f t="shared" si="2"/>
        <v>262.6349206</v>
      </c>
      <c r="K559" s="51">
        <f t="shared" si="3"/>
        <v>-0.1090293727</v>
      </c>
      <c r="L559" s="20" t="str">
        <f>VLOOKUP(B559,'товар'!$A$1:$C$433,3,FALSE)</f>
        <v>President</v>
      </c>
      <c r="M559" s="52">
        <f t="shared" si="4"/>
        <v>238.7222222</v>
      </c>
      <c r="N559" s="53">
        <f>VLOOKUP(H559,'клиенты'!$A$1:$F$435,5,FALSE)</f>
        <v>44902</v>
      </c>
      <c r="O559" s="20">
        <f t="shared" si="5"/>
        <v>186</v>
      </c>
      <c r="P559" s="20" t="str">
        <f>VLOOKUP(H559,'клиенты'!$A$2:$J$435,10,FALSE)</f>
        <v>Россия</v>
      </c>
      <c r="Q559" s="54">
        <f t="shared" si="6"/>
        <v>46078.45901</v>
      </c>
      <c r="R559" s="55">
        <f t="shared" si="7"/>
        <v>39.21530039</v>
      </c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41">
        <v>559.0</v>
      </c>
      <c r="B560" s="41">
        <v>309.0</v>
      </c>
      <c r="C560" s="41">
        <v>368.0</v>
      </c>
      <c r="D560" s="41">
        <v>3.0</v>
      </c>
      <c r="E560" s="41">
        <f t="shared" si="1"/>
        <v>1104</v>
      </c>
      <c r="F560" s="42">
        <v>44960.0</v>
      </c>
      <c r="G560" s="41" t="s">
        <v>41</v>
      </c>
      <c r="H560" s="41">
        <v>340.0</v>
      </c>
      <c r="I560" s="41" t="str">
        <f>VLOOKUP(B560,'товар'!$A$1:$C$433,2,FALSE)</f>
        <v>Конфеты</v>
      </c>
      <c r="J560" s="43">
        <f t="shared" si="2"/>
        <v>267.8548387</v>
      </c>
      <c r="K560" s="44">
        <f t="shared" si="3"/>
        <v>0.373878485</v>
      </c>
      <c r="L560" s="41" t="str">
        <f>VLOOKUP(B560,'товар'!$A$1:$C$433,3,FALSE)</f>
        <v>Рот Фронт</v>
      </c>
      <c r="M560" s="45">
        <f t="shared" si="4"/>
        <v>288.2380952</v>
      </c>
      <c r="N560" s="46">
        <f>VLOOKUP(H560,'клиенты'!$A$1:$F$435,5,FALSE)</f>
        <v>44896</v>
      </c>
      <c r="O560" s="41">
        <f t="shared" si="5"/>
        <v>64</v>
      </c>
      <c r="P560" s="41" t="str">
        <f>VLOOKUP(H560,'клиенты'!$A$2:$J$435,10,FALSE)</f>
        <v>Россия</v>
      </c>
      <c r="Q560" s="47">
        <f t="shared" si="6"/>
        <v>46078.45901</v>
      </c>
      <c r="R560" s="48">
        <f t="shared" si="7"/>
        <v>39.41530039</v>
      </c>
      <c r="S560" s="41"/>
      <c r="T560" s="41"/>
      <c r="U560" s="41"/>
      <c r="V560" s="41"/>
      <c r="W560" s="41"/>
      <c r="X560" s="41"/>
      <c r="Y560" s="41"/>
      <c r="Z560" s="41"/>
    </row>
    <row r="561" ht="14.25" customHeight="1">
      <c r="A561" s="20">
        <v>560.0</v>
      </c>
      <c r="B561" s="20">
        <v>317.0</v>
      </c>
      <c r="C561" s="20">
        <v>267.0</v>
      </c>
      <c r="D561" s="20">
        <v>3.0</v>
      </c>
      <c r="E561" s="20">
        <f t="shared" si="1"/>
        <v>801</v>
      </c>
      <c r="F561" s="49">
        <v>45396.0</v>
      </c>
      <c r="G561" s="20" t="s">
        <v>47</v>
      </c>
      <c r="H561" s="20">
        <v>71.0</v>
      </c>
      <c r="I561" s="20" t="str">
        <f>VLOOKUP(B561,'товар'!$A$1:$C$433,2,FALSE)</f>
        <v>Сок</v>
      </c>
      <c r="J561" s="50">
        <f t="shared" si="2"/>
        <v>268.6034483</v>
      </c>
      <c r="K561" s="51">
        <f t="shared" si="3"/>
        <v>-0.005969574427</v>
      </c>
      <c r="L561" s="20" t="str">
        <f>VLOOKUP(B561,'товар'!$A$1:$C$433,3,FALSE)</f>
        <v>Фруктовый сад</v>
      </c>
      <c r="M561" s="52">
        <f t="shared" si="4"/>
        <v>281.96875</v>
      </c>
      <c r="N561" s="53">
        <f>VLOOKUP(H561,'клиенты'!$A$1:$F$435,5,FALSE)</f>
        <v>44762</v>
      </c>
      <c r="O561" s="20">
        <f t="shared" si="5"/>
        <v>634</v>
      </c>
      <c r="P561" s="20" t="str">
        <f>VLOOKUP(H561,'клиенты'!$A$2:$J$435,10,FALSE)</f>
        <v>Украина</v>
      </c>
      <c r="Q561" s="54">
        <f t="shared" si="6"/>
        <v>46078.45901</v>
      </c>
      <c r="R561" s="55">
        <f t="shared" si="7"/>
        <v>43.88196706</v>
      </c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41">
        <v>561.0</v>
      </c>
      <c r="B562" s="41">
        <v>260.0</v>
      </c>
      <c r="C562" s="41">
        <v>370.0</v>
      </c>
      <c r="D562" s="41">
        <v>5.0</v>
      </c>
      <c r="E562" s="41">
        <f t="shared" si="1"/>
        <v>1850</v>
      </c>
      <c r="F562" s="42">
        <v>44958.0</v>
      </c>
      <c r="G562" s="41" t="s">
        <v>35</v>
      </c>
      <c r="H562" s="41">
        <v>102.0</v>
      </c>
      <c r="I562" s="41" t="str">
        <f>VLOOKUP(B562,'товар'!$A$1:$C$433,2,FALSE)</f>
        <v>Соль</v>
      </c>
      <c r="J562" s="43">
        <f t="shared" si="2"/>
        <v>264.8679245</v>
      </c>
      <c r="K562" s="44">
        <f t="shared" si="3"/>
        <v>0.3969226386</v>
      </c>
      <c r="L562" s="41" t="str">
        <f>VLOOKUP(B562,'товар'!$A$1:$C$433,3,FALSE)</f>
        <v>Экстра</v>
      </c>
      <c r="M562" s="45">
        <f t="shared" si="4"/>
        <v>320.8461538</v>
      </c>
      <c r="N562" s="46">
        <f>VLOOKUP(H562,'клиенты'!$A$1:$F$435,5,FALSE)</f>
        <v>44723</v>
      </c>
      <c r="O562" s="41">
        <f t="shared" si="5"/>
        <v>235</v>
      </c>
      <c r="P562" s="41" t="str">
        <f>VLOOKUP(H562,'клиенты'!$A$2:$J$435,10,FALSE)</f>
        <v>Узбекистан</v>
      </c>
      <c r="Q562" s="47">
        <f t="shared" si="6"/>
        <v>46078.45901</v>
      </c>
      <c r="R562" s="48">
        <f t="shared" si="7"/>
        <v>45.18196706</v>
      </c>
      <c r="S562" s="41"/>
      <c r="T562" s="41"/>
      <c r="U562" s="41"/>
      <c r="V562" s="41"/>
      <c r="W562" s="41"/>
      <c r="X562" s="41"/>
      <c r="Y562" s="41"/>
      <c r="Z562" s="41"/>
    </row>
    <row r="563" ht="14.25" customHeight="1">
      <c r="A563" s="20">
        <v>562.0</v>
      </c>
      <c r="B563" s="20">
        <v>448.0</v>
      </c>
      <c r="C563" s="20">
        <v>170.0</v>
      </c>
      <c r="D563" s="20">
        <v>1.0</v>
      </c>
      <c r="E563" s="20">
        <f t="shared" si="1"/>
        <v>170</v>
      </c>
      <c r="F563" s="49">
        <v>45075.0</v>
      </c>
      <c r="G563" s="20" t="s">
        <v>47</v>
      </c>
      <c r="H563" s="20">
        <v>43.0</v>
      </c>
      <c r="I563" s="20" t="str">
        <f>VLOOKUP(B563,'товар'!$A$1:$C$433,2,FALSE)</f>
        <v>Йогурт</v>
      </c>
      <c r="J563" s="50">
        <f t="shared" si="2"/>
        <v>263.2542373</v>
      </c>
      <c r="K563" s="51">
        <f t="shared" si="3"/>
        <v>-0.3542364151</v>
      </c>
      <c r="L563" s="20" t="str">
        <f>VLOOKUP(B563,'товар'!$A$1:$C$433,3,FALSE)</f>
        <v>Ростагроэкспорт</v>
      </c>
      <c r="M563" s="52">
        <f t="shared" si="4"/>
        <v>257.7826087</v>
      </c>
      <c r="N563" s="53">
        <f>VLOOKUP(H563,'клиенты'!$A$1:$F$435,5,FALSE)</f>
        <v>44912</v>
      </c>
      <c r="O563" s="20">
        <f t="shared" si="5"/>
        <v>163</v>
      </c>
      <c r="P563" s="20" t="str">
        <f>VLOOKUP(H563,'клиенты'!$A$2:$J$435,10,FALSE)</f>
        <v>Россия</v>
      </c>
      <c r="Q563" s="54">
        <f t="shared" si="6"/>
        <v>46078.45901</v>
      </c>
      <c r="R563" s="55">
        <f t="shared" si="7"/>
        <v>38.88196706</v>
      </c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41">
        <v>563.0</v>
      </c>
      <c r="B564" s="41">
        <v>158.0</v>
      </c>
      <c r="C564" s="41">
        <v>71.0</v>
      </c>
      <c r="D564" s="41">
        <v>2.0</v>
      </c>
      <c r="E564" s="41">
        <f t="shared" si="1"/>
        <v>142</v>
      </c>
      <c r="F564" s="42">
        <v>45051.0</v>
      </c>
      <c r="G564" s="41" t="s">
        <v>43</v>
      </c>
      <c r="H564" s="41">
        <v>29.0</v>
      </c>
      <c r="I564" s="41" t="str">
        <f>VLOOKUP(B564,'товар'!$A$1:$C$433,2,FALSE)</f>
        <v>Сахар</v>
      </c>
      <c r="J564" s="43">
        <f t="shared" si="2"/>
        <v>252.7627119</v>
      </c>
      <c r="K564" s="44">
        <f t="shared" si="3"/>
        <v>-0.7191041373</v>
      </c>
      <c r="L564" s="41" t="str">
        <f>VLOOKUP(B564,'товар'!$A$1:$C$433,3,FALSE)</f>
        <v>Сладов</v>
      </c>
      <c r="M564" s="45">
        <f t="shared" si="4"/>
        <v>240.2666667</v>
      </c>
      <c r="N564" s="46">
        <f>VLOOKUP(H564,'клиенты'!$A$1:$F$435,5,FALSE)</f>
        <v>44704</v>
      </c>
      <c r="O564" s="41">
        <f t="shared" si="5"/>
        <v>347</v>
      </c>
      <c r="P564" s="41" t="str">
        <f>VLOOKUP(H564,'клиенты'!$A$2:$J$435,10,FALSE)</f>
        <v>Россия</v>
      </c>
      <c r="Q564" s="47">
        <f t="shared" si="6"/>
        <v>46078.45901</v>
      </c>
      <c r="R564" s="48">
        <f t="shared" si="7"/>
        <v>45.81530039</v>
      </c>
      <c r="S564" s="41"/>
      <c r="T564" s="41"/>
      <c r="U564" s="41"/>
      <c r="V564" s="41"/>
      <c r="W564" s="41"/>
      <c r="X564" s="41"/>
      <c r="Y564" s="41"/>
      <c r="Z564" s="41"/>
    </row>
    <row r="565" ht="14.25" customHeight="1">
      <c r="A565" s="20">
        <v>564.0</v>
      </c>
      <c r="B565" s="20">
        <v>274.0</v>
      </c>
      <c r="C565" s="20">
        <v>472.0</v>
      </c>
      <c r="D565" s="20">
        <v>3.0</v>
      </c>
      <c r="E565" s="20">
        <f t="shared" si="1"/>
        <v>1416</v>
      </c>
      <c r="F565" s="49">
        <v>45408.0</v>
      </c>
      <c r="G565" s="20" t="s">
        <v>46</v>
      </c>
      <c r="H565" s="20">
        <v>272.0</v>
      </c>
      <c r="I565" s="20" t="str">
        <f>VLOOKUP(B565,'товар'!$A$1:$C$433,2,FALSE)</f>
        <v>Молоко</v>
      </c>
      <c r="J565" s="50">
        <f t="shared" si="2"/>
        <v>294.952381</v>
      </c>
      <c r="K565" s="51">
        <f t="shared" si="3"/>
        <v>0.6002583145</v>
      </c>
      <c r="L565" s="20" t="str">
        <f>VLOOKUP(B565,'товар'!$A$1:$C$433,3,FALSE)</f>
        <v>Простоквашино</v>
      </c>
      <c r="M565" s="52">
        <f t="shared" si="4"/>
        <v>318.8181818</v>
      </c>
      <c r="N565" s="53">
        <f>VLOOKUP(H565,'клиенты'!$A$1:$F$435,5,FALSE)</f>
        <v>44668</v>
      </c>
      <c r="O565" s="20">
        <f t="shared" si="5"/>
        <v>740</v>
      </c>
      <c r="P565" s="20" t="str">
        <f>VLOOKUP(H565,'клиенты'!$A$2:$J$435,10,FALSE)</f>
        <v>Таджикистан</v>
      </c>
      <c r="Q565" s="54">
        <f t="shared" si="6"/>
        <v>46078.45901</v>
      </c>
      <c r="R565" s="55">
        <f t="shared" si="7"/>
        <v>47.01530039</v>
      </c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41">
        <v>565.0</v>
      </c>
      <c r="B566" s="41">
        <v>471.0</v>
      </c>
      <c r="C566" s="41">
        <v>294.0</v>
      </c>
      <c r="D566" s="41">
        <v>2.0</v>
      </c>
      <c r="E566" s="41">
        <f t="shared" si="1"/>
        <v>588</v>
      </c>
      <c r="F566" s="42">
        <v>45112.0</v>
      </c>
      <c r="G566" s="41" t="s">
        <v>52</v>
      </c>
      <c r="H566" s="41">
        <v>370.0</v>
      </c>
      <c r="I566" s="41" t="str">
        <f>VLOOKUP(B566,'товар'!$A$1:$C$433,2,FALSE)</f>
        <v>Овощи</v>
      </c>
      <c r="J566" s="43">
        <f t="shared" si="2"/>
        <v>250.4878049</v>
      </c>
      <c r="K566" s="44">
        <f t="shared" si="3"/>
        <v>0.1737098345</v>
      </c>
      <c r="L566" s="41" t="str">
        <f>VLOOKUP(B566,'товар'!$A$1:$C$433,3,FALSE)</f>
        <v>Зеленая грядка</v>
      </c>
      <c r="M566" s="45">
        <f t="shared" si="4"/>
        <v>159.2</v>
      </c>
      <c r="N566" s="46">
        <f>VLOOKUP(H566,'клиенты'!$A$1:$F$435,5,FALSE)</f>
        <v>44726</v>
      </c>
      <c r="O566" s="41">
        <f t="shared" si="5"/>
        <v>386</v>
      </c>
      <c r="P566" s="41" t="str">
        <f>VLOOKUP(H566,'клиенты'!$A$2:$J$435,10,FALSE)</f>
        <v>Таджикистан</v>
      </c>
      <c r="Q566" s="47">
        <f t="shared" si="6"/>
        <v>46078.45901</v>
      </c>
      <c r="R566" s="48">
        <f t="shared" si="7"/>
        <v>45.08196706</v>
      </c>
      <c r="S566" s="41"/>
      <c r="T566" s="41"/>
      <c r="U566" s="41"/>
      <c r="V566" s="41"/>
      <c r="W566" s="41"/>
      <c r="X566" s="41"/>
      <c r="Y566" s="41"/>
      <c r="Z566" s="41"/>
    </row>
    <row r="567" ht="14.25" customHeight="1">
      <c r="A567" s="20">
        <v>566.0</v>
      </c>
      <c r="B567" s="20">
        <v>398.0</v>
      </c>
      <c r="C567" s="20">
        <v>65.0</v>
      </c>
      <c r="D567" s="20">
        <v>4.0</v>
      </c>
      <c r="E567" s="20">
        <f t="shared" si="1"/>
        <v>260</v>
      </c>
      <c r="F567" s="49">
        <v>45055.0</v>
      </c>
      <c r="G567" s="20" t="s">
        <v>41</v>
      </c>
      <c r="H567" s="20">
        <v>165.0</v>
      </c>
      <c r="I567" s="20" t="str">
        <f>VLOOKUP(B567,'товар'!$A$1:$C$433,2,FALSE)</f>
        <v>Сок</v>
      </c>
      <c r="J567" s="50">
        <f t="shared" si="2"/>
        <v>268.6034483</v>
      </c>
      <c r="K567" s="51">
        <f t="shared" si="3"/>
        <v>-0.7580075743</v>
      </c>
      <c r="L567" s="20" t="str">
        <f>VLOOKUP(B567,'товар'!$A$1:$C$433,3,FALSE)</f>
        <v>Фруктовый сад</v>
      </c>
      <c r="M567" s="52">
        <f t="shared" si="4"/>
        <v>281.96875</v>
      </c>
      <c r="N567" s="53">
        <f>VLOOKUP(H567,'клиенты'!$A$1:$F$435,5,FALSE)</f>
        <v>44599</v>
      </c>
      <c r="O567" s="20">
        <f t="shared" si="5"/>
        <v>456</v>
      </c>
      <c r="P567" s="20" t="str">
        <f>VLOOKUP(H567,'клиенты'!$A$2:$J$435,10,FALSE)</f>
        <v>Таджикистан</v>
      </c>
      <c r="Q567" s="54">
        <f t="shared" si="6"/>
        <v>46078.45901</v>
      </c>
      <c r="R567" s="55">
        <f t="shared" si="7"/>
        <v>49.31530039</v>
      </c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41">
        <v>567.0</v>
      </c>
      <c r="B568" s="41">
        <v>395.0</v>
      </c>
      <c r="C568" s="41">
        <v>454.0</v>
      </c>
      <c r="D568" s="41">
        <v>5.0</v>
      </c>
      <c r="E568" s="41">
        <f t="shared" si="1"/>
        <v>2270</v>
      </c>
      <c r="F568" s="42">
        <v>45278.0</v>
      </c>
      <c r="G568" s="41" t="s">
        <v>53</v>
      </c>
      <c r="H568" s="41">
        <v>147.0</v>
      </c>
      <c r="I568" s="41" t="str">
        <f>VLOOKUP(B568,'товар'!$A$1:$C$433,2,FALSE)</f>
        <v>Соль</v>
      </c>
      <c r="J568" s="43">
        <f t="shared" si="2"/>
        <v>264.8679245</v>
      </c>
      <c r="K568" s="44">
        <f t="shared" si="3"/>
        <v>0.7140618322</v>
      </c>
      <c r="L568" s="41" t="str">
        <f>VLOOKUP(B568,'товар'!$A$1:$C$433,3,FALSE)</f>
        <v>Славянская</v>
      </c>
      <c r="M568" s="45">
        <f t="shared" si="4"/>
        <v>236.9166667</v>
      </c>
      <c r="N568" s="46">
        <f>VLOOKUP(H568,'клиенты'!$A$1:$F$435,5,FALSE)</f>
        <v>44827</v>
      </c>
      <c r="O568" s="41">
        <f t="shared" si="5"/>
        <v>451</v>
      </c>
      <c r="P568" s="41" t="str">
        <f>VLOOKUP(H568,'клиенты'!$A$2:$J$435,10,FALSE)</f>
        <v>Россия</v>
      </c>
      <c r="Q568" s="47">
        <f t="shared" si="6"/>
        <v>46078.45901</v>
      </c>
      <c r="R568" s="48">
        <f t="shared" si="7"/>
        <v>41.71530039</v>
      </c>
      <c r="S568" s="41"/>
      <c r="T568" s="41"/>
      <c r="U568" s="41"/>
      <c r="V568" s="41"/>
      <c r="W568" s="41"/>
      <c r="X568" s="41"/>
      <c r="Y568" s="41"/>
      <c r="Z568" s="41"/>
    </row>
    <row r="569" ht="14.25" customHeight="1">
      <c r="A569" s="20">
        <v>568.0</v>
      </c>
      <c r="B569" s="20">
        <v>424.0</v>
      </c>
      <c r="C569" s="20">
        <v>472.0</v>
      </c>
      <c r="D569" s="20">
        <v>3.0</v>
      </c>
      <c r="E569" s="20">
        <f t="shared" si="1"/>
        <v>1416</v>
      </c>
      <c r="F569" s="49">
        <v>45423.0</v>
      </c>
      <c r="G569" s="20" t="s">
        <v>50</v>
      </c>
      <c r="H569" s="20">
        <v>181.0</v>
      </c>
      <c r="I569" s="20" t="str">
        <f>VLOOKUP(B569,'товар'!$A$1:$C$433,2,FALSE)</f>
        <v>Печенье</v>
      </c>
      <c r="J569" s="50">
        <f t="shared" si="2"/>
        <v>283.4680851</v>
      </c>
      <c r="K569" s="51">
        <f t="shared" si="3"/>
        <v>0.6650904451</v>
      </c>
      <c r="L569" s="20" t="str">
        <f>VLOOKUP(B569,'товар'!$A$1:$C$433,3,FALSE)</f>
        <v>КДВ</v>
      </c>
      <c r="M569" s="52">
        <f t="shared" si="4"/>
        <v>323.0769231</v>
      </c>
      <c r="N569" s="53">
        <f>VLOOKUP(H569,'клиенты'!$A$1:$F$435,5,FALSE)</f>
        <v>44568</v>
      </c>
      <c r="O569" s="20">
        <f t="shared" si="5"/>
        <v>855</v>
      </c>
      <c r="P569" s="20" t="str">
        <f>VLOOKUP(H569,'клиенты'!$A$2:$J$435,10,FALSE)</f>
        <v>Украина</v>
      </c>
      <c r="Q569" s="54">
        <f t="shared" si="6"/>
        <v>46078.45901</v>
      </c>
      <c r="R569" s="55">
        <f t="shared" si="7"/>
        <v>50.34863373</v>
      </c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41">
        <v>569.0</v>
      </c>
      <c r="B570" s="41">
        <v>474.0</v>
      </c>
      <c r="C570" s="41">
        <v>261.0</v>
      </c>
      <c r="D570" s="41">
        <v>2.0</v>
      </c>
      <c r="E570" s="41">
        <f t="shared" si="1"/>
        <v>522</v>
      </c>
      <c r="F570" s="42">
        <v>45382.0</v>
      </c>
      <c r="G570" s="41" t="s">
        <v>40</v>
      </c>
      <c r="H570" s="41">
        <v>88.0</v>
      </c>
      <c r="I570" s="41" t="str">
        <f>VLOOKUP(B570,'товар'!$A$1:$C$433,2,FALSE)</f>
        <v>Молоко</v>
      </c>
      <c r="J570" s="43">
        <f t="shared" si="2"/>
        <v>294.952381</v>
      </c>
      <c r="K570" s="44">
        <f t="shared" si="3"/>
        <v>-0.1151113981</v>
      </c>
      <c r="L570" s="41" t="str">
        <f>VLOOKUP(B570,'товар'!$A$1:$C$433,3,FALSE)</f>
        <v>Простоквашино</v>
      </c>
      <c r="M570" s="45">
        <f t="shared" si="4"/>
        <v>318.8181818</v>
      </c>
      <c r="N570" s="46">
        <f>VLOOKUP(H570,'клиенты'!$A$1:$F$435,5,FALSE)</f>
        <v>44630</v>
      </c>
      <c r="O570" s="41">
        <f t="shared" si="5"/>
        <v>752</v>
      </c>
      <c r="P570" s="41" t="str">
        <f>VLOOKUP(H570,'клиенты'!$A$2:$J$435,10,FALSE)</f>
        <v>Украина</v>
      </c>
      <c r="Q570" s="47">
        <f t="shared" si="6"/>
        <v>46078.45901</v>
      </c>
      <c r="R570" s="48">
        <f t="shared" si="7"/>
        <v>48.28196706</v>
      </c>
      <c r="S570" s="41"/>
      <c r="T570" s="41"/>
      <c r="U570" s="41"/>
      <c r="V570" s="41"/>
      <c r="W570" s="41"/>
      <c r="X570" s="41"/>
      <c r="Y570" s="41"/>
      <c r="Z570" s="41"/>
    </row>
    <row r="571" ht="14.25" customHeight="1">
      <c r="A571" s="20">
        <v>570.0</v>
      </c>
      <c r="B571" s="20">
        <v>346.0</v>
      </c>
      <c r="C571" s="20">
        <v>390.0</v>
      </c>
      <c r="D571" s="20">
        <v>5.0</v>
      </c>
      <c r="E571" s="20">
        <f t="shared" si="1"/>
        <v>1950</v>
      </c>
      <c r="F571" s="49">
        <v>45402.0</v>
      </c>
      <c r="G571" s="20" t="s">
        <v>38</v>
      </c>
      <c r="H571" s="20">
        <v>10.0</v>
      </c>
      <c r="I571" s="20" t="str">
        <f>VLOOKUP(B571,'товар'!$A$1:$C$433,2,FALSE)</f>
        <v>Чай</v>
      </c>
      <c r="J571" s="50">
        <f t="shared" si="2"/>
        <v>271.1818182</v>
      </c>
      <c r="K571" s="51">
        <f t="shared" si="3"/>
        <v>0.4381495139</v>
      </c>
      <c r="L571" s="20" t="str">
        <f>VLOOKUP(B571,'товар'!$A$1:$C$433,3,FALSE)</f>
        <v>Greenfield</v>
      </c>
      <c r="M571" s="52">
        <f t="shared" si="4"/>
        <v>291.4545455</v>
      </c>
      <c r="N571" s="53">
        <f>VLOOKUP(H571,'клиенты'!$A$1:$F$435,5,FALSE)</f>
        <v>44881</v>
      </c>
      <c r="O571" s="20">
        <f t="shared" si="5"/>
        <v>521</v>
      </c>
      <c r="P571" s="20" t="str">
        <f>VLOOKUP(H571,'клиенты'!$A$2:$J$435,10,FALSE)</f>
        <v>Украина</v>
      </c>
      <c r="Q571" s="54">
        <f t="shared" si="6"/>
        <v>46078.45901</v>
      </c>
      <c r="R571" s="55">
        <f t="shared" si="7"/>
        <v>39.91530039</v>
      </c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41">
        <v>571.0</v>
      </c>
      <c r="B572" s="41">
        <v>132.0</v>
      </c>
      <c r="C572" s="41">
        <v>497.0</v>
      </c>
      <c r="D572" s="41">
        <v>4.0</v>
      </c>
      <c r="E572" s="41">
        <f t="shared" si="1"/>
        <v>1988</v>
      </c>
      <c r="F572" s="42">
        <v>44987.0</v>
      </c>
      <c r="G572" s="41" t="s">
        <v>40</v>
      </c>
      <c r="H572" s="41">
        <v>364.0</v>
      </c>
      <c r="I572" s="41" t="str">
        <f>VLOOKUP(B572,'товар'!$A$1:$C$433,2,FALSE)</f>
        <v>Рыба</v>
      </c>
      <c r="J572" s="43">
        <f t="shared" si="2"/>
        <v>258.5128205</v>
      </c>
      <c r="K572" s="44">
        <f t="shared" si="3"/>
        <v>0.9225352113</v>
      </c>
      <c r="L572" s="41" t="str">
        <f>VLOOKUP(B572,'товар'!$A$1:$C$433,3,FALSE)</f>
        <v>Меридиан</v>
      </c>
      <c r="M572" s="45">
        <f t="shared" si="4"/>
        <v>260.6470588</v>
      </c>
      <c r="N572" s="46">
        <f>VLOOKUP(H572,'клиенты'!$A$1:$F$435,5,FALSE)</f>
        <v>44883</v>
      </c>
      <c r="O572" s="41">
        <f t="shared" si="5"/>
        <v>104</v>
      </c>
      <c r="P572" s="41" t="str">
        <f>VLOOKUP(H572,'клиенты'!$A$2:$J$435,10,FALSE)</f>
        <v>Россия</v>
      </c>
      <c r="Q572" s="47">
        <f t="shared" si="6"/>
        <v>46078.45901</v>
      </c>
      <c r="R572" s="48">
        <f t="shared" si="7"/>
        <v>39.84863373</v>
      </c>
      <c r="S572" s="41"/>
      <c r="T572" s="41"/>
      <c r="U572" s="41"/>
      <c r="V572" s="41"/>
      <c r="W572" s="41"/>
      <c r="X572" s="41"/>
      <c r="Y572" s="41"/>
      <c r="Z572" s="41"/>
    </row>
    <row r="573" ht="14.25" customHeight="1">
      <c r="A573" s="20">
        <v>572.0</v>
      </c>
      <c r="B573" s="20">
        <v>17.0</v>
      </c>
      <c r="C573" s="20">
        <v>363.0</v>
      </c>
      <c r="D573" s="20">
        <v>4.0</v>
      </c>
      <c r="E573" s="20">
        <f t="shared" si="1"/>
        <v>1452</v>
      </c>
      <c r="F573" s="49">
        <v>45191.0</v>
      </c>
      <c r="G573" s="20" t="s">
        <v>38</v>
      </c>
      <c r="H573" s="20">
        <v>277.0</v>
      </c>
      <c r="I573" s="20" t="str">
        <f>VLOOKUP(B573,'товар'!$A$1:$C$433,2,FALSE)</f>
        <v>Кофе</v>
      </c>
      <c r="J573" s="50">
        <f t="shared" si="2"/>
        <v>249.0238095</v>
      </c>
      <c r="K573" s="51">
        <f t="shared" si="3"/>
        <v>0.45769194</v>
      </c>
      <c r="L573" s="20" t="str">
        <f>VLOOKUP(B573,'товар'!$A$1:$C$433,3,FALSE)</f>
        <v>Jacobs</v>
      </c>
      <c r="M573" s="52">
        <f t="shared" si="4"/>
        <v>276.2105263</v>
      </c>
      <c r="N573" s="53">
        <f>VLOOKUP(H573,'клиенты'!$A$1:$F$435,5,FALSE)</f>
        <v>44750</v>
      </c>
      <c r="O573" s="20">
        <f t="shared" si="5"/>
        <v>441</v>
      </c>
      <c r="P573" s="20" t="str">
        <f>VLOOKUP(H573,'клиенты'!$A$2:$J$435,10,FALSE)</f>
        <v>Россия</v>
      </c>
      <c r="Q573" s="54">
        <f t="shared" si="6"/>
        <v>46078.45901</v>
      </c>
      <c r="R573" s="55">
        <f t="shared" si="7"/>
        <v>44.28196706</v>
      </c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41">
        <v>573.0</v>
      </c>
      <c r="B574" s="41">
        <v>63.0</v>
      </c>
      <c r="C574" s="41">
        <v>251.0</v>
      </c>
      <c r="D574" s="41">
        <v>1.0</v>
      </c>
      <c r="E574" s="41">
        <f t="shared" si="1"/>
        <v>251</v>
      </c>
      <c r="F574" s="42">
        <v>45087.0</v>
      </c>
      <c r="G574" s="41" t="s">
        <v>39</v>
      </c>
      <c r="H574" s="41">
        <v>214.0</v>
      </c>
      <c r="I574" s="41" t="str">
        <f>VLOOKUP(B574,'товар'!$A$1:$C$433,2,FALSE)</f>
        <v>Рыба</v>
      </c>
      <c r="J574" s="43">
        <f t="shared" si="2"/>
        <v>258.5128205</v>
      </c>
      <c r="K574" s="44">
        <f t="shared" si="3"/>
        <v>-0.02906169411</v>
      </c>
      <c r="L574" s="41" t="str">
        <f>VLOOKUP(B574,'товар'!$A$1:$C$433,3,FALSE)</f>
        <v>Балтийский берег</v>
      </c>
      <c r="M574" s="45">
        <f t="shared" si="4"/>
        <v>289.8888889</v>
      </c>
      <c r="N574" s="46">
        <f>VLOOKUP(H574,'клиенты'!$A$1:$F$435,5,FALSE)</f>
        <v>44601</v>
      </c>
      <c r="O574" s="41">
        <f t="shared" si="5"/>
        <v>486</v>
      </c>
      <c r="P574" s="41" t="str">
        <f>VLOOKUP(H574,'клиенты'!$A$2:$J$435,10,FALSE)</f>
        <v>Россия</v>
      </c>
      <c r="Q574" s="47">
        <f t="shared" si="6"/>
        <v>46078.45901</v>
      </c>
      <c r="R574" s="48">
        <f t="shared" si="7"/>
        <v>49.24863373</v>
      </c>
      <c r="S574" s="41"/>
      <c r="T574" s="41"/>
      <c r="U574" s="41"/>
      <c r="V574" s="41"/>
      <c r="W574" s="41"/>
      <c r="X574" s="41"/>
      <c r="Y574" s="41"/>
      <c r="Z574" s="41"/>
    </row>
    <row r="575" ht="14.25" customHeight="1">
      <c r="A575" s="20">
        <v>574.0</v>
      </c>
      <c r="B575" s="20">
        <v>89.0</v>
      </c>
      <c r="C575" s="20">
        <v>492.0</v>
      </c>
      <c r="D575" s="20">
        <v>2.0</v>
      </c>
      <c r="E575" s="20">
        <f t="shared" si="1"/>
        <v>984</v>
      </c>
      <c r="F575" s="49">
        <v>44935.0</v>
      </c>
      <c r="G575" s="20" t="s">
        <v>48</v>
      </c>
      <c r="H575" s="20">
        <v>402.0</v>
      </c>
      <c r="I575" s="20" t="str">
        <f>VLOOKUP(B575,'товар'!$A$1:$C$433,2,FALSE)</f>
        <v>Конфеты</v>
      </c>
      <c r="J575" s="50">
        <f t="shared" si="2"/>
        <v>267.8548387</v>
      </c>
      <c r="K575" s="51">
        <f t="shared" si="3"/>
        <v>0.8368158006</v>
      </c>
      <c r="L575" s="20" t="str">
        <f>VLOOKUP(B575,'товар'!$A$1:$C$433,3,FALSE)</f>
        <v>Рот Фронт</v>
      </c>
      <c r="M575" s="52">
        <f t="shared" si="4"/>
        <v>288.2380952</v>
      </c>
      <c r="N575" s="53">
        <f>VLOOKUP(H575,'клиенты'!$A$1:$F$435,5,FALSE)</f>
        <v>44742</v>
      </c>
      <c r="O575" s="20">
        <f t="shared" si="5"/>
        <v>193</v>
      </c>
      <c r="P575" s="20" t="str">
        <f>VLOOKUP(H575,'клиенты'!$A$2:$J$435,10,FALSE)</f>
        <v>Узбекистан</v>
      </c>
      <c r="Q575" s="54">
        <f t="shared" si="6"/>
        <v>46078.45901</v>
      </c>
      <c r="R575" s="55">
        <f t="shared" si="7"/>
        <v>44.54863373</v>
      </c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41">
        <v>575.0</v>
      </c>
      <c r="B576" s="41">
        <v>260.0</v>
      </c>
      <c r="C576" s="41">
        <v>449.0</v>
      </c>
      <c r="D576" s="41">
        <v>1.0</v>
      </c>
      <c r="E576" s="41">
        <f t="shared" si="1"/>
        <v>449</v>
      </c>
      <c r="F576" s="42">
        <v>45025.0</v>
      </c>
      <c r="G576" s="41" t="s">
        <v>49</v>
      </c>
      <c r="H576" s="41">
        <v>490.0</v>
      </c>
      <c r="I576" s="41" t="str">
        <f>VLOOKUP(B576,'товар'!$A$1:$C$433,2,FALSE)</f>
        <v>Соль</v>
      </c>
      <c r="J576" s="43">
        <f t="shared" si="2"/>
        <v>264.8679245</v>
      </c>
      <c r="K576" s="44">
        <f t="shared" si="3"/>
        <v>0.6951844992</v>
      </c>
      <c r="L576" s="41" t="str">
        <f>VLOOKUP(B576,'товар'!$A$1:$C$433,3,FALSE)</f>
        <v>Экстра</v>
      </c>
      <c r="M576" s="45">
        <f t="shared" si="4"/>
        <v>320.8461538</v>
      </c>
      <c r="N576" s="46">
        <f>VLOOKUP(H576,'клиенты'!$A$1:$F$435,5,FALSE)</f>
        <v>44603</v>
      </c>
      <c r="O576" s="41">
        <f t="shared" si="5"/>
        <v>422</v>
      </c>
      <c r="P576" s="41" t="str">
        <f>VLOOKUP(H576,'клиенты'!$A$2:$J$435,10,FALSE)</f>
        <v>Россия</v>
      </c>
      <c r="Q576" s="47">
        <f t="shared" si="6"/>
        <v>46078.45901</v>
      </c>
      <c r="R576" s="48">
        <f t="shared" si="7"/>
        <v>49.18196706</v>
      </c>
      <c r="S576" s="41"/>
      <c r="T576" s="41"/>
      <c r="U576" s="41"/>
      <c r="V576" s="41"/>
      <c r="W576" s="41"/>
      <c r="X576" s="41"/>
      <c r="Y576" s="41"/>
      <c r="Z576" s="41"/>
    </row>
    <row r="577" ht="14.25" customHeight="1">
      <c r="A577" s="20">
        <v>576.0</v>
      </c>
      <c r="B577" s="20">
        <v>27.0</v>
      </c>
      <c r="C577" s="20">
        <v>193.0</v>
      </c>
      <c r="D577" s="20">
        <v>1.0</v>
      </c>
      <c r="E577" s="20">
        <f t="shared" si="1"/>
        <v>193</v>
      </c>
      <c r="F577" s="49">
        <v>45061.0</v>
      </c>
      <c r="G577" s="20" t="s">
        <v>41</v>
      </c>
      <c r="H577" s="20">
        <v>151.0</v>
      </c>
      <c r="I577" s="20" t="str">
        <f>VLOOKUP(B577,'товар'!$A$1:$C$433,2,FALSE)</f>
        <v>Макароны</v>
      </c>
      <c r="J577" s="50">
        <f t="shared" si="2"/>
        <v>265.4767442</v>
      </c>
      <c r="K577" s="51">
        <f t="shared" si="3"/>
        <v>-0.2730060006</v>
      </c>
      <c r="L577" s="20" t="str">
        <f>VLOOKUP(B577,'товар'!$A$1:$C$433,3,FALSE)</f>
        <v>Паста Зара</v>
      </c>
      <c r="M577" s="52">
        <f t="shared" si="4"/>
        <v>276.6756757</v>
      </c>
      <c r="N577" s="53">
        <f>VLOOKUP(H577,'клиенты'!$A$1:$F$435,5,FALSE)</f>
        <v>44923</v>
      </c>
      <c r="O577" s="20">
        <f t="shared" si="5"/>
        <v>138</v>
      </c>
      <c r="P577" s="20" t="str">
        <f>VLOOKUP(H577,'клиенты'!$A$2:$J$435,10,FALSE)</f>
        <v>Беларусь</v>
      </c>
      <c r="Q577" s="54">
        <f t="shared" si="6"/>
        <v>46078.45901</v>
      </c>
      <c r="R577" s="55">
        <f t="shared" si="7"/>
        <v>38.51530039</v>
      </c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41">
        <v>577.0</v>
      </c>
      <c r="B578" s="41">
        <v>221.0</v>
      </c>
      <c r="C578" s="41">
        <v>406.0</v>
      </c>
      <c r="D578" s="41">
        <v>3.0</v>
      </c>
      <c r="E578" s="41">
        <f t="shared" si="1"/>
        <v>1218</v>
      </c>
      <c r="F578" s="42">
        <v>44999.0</v>
      </c>
      <c r="G578" s="41" t="s">
        <v>40</v>
      </c>
      <c r="H578" s="41">
        <v>409.0</v>
      </c>
      <c r="I578" s="41" t="str">
        <f>VLOOKUP(B578,'товар'!$A$1:$C$433,2,FALSE)</f>
        <v>Чипсы</v>
      </c>
      <c r="J578" s="43">
        <f t="shared" si="2"/>
        <v>273.7254902</v>
      </c>
      <c r="K578" s="44">
        <f t="shared" si="3"/>
        <v>0.4832378223</v>
      </c>
      <c r="L578" s="41" t="str">
        <f>VLOOKUP(B578,'товар'!$A$1:$C$433,3,FALSE)</f>
        <v>Pringles</v>
      </c>
      <c r="M578" s="45">
        <f t="shared" si="4"/>
        <v>280.2380952</v>
      </c>
      <c r="N578" s="46">
        <f>VLOOKUP(H578,'клиенты'!$A$1:$F$435,5,FALSE)</f>
        <v>44869</v>
      </c>
      <c r="O578" s="41">
        <f t="shared" si="5"/>
        <v>130</v>
      </c>
      <c r="P578" s="41" t="str">
        <f>VLOOKUP(H578,'клиенты'!$A$2:$J$435,10,FALSE)</f>
        <v>Украина</v>
      </c>
      <c r="Q578" s="47">
        <f t="shared" si="6"/>
        <v>46078.45901</v>
      </c>
      <c r="R578" s="48">
        <f t="shared" si="7"/>
        <v>40.31530039</v>
      </c>
      <c r="S578" s="41"/>
      <c r="T578" s="41"/>
      <c r="U578" s="41"/>
      <c r="V578" s="41"/>
      <c r="W578" s="41"/>
      <c r="X578" s="41"/>
      <c r="Y578" s="41"/>
      <c r="Z578" s="41"/>
    </row>
    <row r="579" ht="14.25" customHeight="1">
      <c r="A579" s="20">
        <v>578.0</v>
      </c>
      <c r="B579" s="20">
        <v>127.0</v>
      </c>
      <c r="C579" s="20">
        <v>384.0</v>
      </c>
      <c r="D579" s="20">
        <v>2.0</v>
      </c>
      <c r="E579" s="20">
        <f t="shared" si="1"/>
        <v>768</v>
      </c>
      <c r="F579" s="49">
        <v>45010.0</v>
      </c>
      <c r="G579" s="20" t="s">
        <v>39</v>
      </c>
      <c r="H579" s="20">
        <v>348.0</v>
      </c>
      <c r="I579" s="20" t="str">
        <f>VLOOKUP(B579,'товар'!$A$1:$C$433,2,FALSE)</f>
        <v>Овощи</v>
      </c>
      <c r="J579" s="50">
        <f t="shared" si="2"/>
        <v>250.4878049</v>
      </c>
      <c r="K579" s="51">
        <f t="shared" si="3"/>
        <v>0.5330087634</v>
      </c>
      <c r="L579" s="20" t="str">
        <f>VLOOKUP(B579,'товар'!$A$1:$C$433,3,FALSE)</f>
        <v>Семко</v>
      </c>
      <c r="M579" s="52">
        <f t="shared" si="4"/>
        <v>208</v>
      </c>
      <c r="N579" s="53">
        <f>VLOOKUP(H579,'клиенты'!$A$1:$F$435,5,FALSE)</f>
        <v>44569</v>
      </c>
      <c r="O579" s="20">
        <f t="shared" si="5"/>
        <v>441</v>
      </c>
      <c r="P579" s="20" t="str">
        <f>VLOOKUP(H579,'клиенты'!$A$2:$J$435,10,FALSE)</f>
        <v>Украина</v>
      </c>
      <c r="Q579" s="54">
        <f t="shared" si="6"/>
        <v>46078.45901</v>
      </c>
      <c r="R579" s="55">
        <f t="shared" si="7"/>
        <v>50.31530039</v>
      </c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41">
        <v>579.0</v>
      </c>
      <c r="B580" s="41">
        <v>464.0</v>
      </c>
      <c r="C580" s="41">
        <v>356.0</v>
      </c>
      <c r="D580" s="41">
        <v>4.0</v>
      </c>
      <c r="E580" s="41">
        <f t="shared" si="1"/>
        <v>1424</v>
      </c>
      <c r="F580" s="42">
        <v>45031.0</v>
      </c>
      <c r="G580" s="41" t="s">
        <v>39</v>
      </c>
      <c r="H580" s="41">
        <v>255.0</v>
      </c>
      <c r="I580" s="41" t="str">
        <f>VLOOKUP(B580,'товар'!$A$1:$C$433,2,FALSE)</f>
        <v>Сыр</v>
      </c>
      <c r="J580" s="43">
        <f t="shared" si="2"/>
        <v>262.6349206</v>
      </c>
      <c r="K580" s="44">
        <f t="shared" si="3"/>
        <v>0.3554937749</v>
      </c>
      <c r="L580" s="41" t="str">
        <f>VLOOKUP(B580,'товар'!$A$1:$C$433,3,FALSE)</f>
        <v>Сырная долина</v>
      </c>
      <c r="M580" s="45">
        <f t="shared" si="4"/>
        <v>271</v>
      </c>
      <c r="N580" s="46">
        <f>VLOOKUP(H580,'клиенты'!$A$1:$F$435,5,FALSE)</f>
        <v>44793</v>
      </c>
      <c r="O580" s="41">
        <f t="shared" si="5"/>
        <v>238</v>
      </c>
      <c r="P580" s="41" t="str">
        <f>VLOOKUP(H580,'клиенты'!$A$2:$J$435,10,FALSE)</f>
        <v>Украина</v>
      </c>
      <c r="Q580" s="47">
        <f t="shared" si="6"/>
        <v>46078.45901</v>
      </c>
      <c r="R580" s="48">
        <f t="shared" si="7"/>
        <v>42.84863373</v>
      </c>
      <c r="S580" s="41"/>
      <c r="T580" s="41"/>
      <c r="U580" s="41"/>
      <c r="V580" s="41"/>
      <c r="W580" s="41"/>
      <c r="X580" s="41"/>
      <c r="Y580" s="41"/>
      <c r="Z580" s="41"/>
    </row>
    <row r="581" ht="14.25" customHeight="1">
      <c r="A581" s="20">
        <v>580.0</v>
      </c>
      <c r="B581" s="20">
        <v>426.0</v>
      </c>
      <c r="C581" s="20">
        <v>438.0</v>
      </c>
      <c r="D581" s="20">
        <v>1.0</v>
      </c>
      <c r="E581" s="20">
        <f t="shared" si="1"/>
        <v>438</v>
      </c>
      <c r="F581" s="49">
        <v>44932.0</v>
      </c>
      <c r="G581" s="20" t="s">
        <v>37</v>
      </c>
      <c r="H581" s="20">
        <v>27.0</v>
      </c>
      <c r="I581" s="20" t="str">
        <f>VLOOKUP(B581,'товар'!$A$1:$C$433,2,FALSE)</f>
        <v>Печенье</v>
      </c>
      <c r="J581" s="50">
        <f t="shared" si="2"/>
        <v>283.4680851</v>
      </c>
      <c r="K581" s="51">
        <f t="shared" si="3"/>
        <v>0.5451474893</v>
      </c>
      <c r="L581" s="20" t="str">
        <f>VLOOKUP(B581,'товар'!$A$1:$C$433,3,FALSE)</f>
        <v>Посиделкино</v>
      </c>
      <c r="M581" s="52">
        <f t="shared" si="4"/>
        <v>321.6363636</v>
      </c>
      <c r="N581" s="53">
        <f>VLOOKUP(H581,'клиенты'!$A$1:$F$435,5,FALSE)</f>
        <v>44586</v>
      </c>
      <c r="O581" s="20">
        <f t="shared" si="5"/>
        <v>346</v>
      </c>
      <c r="P581" s="20" t="str">
        <f>VLOOKUP(H581,'клиенты'!$A$2:$J$435,10,FALSE)</f>
        <v>Украина</v>
      </c>
      <c r="Q581" s="54">
        <f t="shared" si="6"/>
        <v>46078.45901</v>
      </c>
      <c r="R581" s="55">
        <f t="shared" si="7"/>
        <v>49.74863373</v>
      </c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41">
        <v>581.0</v>
      </c>
      <c r="B582" s="41">
        <v>224.0</v>
      </c>
      <c r="C582" s="41">
        <v>232.0</v>
      </c>
      <c r="D582" s="41">
        <v>5.0</v>
      </c>
      <c r="E582" s="41">
        <f t="shared" si="1"/>
        <v>1160</v>
      </c>
      <c r="F582" s="42">
        <v>45332.0</v>
      </c>
      <c r="G582" s="41" t="s">
        <v>40</v>
      </c>
      <c r="H582" s="41">
        <v>219.0</v>
      </c>
      <c r="I582" s="41" t="str">
        <f>VLOOKUP(B582,'товар'!$A$1:$C$433,2,FALSE)</f>
        <v>Чипсы</v>
      </c>
      <c r="J582" s="43">
        <f t="shared" si="2"/>
        <v>273.7254902</v>
      </c>
      <c r="K582" s="44">
        <f t="shared" si="3"/>
        <v>-0.1524355301</v>
      </c>
      <c r="L582" s="41" t="str">
        <f>VLOOKUP(B582,'товар'!$A$1:$C$433,3,FALSE)</f>
        <v>Pringles</v>
      </c>
      <c r="M582" s="45">
        <f t="shared" si="4"/>
        <v>280.2380952</v>
      </c>
      <c r="N582" s="46">
        <f>VLOOKUP(H582,'клиенты'!$A$1:$F$435,5,FALSE)</f>
        <v>44585</v>
      </c>
      <c r="O582" s="41">
        <f t="shared" si="5"/>
        <v>747</v>
      </c>
      <c r="P582" s="41" t="str">
        <f>VLOOKUP(H582,'клиенты'!$A$2:$J$435,10,FALSE)</f>
        <v>Таджикистан</v>
      </c>
      <c r="Q582" s="47">
        <f t="shared" si="6"/>
        <v>46078.45901</v>
      </c>
      <c r="R582" s="48">
        <f t="shared" si="7"/>
        <v>49.78196706</v>
      </c>
      <c r="S582" s="41"/>
      <c r="T582" s="41"/>
      <c r="U582" s="41"/>
      <c r="V582" s="41"/>
      <c r="W582" s="41"/>
      <c r="X582" s="41"/>
      <c r="Y582" s="41"/>
      <c r="Z582" s="41"/>
    </row>
    <row r="583" ht="14.25" customHeight="1">
      <c r="A583" s="20">
        <v>582.0</v>
      </c>
      <c r="B583" s="20">
        <v>198.0</v>
      </c>
      <c r="C583" s="20">
        <v>383.0</v>
      </c>
      <c r="D583" s="20">
        <v>2.0</v>
      </c>
      <c r="E583" s="20">
        <f t="shared" si="1"/>
        <v>766</v>
      </c>
      <c r="F583" s="49">
        <v>45393.0</v>
      </c>
      <c r="G583" s="20" t="s">
        <v>43</v>
      </c>
      <c r="H583" s="20">
        <v>272.0</v>
      </c>
      <c r="I583" s="20" t="str">
        <f>VLOOKUP(B583,'товар'!$A$1:$C$433,2,FALSE)</f>
        <v>Мясо</v>
      </c>
      <c r="J583" s="50">
        <f t="shared" si="2"/>
        <v>271.7454545</v>
      </c>
      <c r="K583" s="51">
        <f t="shared" si="3"/>
        <v>0.4094071993</v>
      </c>
      <c r="L583" s="20" t="str">
        <f>VLOOKUP(B583,'товар'!$A$1:$C$433,3,FALSE)</f>
        <v>Мираторг</v>
      </c>
      <c r="M583" s="52">
        <f t="shared" si="4"/>
        <v>316.5833333</v>
      </c>
      <c r="N583" s="53">
        <f>VLOOKUP(H583,'клиенты'!$A$1:$F$435,5,FALSE)</f>
        <v>44668</v>
      </c>
      <c r="O583" s="20">
        <f t="shared" si="5"/>
        <v>725</v>
      </c>
      <c r="P583" s="20" t="str">
        <f>VLOOKUP(H583,'клиенты'!$A$2:$J$435,10,FALSE)</f>
        <v>Таджикистан</v>
      </c>
      <c r="Q583" s="54">
        <f t="shared" si="6"/>
        <v>46078.45901</v>
      </c>
      <c r="R583" s="55">
        <f t="shared" si="7"/>
        <v>47.01530039</v>
      </c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41">
        <v>583.0</v>
      </c>
      <c r="B584" s="41">
        <v>233.0</v>
      </c>
      <c r="C584" s="41">
        <v>419.0</v>
      </c>
      <c r="D584" s="41">
        <v>5.0</v>
      </c>
      <c r="E584" s="41">
        <f t="shared" si="1"/>
        <v>2095</v>
      </c>
      <c r="F584" s="42">
        <v>45304.0</v>
      </c>
      <c r="G584" s="41" t="s">
        <v>36</v>
      </c>
      <c r="H584" s="41">
        <v>388.0</v>
      </c>
      <c r="I584" s="41" t="str">
        <f>VLOOKUP(B584,'товар'!$A$1:$C$433,2,FALSE)</f>
        <v>Йогурт</v>
      </c>
      <c r="J584" s="43">
        <f t="shared" si="2"/>
        <v>263.2542373</v>
      </c>
      <c r="K584" s="44">
        <f t="shared" si="3"/>
        <v>0.5916173062</v>
      </c>
      <c r="L584" s="41" t="str">
        <f>VLOOKUP(B584,'товар'!$A$1:$C$433,3,FALSE)</f>
        <v>Ростагроэкспорт</v>
      </c>
      <c r="M584" s="45">
        <f t="shared" si="4"/>
        <v>257.7826087</v>
      </c>
      <c r="N584" s="46">
        <f>VLOOKUP(H584,'клиенты'!$A$1:$F$435,5,FALSE)</f>
        <v>44581</v>
      </c>
      <c r="O584" s="41">
        <f t="shared" si="5"/>
        <v>723</v>
      </c>
      <c r="P584" s="41" t="str">
        <f>VLOOKUP(H584,'клиенты'!$A$2:$J$435,10,FALSE)</f>
        <v>Россия</v>
      </c>
      <c r="Q584" s="47">
        <f t="shared" si="6"/>
        <v>46078.45901</v>
      </c>
      <c r="R584" s="48">
        <f t="shared" si="7"/>
        <v>49.91530039</v>
      </c>
      <c r="S584" s="41"/>
      <c r="T584" s="41"/>
      <c r="U584" s="41"/>
      <c r="V584" s="41"/>
      <c r="W584" s="41"/>
      <c r="X584" s="41"/>
      <c r="Y584" s="41"/>
      <c r="Z584" s="41"/>
    </row>
    <row r="585" ht="14.25" customHeight="1">
      <c r="A585" s="20">
        <v>584.0</v>
      </c>
      <c r="B585" s="20">
        <v>355.0</v>
      </c>
      <c r="C585" s="20">
        <v>210.0</v>
      </c>
      <c r="D585" s="20">
        <v>1.0</v>
      </c>
      <c r="E585" s="20">
        <f t="shared" si="1"/>
        <v>210</v>
      </c>
      <c r="F585" s="49">
        <v>45213.0</v>
      </c>
      <c r="G585" s="20" t="s">
        <v>42</v>
      </c>
      <c r="H585" s="20">
        <v>446.0</v>
      </c>
      <c r="I585" s="20" t="str">
        <f>VLOOKUP(B585,'товар'!$A$1:$C$433,2,FALSE)</f>
        <v>Кофе</v>
      </c>
      <c r="J585" s="50">
        <f t="shared" si="2"/>
        <v>249.0238095</v>
      </c>
      <c r="K585" s="51">
        <f t="shared" si="3"/>
        <v>-0.1567071422</v>
      </c>
      <c r="L585" s="20" t="str">
        <f>VLOOKUP(B585,'товар'!$A$1:$C$433,3,FALSE)</f>
        <v>Jacobs</v>
      </c>
      <c r="M585" s="52">
        <f t="shared" si="4"/>
        <v>276.2105263</v>
      </c>
      <c r="N585" s="53">
        <f>VLOOKUP(H585,'клиенты'!$A$1:$F$435,5,FALSE)</f>
        <v>44671</v>
      </c>
      <c r="O585" s="20">
        <f t="shared" si="5"/>
        <v>542</v>
      </c>
      <c r="P585" s="20" t="str">
        <f>VLOOKUP(H585,'клиенты'!$A$2:$J$435,10,FALSE)</f>
        <v>Таджикистан</v>
      </c>
      <c r="Q585" s="54">
        <f t="shared" si="6"/>
        <v>46078.45901</v>
      </c>
      <c r="R585" s="55">
        <f t="shared" si="7"/>
        <v>46.91530039</v>
      </c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41">
        <v>585.0</v>
      </c>
      <c r="B586" s="41">
        <v>118.0</v>
      </c>
      <c r="C586" s="41">
        <v>214.0</v>
      </c>
      <c r="D586" s="41">
        <v>2.0</v>
      </c>
      <c r="E586" s="41">
        <f t="shared" si="1"/>
        <v>428</v>
      </c>
      <c r="F586" s="42">
        <v>45058.0</v>
      </c>
      <c r="G586" s="41" t="s">
        <v>42</v>
      </c>
      <c r="H586" s="41">
        <v>138.0</v>
      </c>
      <c r="I586" s="41" t="str">
        <f>VLOOKUP(B586,'товар'!$A$1:$C$433,2,FALSE)</f>
        <v>Сахар</v>
      </c>
      <c r="J586" s="43">
        <f t="shared" si="2"/>
        <v>252.7627119</v>
      </c>
      <c r="K586" s="44">
        <f t="shared" si="3"/>
        <v>-0.1533561322</v>
      </c>
      <c r="L586" s="41" t="str">
        <f>VLOOKUP(B586,'товар'!$A$1:$C$433,3,FALSE)</f>
        <v>Продимекс</v>
      </c>
      <c r="M586" s="45">
        <f t="shared" si="4"/>
        <v>240.5</v>
      </c>
      <c r="N586" s="46">
        <f>VLOOKUP(H586,'клиенты'!$A$1:$F$435,5,FALSE)</f>
        <v>44723</v>
      </c>
      <c r="O586" s="41">
        <f t="shared" si="5"/>
        <v>335</v>
      </c>
      <c r="P586" s="41" t="str">
        <f>VLOOKUP(H586,'клиенты'!$A$2:$J$435,10,FALSE)</f>
        <v>Украина</v>
      </c>
      <c r="Q586" s="47">
        <f t="shared" si="6"/>
        <v>46078.45901</v>
      </c>
      <c r="R586" s="48">
        <f t="shared" si="7"/>
        <v>45.18196706</v>
      </c>
      <c r="S586" s="41"/>
      <c r="T586" s="41"/>
      <c r="U586" s="41"/>
      <c r="V586" s="41"/>
      <c r="W586" s="41"/>
      <c r="X586" s="41"/>
      <c r="Y586" s="41"/>
      <c r="Z586" s="41"/>
    </row>
    <row r="587" ht="14.25" customHeight="1">
      <c r="A587" s="20">
        <v>586.0</v>
      </c>
      <c r="B587" s="20">
        <v>414.0</v>
      </c>
      <c r="C587" s="20">
        <v>115.0</v>
      </c>
      <c r="D587" s="20">
        <v>2.0</v>
      </c>
      <c r="E587" s="20">
        <f t="shared" si="1"/>
        <v>230</v>
      </c>
      <c r="F587" s="49">
        <v>45094.0</v>
      </c>
      <c r="G587" s="20" t="s">
        <v>53</v>
      </c>
      <c r="H587" s="20">
        <v>402.0</v>
      </c>
      <c r="I587" s="20" t="str">
        <f>VLOOKUP(B587,'товар'!$A$1:$C$433,2,FALSE)</f>
        <v>Фрукты</v>
      </c>
      <c r="J587" s="50">
        <f t="shared" si="2"/>
        <v>274.1627907</v>
      </c>
      <c r="K587" s="51">
        <f t="shared" si="3"/>
        <v>-0.5805411825</v>
      </c>
      <c r="L587" s="20" t="str">
        <f>VLOOKUP(B587,'товар'!$A$1:$C$433,3,FALSE)</f>
        <v>Экзотик</v>
      </c>
      <c r="M587" s="52">
        <f t="shared" si="4"/>
        <v>253.6875</v>
      </c>
      <c r="N587" s="53">
        <f>VLOOKUP(H587,'клиенты'!$A$1:$F$435,5,FALSE)</f>
        <v>44742</v>
      </c>
      <c r="O587" s="20">
        <f t="shared" si="5"/>
        <v>352</v>
      </c>
      <c r="P587" s="20" t="str">
        <f>VLOOKUP(H587,'клиенты'!$A$2:$J$435,10,FALSE)</f>
        <v>Узбекистан</v>
      </c>
      <c r="Q587" s="54">
        <f t="shared" si="6"/>
        <v>46078.45901</v>
      </c>
      <c r="R587" s="55">
        <f t="shared" si="7"/>
        <v>44.54863373</v>
      </c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41">
        <v>587.0</v>
      </c>
      <c r="B588" s="41">
        <v>405.0</v>
      </c>
      <c r="C588" s="41">
        <v>340.0</v>
      </c>
      <c r="D588" s="41">
        <v>1.0</v>
      </c>
      <c r="E588" s="41">
        <f t="shared" si="1"/>
        <v>340</v>
      </c>
      <c r="F588" s="42">
        <v>45213.0</v>
      </c>
      <c r="G588" s="41" t="s">
        <v>52</v>
      </c>
      <c r="H588" s="41">
        <v>351.0</v>
      </c>
      <c r="I588" s="41" t="str">
        <f>VLOOKUP(B588,'товар'!$A$1:$C$433,2,FALSE)</f>
        <v>Хлеб</v>
      </c>
      <c r="J588" s="43">
        <f t="shared" si="2"/>
        <v>300.3181818</v>
      </c>
      <c r="K588" s="44">
        <f t="shared" si="3"/>
        <v>0.1321325867</v>
      </c>
      <c r="L588" s="41" t="str">
        <f>VLOOKUP(B588,'товар'!$A$1:$C$433,3,FALSE)</f>
        <v>Каравай</v>
      </c>
      <c r="M588" s="45">
        <f t="shared" si="4"/>
        <v>331.1666667</v>
      </c>
      <c r="N588" s="46">
        <f>VLOOKUP(H588,'клиенты'!$A$1:$F$435,5,FALSE)</f>
        <v>44863</v>
      </c>
      <c r="O588" s="41">
        <f t="shared" si="5"/>
        <v>350</v>
      </c>
      <c r="P588" s="41" t="str">
        <f>VLOOKUP(H588,'клиенты'!$A$2:$J$435,10,FALSE)</f>
        <v>Россия</v>
      </c>
      <c r="Q588" s="47">
        <f t="shared" si="6"/>
        <v>46078.45901</v>
      </c>
      <c r="R588" s="48">
        <f t="shared" si="7"/>
        <v>40.51530039</v>
      </c>
      <c r="S588" s="41"/>
      <c r="T588" s="41"/>
      <c r="U588" s="41"/>
      <c r="V588" s="41"/>
      <c r="W588" s="41"/>
      <c r="X588" s="41"/>
      <c r="Y588" s="41"/>
      <c r="Z588" s="41"/>
    </row>
    <row r="589" ht="14.25" customHeight="1">
      <c r="A589" s="20">
        <v>588.0</v>
      </c>
      <c r="B589" s="20">
        <v>313.0</v>
      </c>
      <c r="C589" s="20">
        <v>392.0</v>
      </c>
      <c r="D589" s="20">
        <v>5.0</v>
      </c>
      <c r="E589" s="20">
        <f t="shared" si="1"/>
        <v>1960</v>
      </c>
      <c r="F589" s="49">
        <v>45109.0</v>
      </c>
      <c r="G589" s="20" t="s">
        <v>45</v>
      </c>
      <c r="H589" s="20">
        <v>40.0</v>
      </c>
      <c r="I589" s="20" t="str">
        <f>VLOOKUP(B589,'товар'!$A$1:$C$433,2,FALSE)</f>
        <v>Конфеты</v>
      </c>
      <c r="J589" s="50">
        <f t="shared" si="2"/>
        <v>267.8548387</v>
      </c>
      <c r="K589" s="51">
        <f t="shared" si="3"/>
        <v>0.4634792557</v>
      </c>
      <c r="L589" s="20" t="str">
        <f>VLOOKUP(B589,'товар'!$A$1:$C$433,3,FALSE)</f>
        <v>Бабаевский</v>
      </c>
      <c r="M589" s="52">
        <f t="shared" si="4"/>
        <v>250.2592593</v>
      </c>
      <c r="N589" s="53">
        <f>VLOOKUP(H589,'клиенты'!$A$1:$F$435,5,FALSE)</f>
        <v>44855</v>
      </c>
      <c r="O589" s="20">
        <f t="shared" si="5"/>
        <v>254</v>
      </c>
      <c r="P589" s="20" t="str">
        <f>VLOOKUP(H589,'клиенты'!$A$2:$J$435,10,FALSE)</f>
        <v>Россия</v>
      </c>
      <c r="Q589" s="54">
        <f t="shared" si="6"/>
        <v>46078.45901</v>
      </c>
      <c r="R589" s="55">
        <f t="shared" si="7"/>
        <v>40.78196706</v>
      </c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41">
        <v>589.0</v>
      </c>
      <c r="B590" s="41">
        <v>113.0</v>
      </c>
      <c r="C590" s="41">
        <v>378.0</v>
      </c>
      <c r="D590" s="41">
        <v>1.0</v>
      </c>
      <c r="E590" s="41">
        <f t="shared" si="1"/>
        <v>378</v>
      </c>
      <c r="F590" s="42">
        <v>45277.0</v>
      </c>
      <c r="G590" s="41" t="s">
        <v>37</v>
      </c>
      <c r="H590" s="41">
        <v>19.0</v>
      </c>
      <c r="I590" s="41" t="str">
        <f>VLOOKUP(B590,'товар'!$A$1:$C$433,2,FALSE)</f>
        <v>Сок</v>
      </c>
      <c r="J590" s="43">
        <f t="shared" si="2"/>
        <v>268.6034483</v>
      </c>
      <c r="K590" s="44">
        <f t="shared" si="3"/>
        <v>0.4072790295</v>
      </c>
      <c r="L590" s="41" t="str">
        <f>VLOOKUP(B590,'товар'!$A$1:$C$433,3,FALSE)</f>
        <v>Добрый</v>
      </c>
      <c r="M590" s="45">
        <f t="shared" si="4"/>
        <v>242.8181818</v>
      </c>
      <c r="N590" s="46">
        <f>VLOOKUP(H590,'клиенты'!$A$1:$F$435,5,FALSE)</f>
        <v>44902</v>
      </c>
      <c r="O590" s="41">
        <f t="shared" si="5"/>
        <v>375</v>
      </c>
      <c r="P590" s="41" t="str">
        <f>VLOOKUP(H590,'клиенты'!$A$2:$J$435,10,FALSE)</f>
        <v>Россия</v>
      </c>
      <c r="Q590" s="47">
        <f t="shared" si="6"/>
        <v>46078.45901</v>
      </c>
      <c r="R590" s="48">
        <f t="shared" si="7"/>
        <v>39.21530039</v>
      </c>
      <c r="S590" s="41"/>
      <c r="T590" s="41"/>
      <c r="U590" s="41"/>
      <c r="V590" s="41"/>
      <c r="W590" s="41"/>
      <c r="X590" s="41"/>
      <c r="Y590" s="41"/>
      <c r="Z590" s="41"/>
    </row>
    <row r="591" ht="14.25" customHeight="1">
      <c r="A591" s="20">
        <v>590.0</v>
      </c>
      <c r="B591" s="20">
        <v>474.0</v>
      </c>
      <c r="C591" s="20">
        <v>204.0</v>
      </c>
      <c r="D591" s="20">
        <v>2.0</v>
      </c>
      <c r="E591" s="20">
        <f t="shared" si="1"/>
        <v>408</v>
      </c>
      <c r="F591" s="49">
        <v>45349.0</v>
      </c>
      <c r="G591" s="20" t="s">
        <v>44</v>
      </c>
      <c r="H591" s="20">
        <v>153.0</v>
      </c>
      <c r="I591" s="20" t="str">
        <f>VLOOKUP(B591,'товар'!$A$1:$C$433,2,FALSE)</f>
        <v>Молоко</v>
      </c>
      <c r="J591" s="50">
        <f t="shared" si="2"/>
        <v>294.952381</v>
      </c>
      <c r="K591" s="51">
        <f t="shared" si="3"/>
        <v>-0.3083629319</v>
      </c>
      <c r="L591" s="20" t="str">
        <f>VLOOKUP(B591,'товар'!$A$1:$C$433,3,FALSE)</f>
        <v>Простоквашино</v>
      </c>
      <c r="M591" s="52">
        <f t="shared" si="4"/>
        <v>318.8181818</v>
      </c>
      <c r="N591" s="53">
        <f>VLOOKUP(H591,'клиенты'!$A$1:$F$435,5,FALSE)</f>
        <v>44802</v>
      </c>
      <c r="O591" s="20">
        <f t="shared" si="5"/>
        <v>547</v>
      </c>
      <c r="P591" s="20" t="str">
        <f>VLOOKUP(H591,'клиенты'!$A$2:$J$435,10,FALSE)</f>
        <v>Россия</v>
      </c>
      <c r="Q591" s="54">
        <f t="shared" si="6"/>
        <v>46078.45901</v>
      </c>
      <c r="R591" s="55">
        <f t="shared" si="7"/>
        <v>42.54863373</v>
      </c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41">
        <v>591.0</v>
      </c>
      <c r="B592" s="41">
        <v>361.0</v>
      </c>
      <c r="C592" s="41">
        <v>69.0</v>
      </c>
      <c r="D592" s="41">
        <v>1.0</v>
      </c>
      <c r="E592" s="41">
        <f t="shared" si="1"/>
        <v>69</v>
      </c>
      <c r="F592" s="42">
        <v>45021.0</v>
      </c>
      <c r="G592" s="41" t="s">
        <v>40</v>
      </c>
      <c r="H592" s="41">
        <v>355.0</v>
      </c>
      <c r="I592" s="41" t="str">
        <f>VLOOKUP(B592,'товар'!$A$1:$C$433,2,FALSE)</f>
        <v>Мясо</v>
      </c>
      <c r="J592" s="43">
        <f t="shared" si="2"/>
        <v>271.7454545</v>
      </c>
      <c r="K592" s="44">
        <f t="shared" si="3"/>
        <v>-0.7460859093</v>
      </c>
      <c r="L592" s="41" t="str">
        <f>VLOOKUP(B592,'товар'!$A$1:$C$433,3,FALSE)</f>
        <v>Сава</v>
      </c>
      <c r="M592" s="45">
        <f t="shared" si="4"/>
        <v>212.8125</v>
      </c>
      <c r="N592" s="46">
        <f>VLOOKUP(H592,'клиенты'!$A$1:$F$435,5,FALSE)</f>
        <v>44631</v>
      </c>
      <c r="O592" s="41">
        <f t="shared" si="5"/>
        <v>390</v>
      </c>
      <c r="P592" s="41" t="str">
        <f>VLOOKUP(H592,'клиенты'!$A$2:$J$435,10,FALSE)</f>
        <v>Россия</v>
      </c>
      <c r="Q592" s="47">
        <f t="shared" si="6"/>
        <v>46078.45901</v>
      </c>
      <c r="R592" s="48">
        <f t="shared" si="7"/>
        <v>48.24863373</v>
      </c>
      <c r="S592" s="41"/>
      <c r="T592" s="41"/>
      <c r="U592" s="41"/>
      <c r="V592" s="41"/>
      <c r="W592" s="41"/>
      <c r="X592" s="41"/>
      <c r="Y592" s="41"/>
      <c r="Z592" s="41"/>
    </row>
    <row r="593" ht="14.25" customHeight="1">
      <c r="A593" s="20">
        <v>592.0</v>
      </c>
      <c r="B593" s="20">
        <v>291.0</v>
      </c>
      <c r="C593" s="20">
        <v>455.0</v>
      </c>
      <c r="D593" s="20">
        <v>5.0</v>
      </c>
      <c r="E593" s="20">
        <f t="shared" si="1"/>
        <v>2275</v>
      </c>
      <c r="F593" s="49">
        <v>45142.0</v>
      </c>
      <c r="G593" s="20" t="s">
        <v>35</v>
      </c>
      <c r="H593" s="20">
        <v>245.0</v>
      </c>
      <c r="I593" s="20" t="str">
        <f>VLOOKUP(B593,'товар'!$A$1:$C$433,2,FALSE)</f>
        <v>Рыба</v>
      </c>
      <c r="J593" s="50">
        <f t="shared" si="2"/>
        <v>258.5128205</v>
      </c>
      <c r="K593" s="51">
        <f t="shared" si="3"/>
        <v>0.7600674469</v>
      </c>
      <c r="L593" s="20" t="str">
        <f>VLOOKUP(B593,'товар'!$A$1:$C$433,3,FALSE)</f>
        <v>Балтийский берег</v>
      </c>
      <c r="M593" s="52">
        <f t="shared" si="4"/>
        <v>289.8888889</v>
      </c>
      <c r="N593" s="53">
        <f>VLOOKUP(H593,'клиенты'!$A$1:$F$435,5,FALSE)</f>
        <v>44695</v>
      </c>
      <c r="O593" s="20">
        <f t="shared" si="5"/>
        <v>447</v>
      </c>
      <c r="P593" s="20" t="str">
        <f>VLOOKUP(H593,'клиенты'!$A$2:$J$435,10,FALSE)</f>
        <v>Узбекистан</v>
      </c>
      <c r="Q593" s="54">
        <f t="shared" si="6"/>
        <v>46078.45901</v>
      </c>
      <c r="R593" s="55">
        <f t="shared" si="7"/>
        <v>46.11530039</v>
      </c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41">
        <v>593.0</v>
      </c>
      <c r="B594" s="41">
        <v>360.0</v>
      </c>
      <c r="C594" s="41">
        <v>137.0</v>
      </c>
      <c r="D594" s="41">
        <v>2.0</v>
      </c>
      <c r="E594" s="41">
        <f t="shared" si="1"/>
        <v>274</v>
      </c>
      <c r="F594" s="42">
        <v>45318.0</v>
      </c>
      <c r="G594" s="41" t="s">
        <v>50</v>
      </c>
      <c r="H594" s="41">
        <v>80.0</v>
      </c>
      <c r="I594" s="41" t="str">
        <f>VLOOKUP(B594,'товар'!$A$1:$C$433,2,FALSE)</f>
        <v>Соль</v>
      </c>
      <c r="J594" s="43">
        <f t="shared" si="2"/>
        <v>264.8679245</v>
      </c>
      <c r="K594" s="44">
        <f t="shared" si="3"/>
        <v>-0.4827610771</v>
      </c>
      <c r="L594" s="41" t="str">
        <f>VLOOKUP(B594,'товар'!$A$1:$C$433,3,FALSE)</f>
        <v>Славянская</v>
      </c>
      <c r="M594" s="45">
        <f t="shared" si="4"/>
        <v>236.9166667</v>
      </c>
      <c r="N594" s="46">
        <f>VLOOKUP(H594,'клиенты'!$A$1:$F$435,5,FALSE)</f>
        <v>44623</v>
      </c>
      <c r="O594" s="41">
        <f t="shared" si="5"/>
        <v>695</v>
      </c>
      <c r="P594" s="41" t="str">
        <f>VLOOKUP(H594,'клиенты'!$A$2:$J$435,10,FALSE)</f>
        <v>Беларусь</v>
      </c>
      <c r="Q594" s="47">
        <f t="shared" si="6"/>
        <v>46078.45901</v>
      </c>
      <c r="R594" s="48">
        <f t="shared" si="7"/>
        <v>48.51530039</v>
      </c>
      <c r="S594" s="41"/>
      <c r="T594" s="41"/>
      <c r="U594" s="41"/>
      <c r="V594" s="41"/>
      <c r="W594" s="41"/>
      <c r="X594" s="41"/>
      <c r="Y594" s="41"/>
      <c r="Z594" s="41"/>
    </row>
    <row r="595" ht="14.25" customHeight="1">
      <c r="A595" s="20">
        <v>594.0</v>
      </c>
      <c r="B595" s="20">
        <v>182.0</v>
      </c>
      <c r="C595" s="20">
        <v>152.0</v>
      </c>
      <c r="D595" s="20">
        <v>3.0</v>
      </c>
      <c r="E595" s="20">
        <f t="shared" si="1"/>
        <v>456</v>
      </c>
      <c r="F595" s="49">
        <v>45053.0</v>
      </c>
      <c r="G595" s="20" t="s">
        <v>50</v>
      </c>
      <c r="H595" s="20">
        <v>466.0</v>
      </c>
      <c r="I595" s="20" t="str">
        <f>VLOOKUP(B595,'товар'!$A$1:$C$433,2,FALSE)</f>
        <v>Соль</v>
      </c>
      <c r="J595" s="50">
        <f t="shared" si="2"/>
        <v>264.8679245</v>
      </c>
      <c r="K595" s="51">
        <f t="shared" si="3"/>
        <v>-0.4261290782</v>
      </c>
      <c r="L595" s="20" t="str">
        <f>VLOOKUP(B595,'товар'!$A$1:$C$433,3,FALSE)</f>
        <v>Экстра</v>
      </c>
      <c r="M595" s="52">
        <f t="shared" si="4"/>
        <v>320.8461538</v>
      </c>
      <c r="N595" s="53">
        <f>VLOOKUP(H595,'клиенты'!$A$1:$F$435,5,FALSE)</f>
        <v>44772</v>
      </c>
      <c r="O595" s="20">
        <f t="shared" si="5"/>
        <v>281</v>
      </c>
      <c r="P595" s="20" t="str">
        <f>VLOOKUP(H595,'клиенты'!$A$2:$J$435,10,FALSE)</f>
        <v>Беларусь</v>
      </c>
      <c r="Q595" s="54">
        <f t="shared" si="6"/>
        <v>46078.45901</v>
      </c>
      <c r="R595" s="55">
        <f t="shared" si="7"/>
        <v>43.54863373</v>
      </c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41">
        <v>595.0</v>
      </c>
      <c r="B596" s="41">
        <v>490.0</v>
      </c>
      <c r="C596" s="41">
        <v>170.0</v>
      </c>
      <c r="D596" s="41">
        <v>5.0</v>
      </c>
      <c r="E596" s="41">
        <f t="shared" si="1"/>
        <v>850</v>
      </c>
      <c r="F596" s="42">
        <v>45058.0</v>
      </c>
      <c r="G596" s="41" t="s">
        <v>48</v>
      </c>
      <c r="H596" s="41">
        <v>317.0</v>
      </c>
      <c r="I596" s="41" t="str">
        <f>VLOOKUP(B596,'товар'!$A$1:$C$433,2,FALSE)</f>
        <v>Сыр</v>
      </c>
      <c r="J596" s="43">
        <f t="shared" si="2"/>
        <v>262.6349206</v>
      </c>
      <c r="K596" s="44">
        <f t="shared" si="3"/>
        <v>-0.3527136468</v>
      </c>
      <c r="L596" s="41" t="str">
        <f>VLOOKUP(B596,'товар'!$A$1:$C$433,3,FALSE)</f>
        <v>Сырная долина</v>
      </c>
      <c r="M596" s="45">
        <f t="shared" si="4"/>
        <v>271</v>
      </c>
      <c r="N596" s="46">
        <f>VLOOKUP(H596,'клиенты'!$A$1:$F$435,5,FALSE)</f>
        <v>44770</v>
      </c>
      <c r="O596" s="41">
        <f t="shared" si="5"/>
        <v>288</v>
      </c>
      <c r="P596" s="41" t="str">
        <f>VLOOKUP(H596,'клиенты'!$A$2:$J$435,10,FALSE)</f>
        <v>Россия</v>
      </c>
      <c r="Q596" s="47">
        <f t="shared" si="6"/>
        <v>46078.45901</v>
      </c>
      <c r="R596" s="48">
        <f t="shared" si="7"/>
        <v>43.61530039</v>
      </c>
      <c r="S596" s="41"/>
      <c r="T596" s="41"/>
      <c r="U596" s="41"/>
      <c r="V596" s="41"/>
      <c r="W596" s="41"/>
      <c r="X596" s="41"/>
      <c r="Y596" s="41"/>
      <c r="Z596" s="41"/>
    </row>
    <row r="597" ht="14.25" customHeight="1">
      <c r="A597" s="20">
        <v>596.0</v>
      </c>
      <c r="B597" s="20">
        <v>215.0</v>
      </c>
      <c r="C597" s="20">
        <v>496.0</v>
      </c>
      <c r="D597" s="20">
        <v>2.0</v>
      </c>
      <c r="E597" s="20">
        <f t="shared" si="1"/>
        <v>992</v>
      </c>
      <c r="F597" s="49">
        <v>45404.0</v>
      </c>
      <c r="G597" s="20" t="s">
        <v>53</v>
      </c>
      <c r="H597" s="20">
        <v>342.0</v>
      </c>
      <c r="I597" s="20" t="str">
        <f>VLOOKUP(B597,'товар'!$A$1:$C$433,2,FALSE)</f>
        <v>Сок</v>
      </c>
      <c r="J597" s="50">
        <f t="shared" si="2"/>
        <v>268.6034483</v>
      </c>
      <c r="K597" s="51">
        <f t="shared" si="3"/>
        <v>0.8465883561</v>
      </c>
      <c r="L597" s="20" t="str">
        <f>VLOOKUP(B597,'товар'!$A$1:$C$433,3,FALSE)</f>
        <v>Фруктовый сад</v>
      </c>
      <c r="M597" s="52">
        <f t="shared" si="4"/>
        <v>281.96875</v>
      </c>
      <c r="N597" s="53">
        <f>VLOOKUP(H597,'клиенты'!$A$1:$F$435,5,FALSE)</f>
        <v>44570</v>
      </c>
      <c r="O597" s="20">
        <f t="shared" si="5"/>
        <v>834</v>
      </c>
      <c r="P597" s="20" t="str">
        <f>VLOOKUP(H597,'клиенты'!$A$2:$J$435,10,FALSE)</f>
        <v>Таджикистан</v>
      </c>
      <c r="Q597" s="54">
        <f t="shared" si="6"/>
        <v>46078.45901</v>
      </c>
      <c r="R597" s="55">
        <f t="shared" si="7"/>
        <v>50.28196706</v>
      </c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41">
        <v>597.0</v>
      </c>
      <c r="B598" s="41">
        <v>137.0</v>
      </c>
      <c r="C598" s="41">
        <v>411.0</v>
      </c>
      <c r="D598" s="41">
        <v>1.0</v>
      </c>
      <c r="E598" s="41">
        <f t="shared" si="1"/>
        <v>411</v>
      </c>
      <c r="F598" s="42">
        <v>45192.0</v>
      </c>
      <c r="G598" s="41" t="s">
        <v>40</v>
      </c>
      <c r="H598" s="41">
        <v>130.0</v>
      </c>
      <c r="I598" s="41" t="str">
        <f>VLOOKUP(B598,'товар'!$A$1:$C$433,2,FALSE)</f>
        <v>Фрукты</v>
      </c>
      <c r="J598" s="43">
        <f t="shared" si="2"/>
        <v>274.1627907</v>
      </c>
      <c r="K598" s="44">
        <f t="shared" si="3"/>
        <v>0.4991093392</v>
      </c>
      <c r="L598" s="41" t="str">
        <f>VLOOKUP(B598,'товар'!$A$1:$C$433,3,FALSE)</f>
        <v>Экзотик</v>
      </c>
      <c r="M598" s="45">
        <f t="shared" si="4"/>
        <v>253.6875</v>
      </c>
      <c r="N598" s="46">
        <f>VLOOKUP(H598,'клиенты'!$A$1:$F$435,5,FALSE)</f>
        <v>44863</v>
      </c>
      <c r="O598" s="41">
        <f t="shared" si="5"/>
        <v>329</v>
      </c>
      <c r="P598" s="41" t="str">
        <f>VLOOKUP(H598,'клиенты'!$A$2:$J$435,10,FALSE)</f>
        <v>Таджикистан</v>
      </c>
      <c r="Q598" s="47">
        <f t="shared" si="6"/>
        <v>46078.45901</v>
      </c>
      <c r="R598" s="48">
        <f t="shared" si="7"/>
        <v>40.51530039</v>
      </c>
      <c r="S598" s="41"/>
      <c r="T598" s="41"/>
      <c r="U598" s="41"/>
      <c r="V598" s="41"/>
      <c r="W598" s="41"/>
      <c r="X598" s="41"/>
      <c r="Y598" s="41"/>
      <c r="Z598" s="41"/>
    </row>
    <row r="599" ht="14.25" customHeight="1">
      <c r="A599" s="20">
        <v>598.0</v>
      </c>
      <c r="B599" s="20">
        <v>75.0</v>
      </c>
      <c r="C599" s="20">
        <v>240.0</v>
      </c>
      <c r="D599" s="20">
        <v>4.0</v>
      </c>
      <c r="E599" s="20">
        <f t="shared" si="1"/>
        <v>960</v>
      </c>
      <c r="F599" s="49">
        <v>45148.0</v>
      </c>
      <c r="G599" s="20" t="s">
        <v>50</v>
      </c>
      <c r="H599" s="20">
        <v>53.0</v>
      </c>
      <c r="I599" s="20" t="str">
        <f>VLOOKUP(B599,'товар'!$A$1:$C$433,2,FALSE)</f>
        <v>Печенье</v>
      </c>
      <c r="J599" s="50">
        <f t="shared" si="2"/>
        <v>283.4680851</v>
      </c>
      <c r="K599" s="51">
        <f t="shared" si="3"/>
        <v>-0.1533438415</v>
      </c>
      <c r="L599" s="20" t="str">
        <f>VLOOKUP(B599,'товар'!$A$1:$C$433,3,FALSE)</f>
        <v>Белогорье</v>
      </c>
      <c r="M599" s="52">
        <f t="shared" si="4"/>
        <v>249.5</v>
      </c>
      <c r="N599" s="53">
        <f>VLOOKUP(H599,'клиенты'!$A$1:$F$435,5,FALSE)</f>
        <v>44593</v>
      </c>
      <c r="O599" s="20">
        <f t="shared" si="5"/>
        <v>555</v>
      </c>
      <c r="P599" s="20" t="str">
        <f>VLOOKUP(H599,'клиенты'!$A$2:$J$435,10,FALSE)</f>
        <v>Россия</v>
      </c>
      <c r="Q599" s="54">
        <f t="shared" si="6"/>
        <v>46078.45901</v>
      </c>
      <c r="R599" s="55">
        <f t="shared" si="7"/>
        <v>49.51530039</v>
      </c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41">
        <v>599.0</v>
      </c>
      <c r="B600" s="41">
        <v>359.0</v>
      </c>
      <c r="C600" s="41">
        <v>302.0</v>
      </c>
      <c r="D600" s="41">
        <v>4.0</v>
      </c>
      <c r="E600" s="41">
        <f t="shared" si="1"/>
        <v>1208</v>
      </c>
      <c r="F600" s="42">
        <v>45195.0</v>
      </c>
      <c r="G600" s="41" t="s">
        <v>50</v>
      </c>
      <c r="H600" s="41">
        <v>122.0</v>
      </c>
      <c r="I600" s="41" t="str">
        <f>VLOOKUP(B600,'товар'!$A$1:$C$433,2,FALSE)</f>
        <v>Мясо</v>
      </c>
      <c r="J600" s="43">
        <f t="shared" si="2"/>
        <v>271.7454545</v>
      </c>
      <c r="K600" s="44">
        <f t="shared" si="3"/>
        <v>0.1113341362</v>
      </c>
      <c r="L600" s="41" t="str">
        <f>VLOOKUP(B600,'товар'!$A$1:$C$433,3,FALSE)</f>
        <v>Мираторг</v>
      </c>
      <c r="M600" s="45">
        <f t="shared" si="4"/>
        <v>316.5833333</v>
      </c>
      <c r="N600" s="46">
        <f>VLOOKUP(H600,'клиенты'!$A$1:$F$435,5,FALSE)</f>
        <v>44683</v>
      </c>
      <c r="O600" s="41">
        <f t="shared" si="5"/>
        <v>512</v>
      </c>
      <c r="P600" s="41" t="str">
        <f>VLOOKUP(H600,'клиенты'!$A$2:$J$435,10,FALSE)</f>
        <v>Беларусь</v>
      </c>
      <c r="Q600" s="47">
        <f t="shared" si="6"/>
        <v>46078.45901</v>
      </c>
      <c r="R600" s="48">
        <f t="shared" si="7"/>
        <v>46.51530039</v>
      </c>
      <c r="S600" s="41"/>
      <c r="T600" s="41"/>
      <c r="U600" s="41"/>
      <c r="V600" s="41"/>
      <c r="W600" s="41"/>
      <c r="X600" s="41"/>
      <c r="Y600" s="41"/>
      <c r="Z600" s="41"/>
    </row>
    <row r="601" ht="14.25" customHeight="1">
      <c r="A601" s="20">
        <v>600.0</v>
      </c>
      <c r="B601" s="20">
        <v>364.0</v>
      </c>
      <c r="C601" s="20">
        <v>138.0</v>
      </c>
      <c r="D601" s="20">
        <v>4.0</v>
      </c>
      <c r="E601" s="20">
        <f t="shared" si="1"/>
        <v>552</v>
      </c>
      <c r="F601" s="49">
        <v>45256.0</v>
      </c>
      <c r="G601" s="20" t="s">
        <v>50</v>
      </c>
      <c r="H601" s="20">
        <v>199.0</v>
      </c>
      <c r="I601" s="20" t="str">
        <f>VLOOKUP(B601,'товар'!$A$1:$C$433,2,FALSE)</f>
        <v>Сахар</v>
      </c>
      <c r="J601" s="50">
        <f t="shared" si="2"/>
        <v>252.7627119</v>
      </c>
      <c r="K601" s="51">
        <f t="shared" si="3"/>
        <v>-0.4540333937</v>
      </c>
      <c r="L601" s="20" t="str">
        <f>VLOOKUP(B601,'товар'!$A$1:$C$433,3,FALSE)</f>
        <v>Русский сахар</v>
      </c>
      <c r="M601" s="52">
        <f t="shared" si="4"/>
        <v>293.4117647</v>
      </c>
      <c r="N601" s="53">
        <f>VLOOKUP(H601,'клиенты'!$A$1:$F$435,5,FALSE)</f>
        <v>44715</v>
      </c>
      <c r="O601" s="20">
        <f t="shared" si="5"/>
        <v>541</v>
      </c>
      <c r="P601" s="20" t="str">
        <f>VLOOKUP(H601,'клиенты'!$A$2:$J$435,10,FALSE)</f>
        <v>Узбекистан</v>
      </c>
      <c r="Q601" s="54">
        <f t="shared" si="6"/>
        <v>46078.45901</v>
      </c>
      <c r="R601" s="55">
        <f t="shared" si="7"/>
        <v>45.44863373</v>
      </c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41">
        <v>601.0</v>
      </c>
      <c r="B602" s="41">
        <v>197.0</v>
      </c>
      <c r="C602" s="41">
        <v>309.0</v>
      </c>
      <c r="D602" s="41">
        <v>4.0</v>
      </c>
      <c r="E602" s="41">
        <f t="shared" si="1"/>
        <v>1236</v>
      </c>
      <c r="F602" s="42">
        <v>45212.0</v>
      </c>
      <c r="G602" s="41" t="s">
        <v>41</v>
      </c>
      <c r="H602" s="41">
        <v>52.0</v>
      </c>
      <c r="I602" s="41" t="str">
        <f>VLOOKUP(B602,'товар'!$A$1:$C$433,2,FALSE)</f>
        <v>Печенье</v>
      </c>
      <c r="J602" s="43">
        <f t="shared" si="2"/>
        <v>283.4680851</v>
      </c>
      <c r="K602" s="44">
        <f t="shared" si="3"/>
        <v>0.0900698041</v>
      </c>
      <c r="L602" s="41" t="str">
        <f>VLOOKUP(B602,'товар'!$A$1:$C$433,3,FALSE)</f>
        <v>Юбилейное</v>
      </c>
      <c r="M602" s="45">
        <f t="shared" si="4"/>
        <v>232.4444444</v>
      </c>
      <c r="N602" s="46">
        <f>VLOOKUP(H602,'клиенты'!$A$1:$F$435,5,FALSE)</f>
        <v>44917</v>
      </c>
      <c r="O602" s="41">
        <f t="shared" si="5"/>
        <v>295</v>
      </c>
      <c r="P602" s="41" t="str">
        <f>VLOOKUP(H602,'клиенты'!$A$2:$J$435,10,FALSE)</f>
        <v>Россия</v>
      </c>
      <c r="Q602" s="47">
        <f t="shared" si="6"/>
        <v>46078.45901</v>
      </c>
      <c r="R602" s="48">
        <f t="shared" si="7"/>
        <v>38.71530039</v>
      </c>
      <c r="S602" s="41"/>
      <c r="T602" s="41"/>
      <c r="U602" s="41"/>
      <c r="V602" s="41"/>
      <c r="W602" s="41"/>
      <c r="X602" s="41"/>
      <c r="Y602" s="41"/>
      <c r="Z602" s="41"/>
    </row>
    <row r="603" ht="14.25" customHeight="1">
      <c r="A603" s="20">
        <v>602.0</v>
      </c>
      <c r="B603" s="20">
        <v>157.0</v>
      </c>
      <c r="C603" s="20">
        <v>473.0</v>
      </c>
      <c r="D603" s="20">
        <v>5.0</v>
      </c>
      <c r="E603" s="20">
        <f t="shared" si="1"/>
        <v>2365</v>
      </c>
      <c r="F603" s="49">
        <v>45012.0</v>
      </c>
      <c r="G603" s="20" t="s">
        <v>50</v>
      </c>
      <c r="H603" s="20">
        <v>477.0</v>
      </c>
      <c r="I603" s="20" t="str">
        <f>VLOOKUP(B603,'товар'!$A$1:$C$433,2,FALSE)</f>
        <v>Сыр</v>
      </c>
      <c r="J603" s="50">
        <f t="shared" si="2"/>
        <v>262.6349206</v>
      </c>
      <c r="K603" s="51">
        <f t="shared" si="3"/>
        <v>0.8009790886</v>
      </c>
      <c r="L603" s="20" t="str">
        <f>VLOOKUP(B603,'товар'!$A$1:$C$433,3,FALSE)</f>
        <v>President</v>
      </c>
      <c r="M603" s="52">
        <f t="shared" si="4"/>
        <v>238.7222222</v>
      </c>
      <c r="N603" s="53">
        <f>VLOOKUP(H603,'клиенты'!$A$1:$F$435,5,FALSE)</f>
        <v>44738</v>
      </c>
      <c r="O603" s="20">
        <f t="shared" si="5"/>
        <v>274</v>
      </c>
      <c r="P603" s="20" t="str">
        <f>VLOOKUP(H603,'клиенты'!$A$2:$J$435,10,FALSE)</f>
        <v>Узбекистан</v>
      </c>
      <c r="Q603" s="54">
        <f t="shared" si="6"/>
        <v>46078.45901</v>
      </c>
      <c r="R603" s="55">
        <f t="shared" si="7"/>
        <v>44.68196706</v>
      </c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41">
        <v>603.0</v>
      </c>
      <c r="B604" s="41">
        <v>105.0</v>
      </c>
      <c r="C604" s="41">
        <v>187.0</v>
      </c>
      <c r="D604" s="41">
        <v>1.0</v>
      </c>
      <c r="E604" s="41">
        <f t="shared" si="1"/>
        <v>187</v>
      </c>
      <c r="F604" s="42">
        <v>45038.0</v>
      </c>
      <c r="G604" s="41" t="s">
        <v>39</v>
      </c>
      <c r="H604" s="41">
        <v>24.0</v>
      </c>
      <c r="I604" s="41" t="str">
        <f>VLOOKUP(B604,'товар'!$A$1:$C$433,2,FALSE)</f>
        <v>Фрукты</v>
      </c>
      <c r="J604" s="43">
        <f t="shared" si="2"/>
        <v>274.1627907</v>
      </c>
      <c r="K604" s="44">
        <f t="shared" si="3"/>
        <v>-0.317923488</v>
      </c>
      <c r="L604" s="41" t="str">
        <f>VLOOKUP(B604,'товар'!$A$1:$C$433,3,FALSE)</f>
        <v>Фрукты-Ягоды</v>
      </c>
      <c r="M604" s="45">
        <f t="shared" si="4"/>
        <v>280.6666667</v>
      </c>
      <c r="N604" s="46">
        <f>VLOOKUP(H604,'клиенты'!$A$1:$F$435,5,FALSE)</f>
        <v>44609</v>
      </c>
      <c r="O604" s="41">
        <f t="shared" si="5"/>
        <v>429</v>
      </c>
      <c r="P604" s="41" t="str">
        <f>VLOOKUP(H604,'клиенты'!$A$2:$J$435,10,FALSE)</f>
        <v>Узбекистан</v>
      </c>
      <c r="Q604" s="47">
        <f t="shared" si="6"/>
        <v>46078.45901</v>
      </c>
      <c r="R604" s="48">
        <f t="shared" si="7"/>
        <v>48.98196706</v>
      </c>
      <c r="S604" s="41"/>
      <c r="T604" s="41"/>
      <c r="U604" s="41"/>
      <c r="V604" s="41"/>
      <c r="W604" s="41"/>
      <c r="X604" s="41"/>
      <c r="Y604" s="41"/>
      <c r="Z604" s="41"/>
    </row>
    <row r="605" ht="14.25" customHeight="1">
      <c r="A605" s="20">
        <v>604.0</v>
      </c>
      <c r="B605" s="20">
        <v>479.0</v>
      </c>
      <c r="C605" s="20">
        <v>314.0</v>
      </c>
      <c r="D605" s="20">
        <v>3.0</v>
      </c>
      <c r="E605" s="20">
        <f t="shared" si="1"/>
        <v>942</v>
      </c>
      <c r="F605" s="49">
        <v>45429.0</v>
      </c>
      <c r="G605" s="20" t="s">
        <v>51</v>
      </c>
      <c r="H605" s="20">
        <v>293.0</v>
      </c>
      <c r="I605" s="20" t="str">
        <f>VLOOKUP(B605,'товар'!$A$1:$C$433,2,FALSE)</f>
        <v>Овощи</v>
      </c>
      <c r="J605" s="50">
        <f t="shared" si="2"/>
        <v>250.4878049</v>
      </c>
      <c r="K605" s="51">
        <f t="shared" si="3"/>
        <v>0.2535540409</v>
      </c>
      <c r="L605" s="20" t="str">
        <f>VLOOKUP(B605,'товар'!$A$1:$C$433,3,FALSE)</f>
        <v>Гавриш</v>
      </c>
      <c r="M605" s="52">
        <f t="shared" si="4"/>
        <v>247.6666667</v>
      </c>
      <c r="N605" s="53">
        <f>VLOOKUP(H605,'клиенты'!$A$1:$F$435,5,FALSE)</f>
        <v>44573</v>
      </c>
      <c r="O605" s="20">
        <f t="shared" si="5"/>
        <v>856</v>
      </c>
      <c r="P605" s="20" t="str">
        <f>VLOOKUP(H605,'клиенты'!$A$2:$J$435,10,FALSE)</f>
        <v>Беларусь</v>
      </c>
      <c r="Q605" s="54">
        <f t="shared" si="6"/>
        <v>46078.45901</v>
      </c>
      <c r="R605" s="55">
        <f t="shared" si="7"/>
        <v>50.18196706</v>
      </c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41">
        <v>605.0</v>
      </c>
      <c r="B606" s="41">
        <v>285.0</v>
      </c>
      <c r="C606" s="41">
        <v>122.0</v>
      </c>
      <c r="D606" s="41">
        <v>5.0</v>
      </c>
      <c r="E606" s="41">
        <f t="shared" si="1"/>
        <v>610</v>
      </c>
      <c r="F606" s="42">
        <v>44959.0</v>
      </c>
      <c r="G606" s="41" t="s">
        <v>48</v>
      </c>
      <c r="H606" s="41">
        <v>447.0</v>
      </c>
      <c r="I606" s="41" t="str">
        <f>VLOOKUP(B606,'товар'!$A$1:$C$433,2,FALSE)</f>
        <v>Макароны</v>
      </c>
      <c r="J606" s="43">
        <f t="shared" si="2"/>
        <v>265.4767442</v>
      </c>
      <c r="K606" s="44">
        <f t="shared" si="3"/>
        <v>-0.540449389</v>
      </c>
      <c r="L606" s="41" t="str">
        <f>VLOOKUP(B606,'товар'!$A$1:$C$433,3,FALSE)</f>
        <v>Паста Зара</v>
      </c>
      <c r="M606" s="45">
        <f t="shared" si="4"/>
        <v>276.6756757</v>
      </c>
      <c r="N606" s="46">
        <f>VLOOKUP(H606,'клиенты'!$A$1:$F$435,5,FALSE)</f>
        <v>44898</v>
      </c>
      <c r="O606" s="41">
        <f t="shared" si="5"/>
        <v>61</v>
      </c>
      <c r="P606" s="41" t="str">
        <f>VLOOKUP(H606,'клиенты'!$A$2:$J$435,10,FALSE)</f>
        <v>Таджикистан</v>
      </c>
      <c r="Q606" s="47">
        <f t="shared" si="6"/>
        <v>46078.45901</v>
      </c>
      <c r="R606" s="48">
        <f t="shared" si="7"/>
        <v>39.34863373</v>
      </c>
      <c r="S606" s="41"/>
      <c r="T606" s="41"/>
      <c r="U606" s="41"/>
      <c r="V606" s="41"/>
      <c r="W606" s="41"/>
      <c r="X606" s="41"/>
      <c r="Y606" s="41"/>
      <c r="Z606" s="41"/>
    </row>
    <row r="607" ht="14.25" customHeight="1">
      <c r="A607" s="20">
        <v>606.0</v>
      </c>
      <c r="B607" s="20">
        <v>93.0</v>
      </c>
      <c r="C607" s="20">
        <v>184.0</v>
      </c>
      <c r="D607" s="20">
        <v>2.0</v>
      </c>
      <c r="E607" s="20">
        <f t="shared" si="1"/>
        <v>368</v>
      </c>
      <c r="F607" s="49">
        <v>45187.0</v>
      </c>
      <c r="G607" s="20" t="s">
        <v>39</v>
      </c>
      <c r="H607" s="20">
        <v>163.0</v>
      </c>
      <c r="I607" s="20" t="str">
        <f>VLOOKUP(B607,'товар'!$A$1:$C$433,2,FALSE)</f>
        <v>Чай</v>
      </c>
      <c r="J607" s="50">
        <f t="shared" si="2"/>
        <v>271.1818182</v>
      </c>
      <c r="K607" s="51">
        <f t="shared" si="3"/>
        <v>-0.3214884345</v>
      </c>
      <c r="L607" s="20" t="str">
        <f>VLOOKUP(B607,'товар'!$A$1:$C$433,3,FALSE)</f>
        <v>Greenfield</v>
      </c>
      <c r="M607" s="52">
        <f t="shared" si="4"/>
        <v>291.4545455</v>
      </c>
      <c r="N607" s="53">
        <f>VLOOKUP(H607,'клиенты'!$A$1:$F$435,5,FALSE)</f>
        <v>44571</v>
      </c>
      <c r="O607" s="20">
        <f t="shared" si="5"/>
        <v>616</v>
      </c>
      <c r="P607" s="20" t="str">
        <f>VLOOKUP(H607,'клиенты'!$A$2:$J$435,10,FALSE)</f>
        <v>Узбекистан</v>
      </c>
      <c r="Q607" s="54">
        <f t="shared" si="6"/>
        <v>46078.45901</v>
      </c>
      <c r="R607" s="55">
        <f t="shared" si="7"/>
        <v>50.24863373</v>
      </c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41">
        <v>607.0</v>
      </c>
      <c r="B608" s="41">
        <v>199.0</v>
      </c>
      <c r="C608" s="41">
        <v>172.0</v>
      </c>
      <c r="D608" s="41">
        <v>3.0</v>
      </c>
      <c r="E608" s="41">
        <f t="shared" si="1"/>
        <v>516</v>
      </c>
      <c r="F608" s="42">
        <v>45223.0</v>
      </c>
      <c r="G608" s="41" t="s">
        <v>50</v>
      </c>
      <c r="H608" s="41">
        <v>421.0</v>
      </c>
      <c r="I608" s="41" t="str">
        <f>VLOOKUP(B608,'товар'!$A$1:$C$433,2,FALSE)</f>
        <v>Макароны</v>
      </c>
      <c r="J608" s="43">
        <f t="shared" si="2"/>
        <v>265.4767442</v>
      </c>
      <c r="K608" s="44">
        <f t="shared" si="3"/>
        <v>-0.3521089746</v>
      </c>
      <c r="L608" s="41" t="str">
        <f>VLOOKUP(B608,'товар'!$A$1:$C$433,3,FALSE)</f>
        <v>Борилла</v>
      </c>
      <c r="M608" s="45">
        <f t="shared" si="4"/>
        <v>236.2758621</v>
      </c>
      <c r="N608" s="46">
        <f>VLOOKUP(H608,'клиенты'!$A$1:$F$435,5,FALSE)</f>
        <v>44620</v>
      </c>
      <c r="O608" s="41">
        <f t="shared" si="5"/>
        <v>603</v>
      </c>
      <c r="P608" s="41" t="str">
        <f>VLOOKUP(H608,'клиенты'!$A$2:$J$435,10,FALSE)</f>
        <v>Россия</v>
      </c>
      <c r="Q608" s="47">
        <f t="shared" si="6"/>
        <v>46078.45901</v>
      </c>
      <c r="R608" s="48">
        <f t="shared" si="7"/>
        <v>48.61530039</v>
      </c>
      <c r="S608" s="41"/>
      <c r="T608" s="41"/>
      <c r="U608" s="41"/>
      <c r="V608" s="41"/>
      <c r="W608" s="41"/>
      <c r="X608" s="41"/>
      <c r="Y608" s="41"/>
      <c r="Z608" s="41"/>
    </row>
    <row r="609" ht="14.25" customHeight="1">
      <c r="A609" s="20">
        <v>608.0</v>
      </c>
      <c r="B609" s="20">
        <v>122.0</v>
      </c>
      <c r="C609" s="20">
        <v>482.0</v>
      </c>
      <c r="D609" s="20">
        <v>4.0</v>
      </c>
      <c r="E609" s="20">
        <f t="shared" si="1"/>
        <v>1928</v>
      </c>
      <c r="F609" s="49">
        <v>45038.0</v>
      </c>
      <c r="G609" s="20" t="s">
        <v>44</v>
      </c>
      <c r="H609" s="20">
        <v>320.0</v>
      </c>
      <c r="I609" s="20" t="str">
        <f>VLOOKUP(B609,'товар'!$A$1:$C$433,2,FALSE)</f>
        <v>Фрукты</v>
      </c>
      <c r="J609" s="50">
        <f t="shared" si="2"/>
        <v>274.1627907</v>
      </c>
      <c r="K609" s="51">
        <f t="shared" si="3"/>
        <v>0.7580795657</v>
      </c>
      <c r="L609" s="20" t="str">
        <f>VLOOKUP(B609,'товар'!$A$1:$C$433,3,FALSE)</f>
        <v>Фрукты-Ягоды</v>
      </c>
      <c r="M609" s="52">
        <f t="shared" si="4"/>
        <v>280.6666667</v>
      </c>
      <c r="N609" s="53">
        <f>VLOOKUP(H609,'клиенты'!$A$1:$F$435,5,FALSE)</f>
        <v>44869</v>
      </c>
      <c r="O609" s="20">
        <f t="shared" si="5"/>
        <v>169</v>
      </c>
      <c r="P609" s="20" t="str">
        <f>VLOOKUP(H609,'клиенты'!$A$2:$J$435,10,FALSE)</f>
        <v>Беларусь</v>
      </c>
      <c r="Q609" s="54">
        <f t="shared" si="6"/>
        <v>46078.45901</v>
      </c>
      <c r="R609" s="55">
        <f t="shared" si="7"/>
        <v>40.31530039</v>
      </c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41">
        <v>609.0</v>
      </c>
      <c r="B610" s="41">
        <v>415.0</v>
      </c>
      <c r="C610" s="41">
        <v>350.0</v>
      </c>
      <c r="D610" s="41">
        <v>1.0</v>
      </c>
      <c r="E610" s="41">
        <f t="shared" si="1"/>
        <v>350</v>
      </c>
      <c r="F610" s="42">
        <v>45358.0</v>
      </c>
      <c r="G610" s="41" t="s">
        <v>45</v>
      </c>
      <c r="H610" s="41">
        <v>199.0</v>
      </c>
      <c r="I610" s="41" t="str">
        <f>VLOOKUP(B610,'товар'!$A$1:$C$433,2,FALSE)</f>
        <v>Чипсы</v>
      </c>
      <c r="J610" s="43">
        <f t="shared" si="2"/>
        <v>273.7254902</v>
      </c>
      <c r="K610" s="44">
        <f t="shared" si="3"/>
        <v>0.2786532951</v>
      </c>
      <c r="L610" s="41" t="str">
        <f>VLOOKUP(B610,'товар'!$A$1:$C$433,3,FALSE)</f>
        <v>Pringles</v>
      </c>
      <c r="M610" s="45">
        <f t="shared" si="4"/>
        <v>280.2380952</v>
      </c>
      <c r="N610" s="46">
        <f>VLOOKUP(H610,'клиенты'!$A$1:$F$435,5,FALSE)</f>
        <v>44715</v>
      </c>
      <c r="O610" s="41">
        <f t="shared" si="5"/>
        <v>643</v>
      </c>
      <c r="P610" s="41" t="str">
        <f>VLOOKUP(H610,'клиенты'!$A$2:$J$435,10,FALSE)</f>
        <v>Узбекистан</v>
      </c>
      <c r="Q610" s="47">
        <f t="shared" si="6"/>
        <v>46078.45901</v>
      </c>
      <c r="R610" s="48">
        <f t="shared" si="7"/>
        <v>45.44863373</v>
      </c>
      <c r="S610" s="41"/>
      <c r="T610" s="41"/>
      <c r="U610" s="41"/>
      <c r="V610" s="41"/>
      <c r="W610" s="41"/>
      <c r="X610" s="41"/>
      <c r="Y610" s="41"/>
      <c r="Z610" s="41"/>
    </row>
    <row r="611" ht="14.25" customHeight="1">
      <c r="A611" s="20">
        <v>610.0</v>
      </c>
      <c r="B611" s="20">
        <v>315.0</v>
      </c>
      <c r="C611" s="20">
        <v>232.0</v>
      </c>
      <c r="D611" s="20">
        <v>1.0</v>
      </c>
      <c r="E611" s="20">
        <f t="shared" si="1"/>
        <v>232</v>
      </c>
      <c r="F611" s="49">
        <v>44929.0</v>
      </c>
      <c r="G611" s="20" t="s">
        <v>43</v>
      </c>
      <c r="H611" s="20">
        <v>247.0</v>
      </c>
      <c r="I611" s="20" t="str">
        <f>VLOOKUP(B611,'товар'!$A$1:$C$433,2,FALSE)</f>
        <v>Йогурт</v>
      </c>
      <c r="J611" s="50">
        <f t="shared" si="2"/>
        <v>263.2542373</v>
      </c>
      <c r="K611" s="51">
        <f t="shared" si="3"/>
        <v>-0.1187226371</v>
      </c>
      <c r="L611" s="20" t="str">
        <f>VLOOKUP(B611,'товар'!$A$1:$C$433,3,FALSE)</f>
        <v>Чудо</v>
      </c>
      <c r="M611" s="52">
        <f t="shared" si="4"/>
        <v>287.1</v>
      </c>
      <c r="N611" s="53">
        <f>VLOOKUP(H611,'клиенты'!$A$1:$F$435,5,FALSE)</f>
        <v>44762</v>
      </c>
      <c r="O611" s="20">
        <f t="shared" si="5"/>
        <v>167</v>
      </c>
      <c r="P611" s="20" t="str">
        <f>VLOOKUP(H611,'клиенты'!$A$2:$J$435,10,FALSE)</f>
        <v>Узбекистан</v>
      </c>
      <c r="Q611" s="54">
        <f t="shared" si="6"/>
        <v>46078.45901</v>
      </c>
      <c r="R611" s="55">
        <f t="shared" si="7"/>
        <v>43.88196706</v>
      </c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41">
        <v>611.0</v>
      </c>
      <c r="B612" s="41">
        <v>25.0</v>
      </c>
      <c r="C612" s="41">
        <v>222.0</v>
      </c>
      <c r="D612" s="41">
        <v>1.0</v>
      </c>
      <c r="E612" s="41">
        <f t="shared" si="1"/>
        <v>222</v>
      </c>
      <c r="F612" s="42">
        <v>45245.0</v>
      </c>
      <c r="G612" s="41" t="s">
        <v>52</v>
      </c>
      <c r="H612" s="41">
        <v>364.0</v>
      </c>
      <c r="I612" s="41" t="str">
        <f>VLOOKUP(B612,'товар'!$A$1:$C$433,2,FALSE)</f>
        <v>Чипсы</v>
      </c>
      <c r="J612" s="43">
        <f t="shared" si="2"/>
        <v>273.7254902</v>
      </c>
      <c r="K612" s="44">
        <f t="shared" si="3"/>
        <v>-0.1889684814</v>
      </c>
      <c r="L612" s="41" t="str">
        <f>VLOOKUP(B612,'товар'!$A$1:$C$433,3,FALSE)</f>
        <v>Русская картошка</v>
      </c>
      <c r="M612" s="45">
        <f t="shared" si="4"/>
        <v>241.8333333</v>
      </c>
      <c r="N612" s="46">
        <f>VLOOKUP(H612,'клиенты'!$A$1:$F$435,5,FALSE)</f>
        <v>44883</v>
      </c>
      <c r="O612" s="41">
        <f t="shared" si="5"/>
        <v>362</v>
      </c>
      <c r="P612" s="41" t="str">
        <f>VLOOKUP(H612,'клиенты'!$A$2:$J$435,10,FALSE)</f>
        <v>Россия</v>
      </c>
      <c r="Q612" s="47">
        <f t="shared" si="6"/>
        <v>46078.45901</v>
      </c>
      <c r="R612" s="48">
        <f t="shared" si="7"/>
        <v>39.84863373</v>
      </c>
      <c r="S612" s="41"/>
      <c r="T612" s="41"/>
      <c r="U612" s="41"/>
      <c r="V612" s="41"/>
      <c r="W612" s="41"/>
      <c r="X612" s="41"/>
      <c r="Y612" s="41"/>
      <c r="Z612" s="41"/>
    </row>
    <row r="613" ht="14.25" customHeight="1">
      <c r="A613" s="20">
        <v>612.0</v>
      </c>
      <c r="B613" s="20">
        <v>207.0</v>
      </c>
      <c r="C613" s="20">
        <v>152.0</v>
      </c>
      <c r="D613" s="20">
        <v>3.0</v>
      </c>
      <c r="E613" s="20">
        <f t="shared" si="1"/>
        <v>456</v>
      </c>
      <c r="F613" s="49">
        <v>45222.0</v>
      </c>
      <c r="G613" s="20" t="s">
        <v>52</v>
      </c>
      <c r="H613" s="20">
        <v>173.0</v>
      </c>
      <c r="I613" s="20" t="str">
        <f>VLOOKUP(B613,'товар'!$A$1:$C$433,2,FALSE)</f>
        <v>Сахар</v>
      </c>
      <c r="J613" s="50">
        <f t="shared" si="2"/>
        <v>252.7627119</v>
      </c>
      <c r="K613" s="51">
        <f t="shared" si="3"/>
        <v>-0.3986454771</v>
      </c>
      <c r="L613" s="20" t="str">
        <f>VLOOKUP(B613,'товар'!$A$1:$C$433,3,FALSE)</f>
        <v>Агросахар</v>
      </c>
      <c r="M613" s="52">
        <f t="shared" si="4"/>
        <v>215.8571429</v>
      </c>
      <c r="N613" s="53">
        <f>VLOOKUP(H613,'клиенты'!$A$1:$F$435,5,FALSE)</f>
        <v>44673</v>
      </c>
      <c r="O613" s="20">
        <f t="shared" si="5"/>
        <v>549</v>
      </c>
      <c r="P613" s="20" t="str">
        <f>VLOOKUP(H613,'клиенты'!$A$2:$J$435,10,FALSE)</f>
        <v>Россия</v>
      </c>
      <c r="Q613" s="54">
        <f t="shared" si="6"/>
        <v>46078.45901</v>
      </c>
      <c r="R613" s="55">
        <f t="shared" si="7"/>
        <v>46.84863373</v>
      </c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41">
        <v>613.0</v>
      </c>
      <c r="B614" s="41">
        <v>180.0</v>
      </c>
      <c r="C614" s="41">
        <v>284.0</v>
      </c>
      <c r="D614" s="41">
        <v>1.0</v>
      </c>
      <c r="E614" s="41">
        <f t="shared" si="1"/>
        <v>284</v>
      </c>
      <c r="F614" s="42">
        <v>45267.0</v>
      </c>
      <c r="G614" s="41" t="s">
        <v>46</v>
      </c>
      <c r="H614" s="41">
        <v>485.0</v>
      </c>
      <c r="I614" s="41" t="str">
        <f>VLOOKUP(B614,'товар'!$A$1:$C$433,2,FALSE)</f>
        <v>Чипсы</v>
      </c>
      <c r="J614" s="43">
        <f t="shared" si="2"/>
        <v>273.7254902</v>
      </c>
      <c r="K614" s="44">
        <f t="shared" si="3"/>
        <v>0.03753581662</v>
      </c>
      <c r="L614" s="41" t="str">
        <f>VLOOKUP(B614,'товар'!$A$1:$C$433,3,FALSE)</f>
        <v>Русская картошка</v>
      </c>
      <c r="M614" s="45">
        <f t="shared" si="4"/>
        <v>241.8333333</v>
      </c>
      <c r="N614" s="46">
        <f>VLOOKUP(H614,'клиенты'!$A$1:$F$435,5,FALSE)</f>
        <v>44723</v>
      </c>
      <c r="O614" s="41">
        <f t="shared" si="5"/>
        <v>544</v>
      </c>
      <c r="P614" s="41" t="str">
        <f>VLOOKUP(H614,'клиенты'!$A$2:$J$435,10,FALSE)</f>
        <v>Россия</v>
      </c>
      <c r="Q614" s="47">
        <f t="shared" si="6"/>
        <v>46078.45901</v>
      </c>
      <c r="R614" s="48">
        <f t="shared" si="7"/>
        <v>45.18196706</v>
      </c>
      <c r="S614" s="41"/>
      <c r="T614" s="41"/>
      <c r="U614" s="41"/>
      <c r="V614" s="41"/>
      <c r="W614" s="41"/>
      <c r="X614" s="41"/>
      <c r="Y614" s="41"/>
      <c r="Z614" s="41"/>
    </row>
    <row r="615" ht="14.25" customHeight="1">
      <c r="A615" s="20">
        <v>614.0</v>
      </c>
      <c r="B615" s="20">
        <v>117.0</v>
      </c>
      <c r="C615" s="20">
        <v>208.0</v>
      </c>
      <c r="D615" s="20">
        <v>3.0</v>
      </c>
      <c r="E615" s="20">
        <f t="shared" si="1"/>
        <v>624</v>
      </c>
      <c r="F615" s="49">
        <v>45397.0</v>
      </c>
      <c r="G615" s="20" t="s">
        <v>45</v>
      </c>
      <c r="H615" s="20">
        <v>401.0</v>
      </c>
      <c r="I615" s="20" t="str">
        <f>VLOOKUP(B615,'товар'!$A$1:$C$433,2,FALSE)</f>
        <v>Макароны</v>
      </c>
      <c r="J615" s="50">
        <f t="shared" si="2"/>
        <v>265.4767442</v>
      </c>
      <c r="K615" s="51">
        <f t="shared" si="3"/>
        <v>-0.2165038763</v>
      </c>
      <c r="L615" s="20" t="str">
        <f>VLOOKUP(B615,'товар'!$A$1:$C$433,3,FALSE)</f>
        <v>Роллтон</v>
      </c>
      <c r="M615" s="52">
        <f t="shared" si="4"/>
        <v>235.5555556</v>
      </c>
      <c r="N615" s="53">
        <f>VLOOKUP(H615,'клиенты'!$A$1:$F$435,5,FALSE)</f>
        <v>44856</v>
      </c>
      <c r="O615" s="20">
        <f t="shared" si="5"/>
        <v>541</v>
      </c>
      <c r="P615" s="20" t="str">
        <f>VLOOKUP(H615,'клиенты'!$A$2:$J$435,10,FALSE)</f>
        <v>Россия</v>
      </c>
      <c r="Q615" s="54">
        <f t="shared" si="6"/>
        <v>46078.45901</v>
      </c>
      <c r="R615" s="55">
        <f t="shared" si="7"/>
        <v>40.74863373</v>
      </c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41">
        <v>615.0</v>
      </c>
      <c r="B616" s="41">
        <v>211.0</v>
      </c>
      <c r="C616" s="41">
        <v>338.0</v>
      </c>
      <c r="D616" s="41">
        <v>4.0</v>
      </c>
      <c r="E616" s="41">
        <f t="shared" si="1"/>
        <v>1352</v>
      </c>
      <c r="F616" s="42">
        <v>45227.0</v>
      </c>
      <c r="G616" s="41" t="s">
        <v>52</v>
      </c>
      <c r="H616" s="41">
        <v>379.0</v>
      </c>
      <c r="I616" s="41" t="str">
        <f>VLOOKUP(B616,'товар'!$A$1:$C$433,2,FALSE)</f>
        <v>Овощи</v>
      </c>
      <c r="J616" s="43">
        <f t="shared" si="2"/>
        <v>250.4878049</v>
      </c>
      <c r="K616" s="44">
        <f t="shared" si="3"/>
        <v>0.3493670886</v>
      </c>
      <c r="L616" s="41" t="str">
        <f>VLOOKUP(B616,'товар'!$A$1:$C$433,3,FALSE)</f>
        <v>Овощной ряд</v>
      </c>
      <c r="M616" s="45">
        <f t="shared" si="4"/>
        <v>303.8235294</v>
      </c>
      <c r="N616" s="46">
        <f>VLOOKUP(H616,'клиенты'!$A$1:$F$435,5,FALSE)</f>
        <v>44581</v>
      </c>
      <c r="O616" s="41">
        <f t="shared" si="5"/>
        <v>646</v>
      </c>
      <c r="P616" s="41" t="str">
        <f>VLOOKUP(H616,'клиенты'!$A$2:$J$435,10,FALSE)</f>
        <v>Таджикистан</v>
      </c>
      <c r="Q616" s="47">
        <f t="shared" si="6"/>
        <v>46078.45901</v>
      </c>
      <c r="R616" s="48">
        <f t="shared" si="7"/>
        <v>49.91530039</v>
      </c>
      <c r="S616" s="41"/>
      <c r="T616" s="41"/>
      <c r="U616" s="41"/>
      <c r="V616" s="41"/>
      <c r="W616" s="41"/>
      <c r="X616" s="41"/>
      <c r="Y616" s="41"/>
      <c r="Z616" s="41"/>
    </row>
    <row r="617" ht="14.25" customHeight="1">
      <c r="A617" s="20">
        <v>616.0</v>
      </c>
      <c r="B617" s="20">
        <v>26.0</v>
      </c>
      <c r="C617" s="20">
        <v>143.0</v>
      </c>
      <c r="D617" s="20">
        <v>2.0</v>
      </c>
      <c r="E617" s="20">
        <f t="shared" si="1"/>
        <v>286</v>
      </c>
      <c r="F617" s="49">
        <v>45397.0</v>
      </c>
      <c r="G617" s="20" t="s">
        <v>50</v>
      </c>
      <c r="H617" s="20">
        <v>183.0</v>
      </c>
      <c r="I617" s="20" t="str">
        <f>VLOOKUP(B617,'товар'!$A$1:$C$433,2,FALSE)</f>
        <v>Мясо</v>
      </c>
      <c r="J617" s="50">
        <f t="shared" si="2"/>
        <v>271.7454545</v>
      </c>
      <c r="K617" s="51">
        <f t="shared" si="3"/>
        <v>-0.4737722468</v>
      </c>
      <c r="L617" s="20" t="str">
        <f>VLOOKUP(B617,'товар'!$A$1:$C$433,3,FALSE)</f>
        <v>Сава</v>
      </c>
      <c r="M617" s="52">
        <f t="shared" si="4"/>
        <v>212.8125</v>
      </c>
      <c r="N617" s="53">
        <f>VLOOKUP(H617,'клиенты'!$A$1:$F$435,5,FALSE)</f>
        <v>44900</v>
      </c>
      <c r="O617" s="20">
        <f t="shared" si="5"/>
        <v>497</v>
      </c>
      <c r="P617" s="20" t="str">
        <f>VLOOKUP(H617,'клиенты'!$A$2:$J$435,10,FALSE)</f>
        <v>Таджикистан</v>
      </c>
      <c r="Q617" s="54">
        <f t="shared" si="6"/>
        <v>46078.45901</v>
      </c>
      <c r="R617" s="55">
        <f t="shared" si="7"/>
        <v>39.28196706</v>
      </c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41">
        <v>617.0</v>
      </c>
      <c r="B618" s="41">
        <v>22.0</v>
      </c>
      <c r="C618" s="41">
        <v>217.0</v>
      </c>
      <c r="D618" s="41">
        <v>3.0</v>
      </c>
      <c r="E618" s="41">
        <f t="shared" si="1"/>
        <v>651</v>
      </c>
      <c r="F618" s="42">
        <v>45094.0</v>
      </c>
      <c r="G618" s="41" t="s">
        <v>38</v>
      </c>
      <c r="H618" s="41">
        <v>37.0</v>
      </c>
      <c r="I618" s="41" t="str">
        <f>VLOOKUP(B618,'товар'!$A$1:$C$433,2,FALSE)</f>
        <v>Конфеты</v>
      </c>
      <c r="J618" s="43">
        <f t="shared" si="2"/>
        <v>267.8548387</v>
      </c>
      <c r="K618" s="44">
        <f t="shared" si="3"/>
        <v>-0.1898596977</v>
      </c>
      <c r="L618" s="41" t="str">
        <f>VLOOKUP(B618,'товар'!$A$1:$C$433,3,FALSE)</f>
        <v>Бабаевский</v>
      </c>
      <c r="M618" s="45">
        <f t="shared" si="4"/>
        <v>250.2592593</v>
      </c>
      <c r="N618" s="46">
        <f>VLOOKUP(H618,'клиенты'!$A$1:$F$435,5,FALSE)</f>
        <v>44728</v>
      </c>
      <c r="O618" s="41">
        <f t="shared" si="5"/>
        <v>366</v>
      </c>
      <c r="P618" s="41" t="str">
        <f>VLOOKUP(H618,'клиенты'!$A$2:$J$435,10,FALSE)</f>
        <v>Украина</v>
      </c>
      <c r="Q618" s="47">
        <f t="shared" si="6"/>
        <v>46078.45901</v>
      </c>
      <c r="R618" s="48">
        <f t="shared" si="7"/>
        <v>45.01530039</v>
      </c>
      <c r="S618" s="41"/>
      <c r="T618" s="41"/>
      <c r="U618" s="41"/>
      <c r="V618" s="41"/>
      <c r="W618" s="41"/>
      <c r="X618" s="41"/>
      <c r="Y618" s="41"/>
      <c r="Z618" s="41"/>
    </row>
    <row r="619" ht="14.25" customHeight="1">
      <c r="A619" s="20">
        <v>618.0</v>
      </c>
      <c r="B619" s="20">
        <v>150.0</v>
      </c>
      <c r="C619" s="20">
        <v>347.0</v>
      </c>
      <c r="D619" s="20">
        <v>3.0</v>
      </c>
      <c r="E619" s="20">
        <f t="shared" si="1"/>
        <v>1041</v>
      </c>
      <c r="F619" s="49">
        <v>44979.0</v>
      </c>
      <c r="G619" s="20" t="s">
        <v>37</v>
      </c>
      <c r="H619" s="20">
        <v>201.0</v>
      </c>
      <c r="I619" s="20" t="str">
        <f>VLOOKUP(B619,'товар'!$A$1:$C$433,2,FALSE)</f>
        <v>Рыба</v>
      </c>
      <c r="J619" s="50">
        <f t="shared" si="2"/>
        <v>258.5128205</v>
      </c>
      <c r="K619" s="51">
        <f t="shared" si="3"/>
        <v>0.3422931958</v>
      </c>
      <c r="L619" s="20" t="str">
        <f>VLOOKUP(B619,'товар'!$A$1:$C$433,3,FALSE)</f>
        <v>Меридиан</v>
      </c>
      <c r="M619" s="52">
        <f t="shared" si="4"/>
        <v>260.6470588</v>
      </c>
      <c r="N619" s="53">
        <f>VLOOKUP(H619,'клиенты'!$A$1:$F$435,5,FALSE)</f>
        <v>44843</v>
      </c>
      <c r="O619" s="20">
        <f t="shared" si="5"/>
        <v>136</v>
      </c>
      <c r="P619" s="20" t="str">
        <f>VLOOKUP(H619,'клиенты'!$A$2:$J$435,10,FALSE)</f>
        <v>Таджикистан</v>
      </c>
      <c r="Q619" s="54">
        <f t="shared" si="6"/>
        <v>46078.45901</v>
      </c>
      <c r="R619" s="55">
        <f t="shared" si="7"/>
        <v>41.18196706</v>
      </c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41">
        <v>619.0</v>
      </c>
      <c r="B620" s="41">
        <v>268.0</v>
      </c>
      <c r="C620" s="41">
        <v>55.0</v>
      </c>
      <c r="D620" s="41">
        <v>2.0</v>
      </c>
      <c r="E620" s="41">
        <f t="shared" si="1"/>
        <v>110</v>
      </c>
      <c r="F620" s="42">
        <v>45213.0</v>
      </c>
      <c r="G620" s="41" t="s">
        <v>39</v>
      </c>
      <c r="H620" s="41">
        <v>424.0</v>
      </c>
      <c r="I620" s="41" t="str">
        <f>VLOOKUP(B620,'товар'!$A$1:$C$433,2,FALSE)</f>
        <v>Рис</v>
      </c>
      <c r="J620" s="43">
        <f t="shared" si="2"/>
        <v>258.375</v>
      </c>
      <c r="K620" s="44">
        <f t="shared" si="3"/>
        <v>-0.7871311079</v>
      </c>
      <c r="L620" s="41" t="str">
        <f>VLOOKUP(B620,'товар'!$A$1:$C$433,3,FALSE)</f>
        <v>Мистраль</v>
      </c>
      <c r="M620" s="45">
        <f t="shared" si="4"/>
        <v>181.5714286</v>
      </c>
      <c r="N620" s="46">
        <f>VLOOKUP(H620,'клиенты'!$A$1:$F$435,5,FALSE)</f>
        <v>44585</v>
      </c>
      <c r="O620" s="41">
        <f t="shared" si="5"/>
        <v>628</v>
      </c>
      <c r="P620" s="41" t="str">
        <f>VLOOKUP(H620,'клиенты'!$A$2:$J$435,10,FALSE)</f>
        <v>Россия</v>
      </c>
      <c r="Q620" s="47">
        <f t="shared" si="6"/>
        <v>46078.45901</v>
      </c>
      <c r="R620" s="48">
        <f t="shared" si="7"/>
        <v>49.78196706</v>
      </c>
      <c r="S620" s="41"/>
      <c r="T620" s="41"/>
      <c r="U620" s="41"/>
      <c r="V620" s="41"/>
      <c r="W620" s="41"/>
      <c r="X620" s="41"/>
      <c r="Y620" s="41"/>
      <c r="Z620" s="41"/>
    </row>
    <row r="621" ht="14.25" customHeight="1">
      <c r="A621" s="20">
        <v>620.0</v>
      </c>
      <c r="B621" s="20">
        <v>67.0</v>
      </c>
      <c r="C621" s="20">
        <v>142.0</v>
      </c>
      <c r="D621" s="20">
        <v>4.0</v>
      </c>
      <c r="E621" s="20">
        <f t="shared" si="1"/>
        <v>568</v>
      </c>
      <c r="F621" s="49">
        <v>45256.0</v>
      </c>
      <c r="G621" s="20" t="s">
        <v>45</v>
      </c>
      <c r="H621" s="20">
        <v>69.0</v>
      </c>
      <c r="I621" s="20" t="str">
        <f>VLOOKUP(B621,'товар'!$A$1:$C$433,2,FALSE)</f>
        <v>Йогурт</v>
      </c>
      <c r="J621" s="50">
        <f t="shared" si="2"/>
        <v>263.2542373</v>
      </c>
      <c r="K621" s="51">
        <f t="shared" si="3"/>
        <v>-0.4605974762</v>
      </c>
      <c r="L621" s="20" t="str">
        <f>VLOOKUP(B621,'товар'!$A$1:$C$433,3,FALSE)</f>
        <v>Чудо</v>
      </c>
      <c r="M621" s="52">
        <f t="shared" si="4"/>
        <v>287.1</v>
      </c>
      <c r="N621" s="53">
        <f>VLOOKUP(H621,'клиенты'!$A$1:$F$435,5,FALSE)</f>
        <v>44587</v>
      </c>
      <c r="O621" s="20">
        <f t="shared" si="5"/>
        <v>669</v>
      </c>
      <c r="P621" s="20" t="str">
        <f>VLOOKUP(H621,'клиенты'!$A$2:$J$435,10,FALSE)</f>
        <v>Таджикистан</v>
      </c>
      <c r="Q621" s="54">
        <f t="shared" si="6"/>
        <v>46078.45901</v>
      </c>
      <c r="R621" s="55">
        <f t="shared" si="7"/>
        <v>49.71530039</v>
      </c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41">
        <v>621.0</v>
      </c>
      <c r="B622" s="41">
        <v>453.0</v>
      </c>
      <c r="C622" s="41">
        <v>459.0</v>
      </c>
      <c r="D622" s="41">
        <v>1.0</v>
      </c>
      <c r="E622" s="41">
        <f t="shared" si="1"/>
        <v>459</v>
      </c>
      <c r="F622" s="42">
        <v>45136.0</v>
      </c>
      <c r="G622" s="41" t="s">
        <v>41</v>
      </c>
      <c r="H622" s="41">
        <v>498.0</v>
      </c>
      <c r="I622" s="41" t="str">
        <f>VLOOKUP(B622,'товар'!$A$1:$C$433,2,FALSE)</f>
        <v>Макароны</v>
      </c>
      <c r="J622" s="43">
        <f t="shared" si="2"/>
        <v>265.4767442</v>
      </c>
      <c r="K622" s="44">
        <f t="shared" si="3"/>
        <v>0.7289650037</v>
      </c>
      <c r="L622" s="41" t="str">
        <f>VLOOKUP(B622,'товар'!$A$1:$C$433,3,FALSE)</f>
        <v>Макфа</v>
      </c>
      <c r="M622" s="45">
        <f t="shared" si="4"/>
        <v>329.2727273</v>
      </c>
      <c r="N622" s="46">
        <f>VLOOKUP(H622,'клиенты'!$A$1:$F$435,5,FALSE)</f>
        <v>44721</v>
      </c>
      <c r="O622" s="41">
        <f t="shared" si="5"/>
        <v>415</v>
      </c>
      <c r="P622" s="41" t="str">
        <f>VLOOKUP(H622,'клиенты'!$A$2:$J$435,10,FALSE)</f>
        <v>Украина</v>
      </c>
      <c r="Q622" s="47">
        <f t="shared" si="6"/>
        <v>46078.45901</v>
      </c>
      <c r="R622" s="48">
        <f t="shared" si="7"/>
        <v>45.24863373</v>
      </c>
      <c r="S622" s="41"/>
      <c r="T622" s="41"/>
      <c r="U622" s="41"/>
      <c r="V622" s="41"/>
      <c r="W622" s="41"/>
      <c r="X622" s="41"/>
      <c r="Y622" s="41"/>
      <c r="Z622" s="41"/>
    </row>
    <row r="623" ht="14.25" customHeight="1">
      <c r="A623" s="20">
        <v>622.0</v>
      </c>
      <c r="B623" s="20">
        <v>191.0</v>
      </c>
      <c r="C623" s="20">
        <v>58.0</v>
      </c>
      <c r="D623" s="20">
        <v>1.0</v>
      </c>
      <c r="E623" s="20">
        <f t="shared" si="1"/>
        <v>58</v>
      </c>
      <c r="F623" s="49">
        <v>44981.0</v>
      </c>
      <c r="G623" s="20" t="s">
        <v>39</v>
      </c>
      <c r="H623" s="20">
        <v>237.0</v>
      </c>
      <c r="I623" s="20" t="str">
        <f>VLOOKUP(B623,'товар'!$A$1:$C$433,2,FALSE)</f>
        <v>Колбаса</v>
      </c>
      <c r="J623" s="50">
        <f t="shared" si="2"/>
        <v>286.9230769</v>
      </c>
      <c r="K623" s="51">
        <f t="shared" si="3"/>
        <v>-0.7978552279</v>
      </c>
      <c r="L623" s="20" t="str">
        <f>VLOOKUP(B623,'товар'!$A$1:$C$433,3,FALSE)</f>
        <v>Окраина</v>
      </c>
      <c r="M623" s="52">
        <f t="shared" si="4"/>
        <v>273.5833333</v>
      </c>
      <c r="N623" s="53">
        <f>VLOOKUP(H623,'клиенты'!$A$1:$F$435,5,FALSE)</f>
        <v>44886</v>
      </c>
      <c r="O623" s="20">
        <f t="shared" si="5"/>
        <v>95</v>
      </c>
      <c r="P623" s="20" t="str">
        <f>VLOOKUP(H623,'клиенты'!$A$2:$J$435,10,FALSE)</f>
        <v>Россия</v>
      </c>
      <c r="Q623" s="54">
        <f t="shared" si="6"/>
        <v>46078.45901</v>
      </c>
      <c r="R623" s="55">
        <f t="shared" si="7"/>
        <v>39.74863373</v>
      </c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41">
        <v>623.0</v>
      </c>
      <c r="B624" s="41">
        <v>49.0</v>
      </c>
      <c r="C624" s="41">
        <v>465.0</v>
      </c>
      <c r="D624" s="41">
        <v>2.0</v>
      </c>
      <c r="E624" s="41">
        <f t="shared" si="1"/>
        <v>930</v>
      </c>
      <c r="F624" s="42">
        <v>45150.0</v>
      </c>
      <c r="G624" s="41" t="s">
        <v>37</v>
      </c>
      <c r="H624" s="41">
        <v>365.0</v>
      </c>
      <c r="I624" s="41" t="str">
        <f>VLOOKUP(B624,'товар'!$A$1:$C$433,2,FALSE)</f>
        <v>Рис</v>
      </c>
      <c r="J624" s="43">
        <f t="shared" si="2"/>
        <v>258.375</v>
      </c>
      <c r="K624" s="44">
        <f t="shared" si="3"/>
        <v>0.7997097242</v>
      </c>
      <c r="L624" s="41" t="str">
        <f>VLOOKUP(B624,'товар'!$A$1:$C$433,3,FALSE)</f>
        <v>Агро-Альянс</v>
      </c>
      <c r="M624" s="45">
        <f t="shared" si="4"/>
        <v>317.8571429</v>
      </c>
      <c r="N624" s="46">
        <f>VLOOKUP(H624,'клиенты'!$A$1:$F$435,5,FALSE)</f>
        <v>44841</v>
      </c>
      <c r="O624" s="41">
        <f t="shared" si="5"/>
        <v>309</v>
      </c>
      <c r="P624" s="41" t="str">
        <f>VLOOKUP(H624,'клиенты'!$A$2:$J$435,10,FALSE)</f>
        <v>Беларусь</v>
      </c>
      <c r="Q624" s="47">
        <f t="shared" si="6"/>
        <v>46078.45901</v>
      </c>
      <c r="R624" s="48">
        <f t="shared" si="7"/>
        <v>41.24863373</v>
      </c>
      <c r="S624" s="41"/>
      <c r="T624" s="41"/>
      <c r="U624" s="41"/>
      <c r="V624" s="41"/>
      <c r="W624" s="41"/>
      <c r="X624" s="41"/>
      <c r="Y624" s="41"/>
      <c r="Z624" s="41"/>
    </row>
    <row r="625" ht="14.25" customHeight="1">
      <c r="A625" s="20">
        <v>624.0</v>
      </c>
      <c r="B625" s="20">
        <v>313.0</v>
      </c>
      <c r="C625" s="20">
        <v>152.0</v>
      </c>
      <c r="D625" s="20">
        <v>1.0</v>
      </c>
      <c r="E625" s="20">
        <f t="shared" si="1"/>
        <v>152</v>
      </c>
      <c r="F625" s="49">
        <v>45014.0</v>
      </c>
      <c r="G625" s="20" t="s">
        <v>51</v>
      </c>
      <c r="H625" s="20">
        <v>127.0</v>
      </c>
      <c r="I625" s="20" t="str">
        <f>VLOOKUP(B625,'товар'!$A$1:$C$433,2,FALSE)</f>
        <v>Конфеты</v>
      </c>
      <c r="J625" s="50">
        <f t="shared" si="2"/>
        <v>267.8548387</v>
      </c>
      <c r="K625" s="51">
        <f t="shared" si="3"/>
        <v>-0.4325284519</v>
      </c>
      <c r="L625" s="20" t="str">
        <f>VLOOKUP(B625,'товар'!$A$1:$C$433,3,FALSE)</f>
        <v>Бабаевский</v>
      </c>
      <c r="M625" s="52">
        <f t="shared" si="4"/>
        <v>250.2592593</v>
      </c>
      <c r="N625" s="53">
        <f>VLOOKUP(H625,'клиенты'!$A$1:$F$435,5,FALSE)</f>
        <v>44914</v>
      </c>
      <c r="O625" s="20">
        <f t="shared" si="5"/>
        <v>100</v>
      </c>
      <c r="P625" s="20" t="str">
        <f>VLOOKUP(H625,'клиенты'!$A$2:$J$435,10,FALSE)</f>
        <v>Украина</v>
      </c>
      <c r="Q625" s="54">
        <f t="shared" si="6"/>
        <v>46078.45901</v>
      </c>
      <c r="R625" s="55">
        <f t="shared" si="7"/>
        <v>38.81530039</v>
      </c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41">
        <v>625.0</v>
      </c>
      <c r="B626" s="41">
        <v>245.0</v>
      </c>
      <c r="C626" s="41">
        <v>144.0</v>
      </c>
      <c r="D626" s="41">
        <v>4.0</v>
      </c>
      <c r="E626" s="41">
        <f t="shared" si="1"/>
        <v>576</v>
      </c>
      <c r="F626" s="42">
        <v>45206.0</v>
      </c>
      <c r="G626" s="41" t="s">
        <v>44</v>
      </c>
      <c r="H626" s="41">
        <v>314.0</v>
      </c>
      <c r="I626" s="41" t="str">
        <f>VLOOKUP(B626,'товар'!$A$1:$C$433,2,FALSE)</f>
        <v>Сахар</v>
      </c>
      <c r="J626" s="43">
        <f t="shared" si="2"/>
        <v>252.7627119</v>
      </c>
      <c r="K626" s="44">
        <f t="shared" si="3"/>
        <v>-0.4302957151</v>
      </c>
      <c r="L626" s="41" t="str">
        <f>VLOOKUP(B626,'товар'!$A$1:$C$433,3,FALSE)</f>
        <v>Продимекс</v>
      </c>
      <c r="M626" s="45">
        <f t="shared" si="4"/>
        <v>240.5</v>
      </c>
      <c r="N626" s="46">
        <f>VLOOKUP(H626,'клиенты'!$A$1:$F$435,5,FALSE)</f>
        <v>44899</v>
      </c>
      <c r="O626" s="41">
        <f t="shared" si="5"/>
        <v>307</v>
      </c>
      <c r="P626" s="41" t="str">
        <f>VLOOKUP(H626,'клиенты'!$A$2:$J$435,10,FALSE)</f>
        <v>Россия</v>
      </c>
      <c r="Q626" s="47">
        <f t="shared" si="6"/>
        <v>46078.45901</v>
      </c>
      <c r="R626" s="48">
        <f t="shared" si="7"/>
        <v>39.31530039</v>
      </c>
      <c r="S626" s="41"/>
      <c r="T626" s="41"/>
      <c r="U626" s="41"/>
      <c r="V626" s="41"/>
      <c r="W626" s="41"/>
      <c r="X626" s="41"/>
      <c r="Y626" s="41"/>
      <c r="Z626" s="41"/>
    </row>
    <row r="627" ht="14.25" customHeight="1">
      <c r="A627" s="20">
        <v>626.0</v>
      </c>
      <c r="B627" s="20">
        <v>194.0</v>
      </c>
      <c r="C627" s="20">
        <v>478.0</v>
      </c>
      <c r="D627" s="20">
        <v>3.0</v>
      </c>
      <c r="E627" s="20">
        <f t="shared" si="1"/>
        <v>1434</v>
      </c>
      <c r="F627" s="49">
        <v>44960.0</v>
      </c>
      <c r="G627" s="20" t="s">
        <v>51</v>
      </c>
      <c r="H627" s="20">
        <v>403.0</v>
      </c>
      <c r="I627" s="20" t="str">
        <f>VLOOKUP(B627,'товар'!$A$1:$C$433,2,FALSE)</f>
        <v>Соль</v>
      </c>
      <c r="J627" s="50">
        <f t="shared" si="2"/>
        <v>264.8679245</v>
      </c>
      <c r="K627" s="51">
        <f t="shared" si="3"/>
        <v>0.8046730303</v>
      </c>
      <c r="L627" s="20" t="str">
        <f>VLOOKUP(B627,'товар'!$A$1:$C$433,3,FALSE)</f>
        <v>Салта</v>
      </c>
      <c r="M627" s="52">
        <f t="shared" si="4"/>
        <v>273.7</v>
      </c>
      <c r="N627" s="53">
        <f>VLOOKUP(H627,'клиенты'!$A$1:$F$435,5,FALSE)</f>
        <v>44594</v>
      </c>
      <c r="O627" s="20">
        <f t="shared" si="5"/>
        <v>366</v>
      </c>
      <c r="P627" s="20" t="str">
        <f>VLOOKUP(H627,'клиенты'!$A$2:$J$435,10,FALSE)</f>
        <v>Россия</v>
      </c>
      <c r="Q627" s="54">
        <f t="shared" si="6"/>
        <v>46078.45901</v>
      </c>
      <c r="R627" s="55">
        <f t="shared" si="7"/>
        <v>49.48196706</v>
      </c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41">
        <v>627.0</v>
      </c>
      <c r="B628" s="41">
        <v>154.0</v>
      </c>
      <c r="C628" s="41">
        <v>75.0</v>
      </c>
      <c r="D628" s="41">
        <v>1.0</v>
      </c>
      <c r="E628" s="41">
        <f t="shared" si="1"/>
        <v>75</v>
      </c>
      <c r="F628" s="42">
        <v>45378.0</v>
      </c>
      <c r="G628" s="41" t="s">
        <v>42</v>
      </c>
      <c r="H628" s="41">
        <v>255.0</v>
      </c>
      <c r="I628" s="41" t="str">
        <f>VLOOKUP(B628,'товар'!$A$1:$C$433,2,FALSE)</f>
        <v>Овощи</v>
      </c>
      <c r="J628" s="43">
        <f t="shared" si="2"/>
        <v>250.4878049</v>
      </c>
      <c r="K628" s="44">
        <f t="shared" si="3"/>
        <v>-0.7005842259</v>
      </c>
      <c r="L628" s="41" t="str">
        <f>VLOOKUP(B628,'товар'!$A$1:$C$433,3,FALSE)</f>
        <v>Зеленая грядка</v>
      </c>
      <c r="M628" s="45">
        <f t="shared" si="4"/>
        <v>159.2</v>
      </c>
      <c r="N628" s="46">
        <f>VLOOKUP(H628,'клиенты'!$A$1:$F$435,5,FALSE)</f>
        <v>44793</v>
      </c>
      <c r="O628" s="41">
        <f t="shared" si="5"/>
        <v>585</v>
      </c>
      <c r="P628" s="41" t="str">
        <f>VLOOKUP(H628,'клиенты'!$A$2:$J$435,10,FALSE)</f>
        <v>Украина</v>
      </c>
      <c r="Q628" s="47">
        <f t="shared" si="6"/>
        <v>46078.45901</v>
      </c>
      <c r="R628" s="48">
        <f t="shared" si="7"/>
        <v>42.84863373</v>
      </c>
      <c r="S628" s="41"/>
      <c r="T628" s="41"/>
      <c r="U628" s="41"/>
      <c r="V628" s="41"/>
      <c r="W628" s="41"/>
      <c r="X628" s="41"/>
      <c r="Y628" s="41"/>
      <c r="Z628" s="41"/>
    </row>
    <row r="629" ht="14.25" customHeight="1">
      <c r="A629" s="20">
        <v>628.0</v>
      </c>
      <c r="B629" s="20">
        <v>462.0</v>
      </c>
      <c r="C629" s="20">
        <v>147.0</v>
      </c>
      <c r="D629" s="20">
        <v>5.0</v>
      </c>
      <c r="E629" s="20">
        <f t="shared" si="1"/>
        <v>735</v>
      </c>
      <c r="F629" s="49">
        <v>45113.0</v>
      </c>
      <c r="G629" s="20" t="s">
        <v>44</v>
      </c>
      <c r="H629" s="20">
        <v>229.0</v>
      </c>
      <c r="I629" s="20" t="str">
        <f>VLOOKUP(B629,'товар'!$A$1:$C$433,2,FALSE)</f>
        <v>Рис</v>
      </c>
      <c r="J629" s="50">
        <f t="shared" si="2"/>
        <v>258.375</v>
      </c>
      <c r="K629" s="51">
        <f t="shared" si="3"/>
        <v>-0.4310595065</v>
      </c>
      <c r="L629" s="20" t="str">
        <f>VLOOKUP(B629,'товар'!$A$1:$C$433,3,FALSE)</f>
        <v>Белый Злат</v>
      </c>
      <c r="M629" s="52">
        <f t="shared" si="4"/>
        <v>269.7058824</v>
      </c>
      <c r="N629" s="53">
        <f>VLOOKUP(H629,'клиенты'!$A$1:$F$435,5,FALSE)</f>
        <v>44766</v>
      </c>
      <c r="O629" s="20">
        <f t="shared" si="5"/>
        <v>347</v>
      </c>
      <c r="P629" s="20" t="str">
        <f>VLOOKUP(H629,'клиенты'!$A$2:$J$435,10,FALSE)</f>
        <v>Беларусь</v>
      </c>
      <c r="Q629" s="54">
        <f t="shared" si="6"/>
        <v>46078.45901</v>
      </c>
      <c r="R629" s="55">
        <f t="shared" si="7"/>
        <v>43.74863373</v>
      </c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41">
        <v>629.0</v>
      </c>
      <c r="B630" s="41">
        <v>310.0</v>
      </c>
      <c r="C630" s="41">
        <v>404.0</v>
      </c>
      <c r="D630" s="41">
        <v>4.0</v>
      </c>
      <c r="E630" s="41">
        <f t="shared" si="1"/>
        <v>1616</v>
      </c>
      <c r="F630" s="42">
        <v>45031.0</v>
      </c>
      <c r="G630" s="41" t="s">
        <v>52</v>
      </c>
      <c r="H630" s="41">
        <v>179.0</v>
      </c>
      <c r="I630" s="41" t="str">
        <f>VLOOKUP(B630,'товар'!$A$1:$C$433,2,FALSE)</f>
        <v>Макароны</v>
      </c>
      <c r="J630" s="43">
        <f t="shared" si="2"/>
        <v>265.4767442</v>
      </c>
      <c r="K630" s="44">
        <f t="shared" si="3"/>
        <v>0.5217905479</v>
      </c>
      <c r="L630" s="41" t="str">
        <f>VLOOKUP(B630,'товар'!$A$1:$C$433,3,FALSE)</f>
        <v>Паста Зара</v>
      </c>
      <c r="M630" s="45">
        <f t="shared" si="4"/>
        <v>276.6756757</v>
      </c>
      <c r="N630" s="46">
        <f>VLOOKUP(H630,'клиенты'!$A$1:$F$435,5,FALSE)</f>
        <v>44833</v>
      </c>
      <c r="O630" s="41">
        <f t="shared" si="5"/>
        <v>198</v>
      </c>
      <c r="P630" s="41" t="str">
        <f>VLOOKUP(H630,'клиенты'!$A$2:$J$435,10,FALSE)</f>
        <v>Россия</v>
      </c>
      <c r="Q630" s="47">
        <f t="shared" si="6"/>
        <v>46078.45901</v>
      </c>
      <c r="R630" s="48">
        <f t="shared" si="7"/>
        <v>41.51530039</v>
      </c>
      <c r="S630" s="41"/>
      <c r="T630" s="41"/>
      <c r="U630" s="41"/>
      <c r="V630" s="41"/>
      <c r="W630" s="41"/>
      <c r="X630" s="41"/>
      <c r="Y630" s="41"/>
      <c r="Z630" s="41"/>
    </row>
    <row r="631" ht="14.25" customHeight="1">
      <c r="A631" s="20">
        <v>630.0</v>
      </c>
      <c r="B631" s="20">
        <v>422.0</v>
      </c>
      <c r="C631" s="20">
        <v>361.0</v>
      </c>
      <c r="D631" s="20">
        <v>1.0</v>
      </c>
      <c r="E631" s="20">
        <f t="shared" si="1"/>
        <v>361</v>
      </c>
      <c r="F631" s="49">
        <v>45361.0</v>
      </c>
      <c r="G631" s="20" t="s">
        <v>41</v>
      </c>
      <c r="H631" s="20">
        <v>277.0</v>
      </c>
      <c r="I631" s="20" t="str">
        <f>VLOOKUP(B631,'товар'!$A$1:$C$433,2,FALSE)</f>
        <v>Кофе</v>
      </c>
      <c r="J631" s="50">
        <f t="shared" si="2"/>
        <v>249.0238095</v>
      </c>
      <c r="K631" s="51">
        <f t="shared" si="3"/>
        <v>0.4496605794</v>
      </c>
      <c r="L631" s="20" t="str">
        <f>VLOOKUP(B631,'товар'!$A$1:$C$433,3,FALSE)</f>
        <v>Nescafe</v>
      </c>
      <c r="M631" s="52">
        <f t="shared" si="4"/>
        <v>256.9</v>
      </c>
      <c r="N631" s="53">
        <f>VLOOKUP(H631,'клиенты'!$A$1:$F$435,5,FALSE)</f>
        <v>44750</v>
      </c>
      <c r="O631" s="20">
        <f t="shared" si="5"/>
        <v>611</v>
      </c>
      <c r="P631" s="20" t="str">
        <f>VLOOKUP(H631,'клиенты'!$A$2:$J$435,10,FALSE)</f>
        <v>Россия</v>
      </c>
      <c r="Q631" s="54">
        <f t="shared" si="6"/>
        <v>46078.45901</v>
      </c>
      <c r="R631" s="55">
        <f t="shared" si="7"/>
        <v>44.28196706</v>
      </c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41">
        <v>631.0</v>
      </c>
      <c r="B632" s="41">
        <v>453.0</v>
      </c>
      <c r="C632" s="41">
        <v>404.0</v>
      </c>
      <c r="D632" s="41">
        <v>5.0</v>
      </c>
      <c r="E632" s="41">
        <f t="shared" si="1"/>
        <v>2020</v>
      </c>
      <c r="F632" s="42">
        <v>45108.0</v>
      </c>
      <c r="G632" s="41" t="s">
        <v>45</v>
      </c>
      <c r="H632" s="41">
        <v>460.0</v>
      </c>
      <c r="I632" s="41" t="str">
        <f>VLOOKUP(B632,'товар'!$A$1:$C$433,2,FALSE)</f>
        <v>Макароны</v>
      </c>
      <c r="J632" s="43">
        <f t="shared" si="2"/>
        <v>265.4767442</v>
      </c>
      <c r="K632" s="44">
        <f t="shared" si="3"/>
        <v>0.5217905479</v>
      </c>
      <c r="L632" s="41" t="str">
        <f>VLOOKUP(B632,'товар'!$A$1:$C$433,3,FALSE)</f>
        <v>Макфа</v>
      </c>
      <c r="M632" s="45">
        <f t="shared" si="4"/>
        <v>329.2727273</v>
      </c>
      <c r="N632" s="46">
        <f>VLOOKUP(H632,'клиенты'!$A$1:$F$435,5,FALSE)</f>
        <v>44821</v>
      </c>
      <c r="O632" s="41">
        <f t="shared" si="5"/>
        <v>287</v>
      </c>
      <c r="P632" s="41" t="str">
        <f>VLOOKUP(H632,'клиенты'!$A$2:$J$435,10,FALSE)</f>
        <v>Россия</v>
      </c>
      <c r="Q632" s="47">
        <f t="shared" si="6"/>
        <v>46078.45901</v>
      </c>
      <c r="R632" s="48">
        <f t="shared" si="7"/>
        <v>41.91530039</v>
      </c>
      <c r="S632" s="41"/>
      <c r="T632" s="41"/>
      <c r="U632" s="41"/>
      <c r="V632" s="41"/>
      <c r="W632" s="41"/>
      <c r="X632" s="41"/>
      <c r="Y632" s="41"/>
      <c r="Z632" s="41"/>
    </row>
    <row r="633" ht="14.25" customHeight="1">
      <c r="A633" s="20">
        <v>632.0</v>
      </c>
      <c r="B633" s="20">
        <v>337.0</v>
      </c>
      <c r="C633" s="20">
        <v>132.0</v>
      </c>
      <c r="D633" s="20">
        <v>3.0</v>
      </c>
      <c r="E633" s="20">
        <f t="shared" si="1"/>
        <v>396</v>
      </c>
      <c r="F633" s="49">
        <v>45003.0</v>
      </c>
      <c r="G633" s="20" t="s">
        <v>47</v>
      </c>
      <c r="H633" s="20">
        <v>434.0</v>
      </c>
      <c r="I633" s="20" t="str">
        <f>VLOOKUP(B633,'товар'!$A$1:$C$433,2,FALSE)</f>
        <v>Макароны</v>
      </c>
      <c r="J633" s="50">
        <f t="shared" si="2"/>
        <v>265.4767442</v>
      </c>
      <c r="K633" s="51">
        <f t="shared" si="3"/>
        <v>-0.5027813061</v>
      </c>
      <c r="L633" s="20" t="str">
        <f>VLOOKUP(B633,'товар'!$A$1:$C$433,3,FALSE)</f>
        <v>Паста Зара</v>
      </c>
      <c r="M633" s="52">
        <f t="shared" si="4"/>
        <v>276.6756757</v>
      </c>
      <c r="N633" s="53">
        <f>VLOOKUP(H633,'клиенты'!$A$1:$F$435,5,FALSE)</f>
        <v>44730</v>
      </c>
      <c r="O633" s="20">
        <f t="shared" si="5"/>
        <v>273</v>
      </c>
      <c r="P633" s="20" t="str">
        <f>VLOOKUP(H633,'клиенты'!$A$2:$J$435,10,FALSE)</f>
        <v>Украина</v>
      </c>
      <c r="Q633" s="54">
        <f t="shared" si="6"/>
        <v>46078.45901</v>
      </c>
      <c r="R633" s="55">
        <f t="shared" si="7"/>
        <v>44.94863373</v>
      </c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41">
        <v>633.0</v>
      </c>
      <c r="B634" s="41">
        <v>258.0</v>
      </c>
      <c r="C634" s="41">
        <v>333.0</v>
      </c>
      <c r="D634" s="41">
        <v>4.0</v>
      </c>
      <c r="E634" s="41">
        <f t="shared" si="1"/>
        <v>1332</v>
      </c>
      <c r="F634" s="42">
        <v>45018.0</v>
      </c>
      <c r="G634" s="41" t="s">
        <v>52</v>
      </c>
      <c r="H634" s="41">
        <v>62.0</v>
      </c>
      <c r="I634" s="41" t="str">
        <f>VLOOKUP(B634,'товар'!$A$1:$C$433,2,FALSE)</f>
        <v>Рыба</v>
      </c>
      <c r="J634" s="43">
        <f t="shared" si="2"/>
        <v>258.5128205</v>
      </c>
      <c r="K634" s="44">
        <f t="shared" si="3"/>
        <v>0.2881372744</v>
      </c>
      <c r="L634" s="41" t="str">
        <f>VLOOKUP(B634,'товар'!$A$1:$C$433,3,FALSE)</f>
        <v>Санта Бремор</v>
      </c>
      <c r="M634" s="45">
        <f t="shared" si="4"/>
        <v>216.4</v>
      </c>
      <c r="N634" s="46">
        <f>VLOOKUP(H634,'клиенты'!$A$1:$F$435,5,FALSE)</f>
        <v>44671</v>
      </c>
      <c r="O634" s="41">
        <f t="shared" si="5"/>
        <v>347</v>
      </c>
      <c r="P634" s="41" t="str">
        <f>VLOOKUP(H634,'клиенты'!$A$2:$J$435,10,FALSE)</f>
        <v>Россия</v>
      </c>
      <c r="Q634" s="47">
        <f t="shared" si="6"/>
        <v>46078.45901</v>
      </c>
      <c r="R634" s="48">
        <f t="shared" si="7"/>
        <v>46.91530039</v>
      </c>
      <c r="S634" s="41"/>
      <c r="T634" s="41"/>
      <c r="U634" s="41"/>
      <c r="V634" s="41"/>
      <c r="W634" s="41"/>
      <c r="X634" s="41"/>
      <c r="Y634" s="41"/>
      <c r="Z634" s="41"/>
    </row>
    <row r="635" ht="14.25" customHeight="1">
      <c r="A635" s="20">
        <v>634.0</v>
      </c>
      <c r="B635" s="20">
        <v>111.0</v>
      </c>
      <c r="C635" s="20">
        <v>420.0</v>
      </c>
      <c r="D635" s="20">
        <v>1.0</v>
      </c>
      <c r="E635" s="20">
        <f t="shared" si="1"/>
        <v>420</v>
      </c>
      <c r="F635" s="49">
        <v>45295.0</v>
      </c>
      <c r="G635" s="20" t="s">
        <v>46</v>
      </c>
      <c r="H635" s="20">
        <v>13.0</v>
      </c>
      <c r="I635" s="20" t="str">
        <f>VLOOKUP(B635,'товар'!$A$1:$C$433,2,FALSE)</f>
        <v>Сахар</v>
      </c>
      <c r="J635" s="50">
        <f t="shared" si="2"/>
        <v>252.7627119</v>
      </c>
      <c r="K635" s="51">
        <f t="shared" si="3"/>
        <v>0.6616374975</v>
      </c>
      <c r="L635" s="20" t="str">
        <f>VLOOKUP(B635,'товар'!$A$1:$C$433,3,FALSE)</f>
        <v>Сладов</v>
      </c>
      <c r="M635" s="52">
        <f t="shared" si="4"/>
        <v>240.2666667</v>
      </c>
      <c r="N635" s="53">
        <f>VLOOKUP(H635,'клиенты'!$A$1:$F$435,5,FALSE)</f>
        <v>44724</v>
      </c>
      <c r="O635" s="20">
        <f t="shared" si="5"/>
        <v>571</v>
      </c>
      <c r="P635" s="20" t="str">
        <f>VLOOKUP(H635,'клиенты'!$A$2:$J$435,10,FALSE)</f>
        <v>Россия</v>
      </c>
      <c r="Q635" s="54">
        <f t="shared" si="6"/>
        <v>46078.45901</v>
      </c>
      <c r="R635" s="55">
        <f t="shared" si="7"/>
        <v>45.14863373</v>
      </c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41">
        <v>635.0</v>
      </c>
      <c r="B636" s="41">
        <v>4.0</v>
      </c>
      <c r="C636" s="41">
        <v>151.0</v>
      </c>
      <c r="D636" s="41">
        <v>4.0</v>
      </c>
      <c r="E636" s="41">
        <f t="shared" si="1"/>
        <v>604</v>
      </c>
      <c r="F636" s="42">
        <v>45286.0</v>
      </c>
      <c r="G636" s="41" t="s">
        <v>35</v>
      </c>
      <c r="H636" s="41">
        <v>116.0</v>
      </c>
      <c r="I636" s="41" t="str">
        <f>VLOOKUP(B636,'товар'!$A$1:$C$433,2,FALSE)</f>
        <v>Рис</v>
      </c>
      <c r="J636" s="43">
        <f t="shared" si="2"/>
        <v>258.375</v>
      </c>
      <c r="K636" s="44">
        <f t="shared" si="3"/>
        <v>-0.4155781326</v>
      </c>
      <c r="L636" s="41" t="str">
        <f>VLOOKUP(B636,'товар'!$A$1:$C$433,3,FALSE)</f>
        <v>Белый Злат</v>
      </c>
      <c r="M636" s="45">
        <f t="shared" si="4"/>
        <v>269.7058824</v>
      </c>
      <c r="N636" s="46">
        <f>VLOOKUP(H636,'клиенты'!$A$1:$F$435,5,FALSE)</f>
        <v>44643</v>
      </c>
      <c r="O636" s="41">
        <f t="shared" si="5"/>
        <v>643</v>
      </c>
      <c r="P636" s="41" t="str">
        <f>VLOOKUP(H636,'клиенты'!$A$2:$J$435,10,FALSE)</f>
        <v>Россия</v>
      </c>
      <c r="Q636" s="47">
        <f t="shared" si="6"/>
        <v>46078.45901</v>
      </c>
      <c r="R636" s="48">
        <f t="shared" si="7"/>
        <v>47.84863373</v>
      </c>
      <c r="S636" s="41"/>
      <c r="T636" s="41"/>
      <c r="U636" s="41"/>
      <c r="V636" s="41"/>
      <c r="W636" s="41"/>
      <c r="X636" s="41"/>
      <c r="Y636" s="41"/>
      <c r="Z636" s="41"/>
    </row>
    <row r="637" ht="14.25" customHeight="1">
      <c r="A637" s="20">
        <v>636.0</v>
      </c>
      <c r="B637" s="20">
        <v>266.0</v>
      </c>
      <c r="C637" s="20">
        <v>141.0</v>
      </c>
      <c r="D637" s="20">
        <v>5.0</v>
      </c>
      <c r="E637" s="20">
        <f t="shared" si="1"/>
        <v>705</v>
      </c>
      <c r="F637" s="49">
        <v>45174.0</v>
      </c>
      <c r="G637" s="20" t="s">
        <v>52</v>
      </c>
      <c r="H637" s="20">
        <v>50.0</v>
      </c>
      <c r="I637" s="20" t="str">
        <f>VLOOKUP(B637,'товар'!$A$1:$C$433,2,FALSE)</f>
        <v>Рыба</v>
      </c>
      <c r="J637" s="50">
        <f t="shared" si="2"/>
        <v>258.5128205</v>
      </c>
      <c r="K637" s="51">
        <f t="shared" si="3"/>
        <v>-0.4545725055</v>
      </c>
      <c r="L637" s="20" t="str">
        <f>VLOOKUP(B637,'товар'!$A$1:$C$433,3,FALSE)</f>
        <v>Меридиан</v>
      </c>
      <c r="M637" s="52">
        <f t="shared" si="4"/>
        <v>260.6470588</v>
      </c>
      <c r="N637" s="53">
        <f>VLOOKUP(H637,'клиенты'!$A$1:$F$435,5,FALSE)</f>
        <v>44576</v>
      </c>
      <c r="O637" s="20">
        <f t="shared" si="5"/>
        <v>598</v>
      </c>
      <c r="P637" s="20" t="str">
        <f>VLOOKUP(H637,'клиенты'!$A$2:$J$435,10,FALSE)</f>
        <v>Узбекистан</v>
      </c>
      <c r="Q637" s="54">
        <f t="shared" si="6"/>
        <v>46078.45901</v>
      </c>
      <c r="R637" s="55">
        <f t="shared" si="7"/>
        <v>50.08196706</v>
      </c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41">
        <v>637.0</v>
      </c>
      <c r="B638" s="41">
        <v>143.0</v>
      </c>
      <c r="C638" s="41">
        <v>339.0</v>
      </c>
      <c r="D638" s="41">
        <v>1.0</v>
      </c>
      <c r="E638" s="41">
        <f t="shared" si="1"/>
        <v>339</v>
      </c>
      <c r="F638" s="42">
        <v>45013.0</v>
      </c>
      <c r="G638" s="41" t="s">
        <v>52</v>
      </c>
      <c r="H638" s="41">
        <v>197.0</v>
      </c>
      <c r="I638" s="41" t="str">
        <f>VLOOKUP(B638,'товар'!$A$1:$C$433,2,FALSE)</f>
        <v>Сахар</v>
      </c>
      <c r="J638" s="43">
        <f t="shared" si="2"/>
        <v>252.7627119</v>
      </c>
      <c r="K638" s="44">
        <f t="shared" si="3"/>
        <v>0.3411788373</v>
      </c>
      <c r="L638" s="41" t="str">
        <f>VLOOKUP(B638,'товар'!$A$1:$C$433,3,FALSE)</f>
        <v>Агросахар</v>
      </c>
      <c r="M638" s="45">
        <f t="shared" si="4"/>
        <v>215.8571429</v>
      </c>
      <c r="N638" s="46">
        <f>VLOOKUP(H638,'клиенты'!$A$1:$F$435,5,FALSE)</f>
        <v>44785</v>
      </c>
      <c r="O638" s="41">
        <f t="shared" si="5"/>
        <v>228</v>
      </c>
      <c r="P638" s="41" t="str">
        <f>VLOOKUP(H638,'клиенты'!$A$2:$J$435,10,FALSE)</f>
        <v>Украина</v>
      </c>
      <c r="Q638" s="47">
        <f t="shared" si="6"/>
        <v>46078.45901</v>
      </c>
      <c r="R638" s="48">
        <f t="shared" si="7"/>
        <v>43.11530039</v>
      </c>
      <c r="S638" s="41"/>
      <c r="T638" s="41"/>
      <c r="U638" s="41"/>
      <c r="V638" s="41"/>
      <c r="W638" s="41"/>
      <c r="X638" s="41"/>
      <c r="Y638" s="41"/>
      <c r="Z638" s="41"/>
    </row>
    <row r="639" ht="14.25" customHeight="1">
      <c r="A639" s="20">
        <v>638.0</v>
      </c>
      <c r="B639" s="20">
        <v>475.0</v>
      </c>
      <c r="C639" s="20">
        <v>206.0</v>
      </c>
      <c r="D639" s="20">
        <v>3.0</v>
      </c>
      <c r="E639" s="20">
        <f t="shared" si="1"/>
        <v>618</v>
      </c>
      <c r="F639" s="49">
        <v>45424.0</v>
      </c>
      <c r="G639" s="20" t="s">
        <v>39</v>
      </c>
      <c r="H639" s="20">
        <v>243.0</v>
      </c>
      <c r="I639" s="20" t="str">
        <f>VLOOKUP(B639,'товар'!$A$1:$C$433,2,FALSE)</f>
        <v>Хлеб</v>
      </c>
      <c r="J639" s="50">
        <f t="shared" si="2"/>
        <v>300.3181818</v>
      </c>
      <c r="K639" s="51">
        <f t="shared" si="3"/>
        <v>-0.3140608446</v>
      </c>
      <c r="L639" s="20" t="str">
        <f>VLOOKUP(B639,'товар'!$A$1:$C$433,3,FALSE)</f>
        <v>Русский Хлеб</v>
      </c>
      <c r="M639" s="52">
        <f t="shared" si="4"/>
        <v>316.6</v>
      </c>
      <c r="N639" s="53">
        <f>VLOOKUP(H639,'клиенты'!$A$1:$F$435,5,FALSE)</f>
        <v>44681</v>
      </c>
      <c r="O639" s="20">
        <f t="shared" si="5"/>
        <v>743</v>
      </c>
      <c r="P639" s="20" t="str">
        <f>VLOOKUP(H639,'клиенты'!$A$2:$J$435,10,FALSE)</f>
        <v>Россия</v>
      </c>
      <c r="Q639" s="54">
        <f t="shared" si="6"/>
        <v>46078.45901</v>
      </c>
      <c r="R639" s="55">
        <f t="shared" si="7"/>
        <v>46.58196706</v>
      </c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41">
        <v>639.0</v>
      </c>
      <c r="B640" s="41">
        <v>52.0</v>
      </c>
      <c r="C640" s="41">
        <v>105.0</v>
      </c>
      <c r="D640" s="41">
        <v>2.0</v>
      </c>
      <c r="E640" s="41">
        <f t="shared" si="1"/>
        <v>210</v>
      </c>
      <c r="F640" s="42">
        <v>45232.0</v>
      </c>
      <c r="G640" s="41" t="s">
        <v>45</v>
      </c>
      <c r="H640" s="41">
        <v>275.0</v>
      </c>
      <c r="I640" s="41" t="str">
        <f>VLOOKUP(B640,'товар'!$A$1:$C$433,2,FALSE)</f>
        <v>Соль</v>
      </c>
      <c r="J640" s="43">
        <f t="shared" si="2"/>
        <v>264.8679245</v>
      </c>
      <c r="K640" s="44">
        <f t="shared" si="3"/>
        <v>-0.603576008</v>
      </c>
      <c r="L640" s="41" t="str">
        <f>VLOOKUP(B640,'товар'!$A$1:$C$433,3,FALSE)</f>
        <v>Илецкая</v>
      </c>
      <c r="M640" s="45">
        <f t="shared" si="4"/>
        <v>238.1666667</v>
      </c>
      <c r="N640" s="46">
        <f>VLOOKUP(H640,'клиенты'!$A$1:$F$435,5,FALSE)</f>
        <v>44651</v>
      </c>
      <c r="O640" s="41">
        <f t="shared" si="5"/>
        <v>581</v>
      </c>
      <c r="P640" s="41" t="str">
        <f>VLOOKUP(H640,'клиенты'!$A$2:$J$435,10,FALSE)</f>
        <v>Таджикистан</v>
      </c>
      <c r="Q640" s="47">
        <f t="shared" si="6"/>
        <v>46078.45901</v>
      </c>
      <c r="R640" s="48">
        <f t="shared" si="7"/>
        <v>47.58196706</v>
      </c>
      <c r="S640" s="41"/>
      <c r="T640" s="41"/>
      <c r="U640" s="41"/>
      <c r="V640" s="41"/>
      <c r="W640" s="41"/>
      <c r="X640" s="41"/>
      <c r="Y640" s="41"/>
      <c r="Z640" s="41"/>
    </row>
    <row r="641" ht="14.25" customHeight="1">
      <c r="A641" s="20">
        <v>640.0</v>
      </c>
      <c r="B641" s="20">
        <v>47.0</v>
      </c>
      <c r="C641" s="20">
        <v>356.0</v>
      </c>
      <c r="D641" s="20">
        <v>3.0</v>
      </c>
      <c r="E641" s="20">
        <f t="shared" si="1"/>
        <v>1068</v>
      </c>
      <c r="F641" s="49">
        <v>45288.0</v>
      </c>
      <c r="G641" s="20" t="s">
        <v>41</v>
      </c>
      <c r="H641" s="20">
        <v>45.0</v>
      </c>
      <c r="I641" s="20" t="str">
        <f>VLOOKUP(B641,'товар'!$A$1:$C$433,2,FALSE)</f>
        <v>Мясо</v>
      </c>
      <c r="J641" s="50">
        <f t="shared" si="2"/>
        <v>271.7454545</v>
      </c>
      <c r="K641" s="51">
        <f t="shared" si="3"/>
        <v>0.3100495116</v>
      </c>
      <c r="L641" s="20" t="str">
        <f>VLOOKUP(B641,'товар'!$A$1:$C$433,3,FALSE)</f>
        <v>Снежана</v>
      </c>
      <c r="M641" s="52">
        <f t="shared" si="4"/>
        <v>272.3529412</v>
      </c>
      <c r="N641" s="53">
        <f>VLOOKUP(H641,'клиенты'!$A$1:$F$435,5,FALSE)</f>
        <v>44662</v>
      </c>
      <c r="O641" s="20">
        <f t="shared" si="5"/>
        <v>626</v>
      </c>
      <c r="P641" s="20" t="str">
        <f>VLOOKUP(H641,'клиенты'!$A$2:$J$435,10,FALSE)</f>
        <v>Узбекистан</v>
      </c>
      <c r="Q641" s="54">
        <f t="shared" si="6"/>
        <v>46078.45901</v>
      </c>
      <c r="R641" s="55">
        <f t="shared" si="7"/>
        <v>47.21530039</v>
      </c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41">
        <v>641.0</v>
      </c>
      <c r="B642" s="41">
        <v>122.0</v>
      </c>
      <c r="C642" s="41">
        <v>240.0</v>
      </c>
      <c r="D642" s="41">
        <v>1.0</v>
      </c>
      <c r="E642" s="41">
        <f t="shared" si="1"/>
        <v>240</v>
      </c>
      <c r="F642" s="42">
        <v>44961.0</v>
      </c>
      <c r="G642" s="41" t="s">
        <v>46</v>
      </c>
      <c r="H642" s="41">
        <v>419.0</v>
      </c>
      <c r="I642" s="41" t="str">
        <f>VLOOKUP(B642,'товар'!$A$1:$C$433,2,FALSE)</f>
        <v>Фрукты</v>
      </c>
      <c r="J642" s="43">
        <f t="shared" si="2"/>
        <v>274.1627907</v>
      </c>
      <c r="K642" s="44">
        <f t="shared" si="3"/>
        <v>-0.1246076851</v>
      </c>
      <c r="L642" s="41" t="str">
        <f>VLOOKUP(B642,'товар'!$A$1:$C$433,3,FALSE)</f>
        <v>Фрукты-Ягоды</v>
      </c>
      <c r="M642" s="45">
        <f t="shared" si="4"/>
        <v>280.6666667</v>
      </c>
      <c r="N642" s="46">
        <f>VLOOKUP(H642,'клиенты'!$A$1:$F$435,5,FALSE)</f>
        <v>44869</v>
      </c>
      <c r="O642" s="41">
        <f t="shared" si="5"/>
        <v>92</v>
      </c>
      <c r="P642" s="41" t="str">
        <f>VLOOKUP(H642,'клиенты'!$A$2:$J$435,10,FALSE)</f>
        <v>Таджикистан</v>
      </c>
      <c r="Q642" s="47">
        <f t="shared" si="6"/>
        <v>46078.45901</v>
      </c>
      <c r="R642" s="48">
        <f t="shared" si="7"/>
        <v>40.31530039</v>
      </c>
      <c r="S642" s="41"/>
      <c r="T642" s="41"/>
      <c r="U642" s="41"/>
      <c r="V642" s="41"/>
      <c r="W642" s="41"/>
      <c r="X642" s="41"/>
      <c r="Y642" s="41"/>
      <c r="Z642" s="41"/>
    </row>
    <row r="643" ht="14.25" customHeight="1">
      <c r="A643" s="20">
        <v>642.0</v>
      </c>
      <c r="B643" s="20">
        <v>422.0</v>
      </c>
      <c r="C643" s="20">
        <v>290.0</v>
      </c>
      <c r="D643" s="20">
        <v>5.0</v>
      </c>
      <c r="E643" s="20">
        <f t="shared" si="1"/>
        <v>1450</v>
      </c>
      <c r="F643" s="49">
        <v>45292.0</v>
      </c>
      <c r="G643" s="20" t="s">
        <v>53</v>
      </c>
      <c r="H643" s="20">
        <v>125.0</v>
      </c>
      <c r="I643" s="20" t="str">
        <f>VLOOKUP(B643,'товар'!$A$1:$C$433,2,FALSE)</f>
        <v>Кофе</v>
      </c>
      <c r="J643" s="50">
        <f t="shared" si="2"/>
        <v>249.0238095</v>
      </c>
      <c r="K643" s="51">
        <f t="shared" si="3"/>
        <v>0.1645472799</v>
      </c>
      <c r="L643" s="20" t="str">
        <f>VLOOKUP(B643,'товар'!$A$1:$C$433,3,FALSE)</f>
        <v>Nescafe</v>
      </c>
      <c r="M643" s="52">
        <f t="shared" si="4"/>
        <v>256.9</v>
      </c>
      <c r="N643" s="53">
        <f>VLOOKUP(H643,'клиенты'!$A$1:$F$435,5,FALSE)</f>
        <v>44701</v>
      </c>
      <c r="O643" s="20">
        <f t="shared" si="5"/>
        <v>591</v>
      </c>
      <c r="P643" s="20" t="str">
        <f>VLOOKUP(H643,'клиенты'!$A$2:$J$435,10,FALSE)</f>
        <v>Россия</v>
      </c>
      <c r="Q643" s="54">
        <f t="shared" si="6"/>
        <v>46078.45901</v>
      </c>
      <c r="R643" s="55">
        <f t="shared" si="7"/>
        <v>45.91530039</v>
      </c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41">
        <v>643.0</v>
      </c>
      <c r="B644" s="41">
        <v>479.0</v>
      </c>
      <c r="C644" s="41">
        <v>405.0</v>
      </c>
      <c r="D644" s="41">
        <v>4.0</v>
      </c>
      <c r="E644" s="41">
        <f t="shared" si="1"/>
        <v>1620</v>
      </c>
      <c r="F644" s="42">
        <v>45302.0</v>
      </c>
      <c r="G644" s="41" t="s">
        <v>39</v>
      </c>
      <c r="H644" s="41">
        <v>242.0</v>
      </c>
      <c r="I644" s="41" t="str">
        <f>VLOOKUP(B644,'товар'!$A$1:$C$433,2,FALSE)</f>
        <v>Овощи</v>
      </c>
      <c r="J644" s="43">
        <f t="shared" si="2"/>
        <v>250.4878049</v>
      </c>
      <c r="K644" s="44">
        <f t="shared" si="3"/>
        <v>0.6168451801</v>
      </c>
      <c r="L644" s="41" t="str">
        <f>VLOOKUP(B644,'товар'!$A$1:$C$433,3,FALSE)</f>
        <v>Гавриш</v>
      </c>
      <c r="M644" s="45">
        <f t="shared" si="4"/>
        <v>247.6666667</v>
      </c>
      <c r="N644" s="46">
        <f>VLOOKUP(H644,'клиенты'!$A$1:$F$435,5,FALSE)</f>
        <v>44747</v>
      </c>
      <c r="O644" s="41">
        <f t="shared" si="5"/>
        <v>555</v>
      </c>
      <c r="P644" s="41" t="str">
        <f>VLOOKUP(H644,'клиенты'!$A$2:$J$435,10,FALSE)</f>
        <v>Россия</v>
      </c>
      <c r="Q644" s="47">
        <f t="shared" si="6"/>
        <v>46078.45901</v>
      </c>
      <c r="R644" s="48">
        <f t="shared" si="7"/>
        <v>44.38196706</v>
      </c>
      <c r="S644" s="41"/>
      <c r="T644" s="41"/>
      <c r="U644" s="41"/>
      <c r="V644" s="41"/>
      <c r="W644" s="41"/>
      <c r="X644" s="41"/>
      <c r="Y644" s="41"/>
      <c r="Z644" s="41"/>
    </row>
    <row r="645" ht="14.25" customHeight="1">
      <c r="A645" s="20">
        <v>644.0</v>
      </c>
      <c r="B645" s="20">
        <v>99.0</v>
      </c>
      <c r="C645" s="20">
        <v>281.0</v>
      </c>
      <c r="D645" s="20">
        <v>5.0</v>
      </c>
      <c r="E645" s="20">
        <f t="shared" si="1"/>
        <v>1405</v>
      </c>
      <c r="F645" s="49">
        <v>45139.0</v>
      </c>
      <c r="G645" s="20" t="s">
        <v>41</v>
      </c>
      <c r="H645" s="20">
        <v>329.0</v>
      </c>
      <c r="I645" s="20" t="str">
        <f>VLOOKUP(B645,'товар'!$A$1:$C$433,2,FALSE)</f>
        <v>Овощи</v>
      </c>
      <c r="J645" s="50">
        <f t="shared" si="2"/>
        <v>250.4878049</v>
      </c>
      <c r="K645" s="51">
        <f t="shared" si="3"/>
        <v>0.1218111003</v>
      </c>
      <c r="L645" s="20" t="str">
        <f>VLOOKUP(B645,'товар'!$A$1:$C$433,3,FALSE)</f>
        <v>Семко</v>
      </c>
      <c r="M645" s="52">
        <f t="shared" si="4"/>
        <v>208</v>
      </c>
      <c r="N645" s="53">
        <f>VLOOKUP(H645,'клиенты'!$A$1:$F$435,5,FALSE)</f>
        <v>44653</v>
      </c>
      <c r="O645" s="20">
        <f t="shared" si="5"/>
        <v>486</v>
      </c>
      <c r="P645" s="20" t="str">
        <f>VLOOKUP(H645,'клиенты'!$A$2:$J$435,10,FALSE)</f>
        <v>Беларусь</v>
      </c>
      <c r="Q645" s="54">
        <f t="shared" si="6"/>
        <v>46078.45901</v>
      </c>
      <c r="R645" s="55">
        <f t="shared" si="7"/>
        <v>47.51530039</v>
      </c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41">
        <v>645.0</v>
      </c>
      <c r="B646" s="41">
        <v>272.0</v>
      </c>
      <c r="C646" s="41">
        <v>207.0</v>
      </c>
      <c r="D646" s="41">
        <v>5.0</v>
      </c>
      <c r="E646" s="41">
        <f t="shared" si="1"/>
        <v>1035</v>
      </c>
      <c r="F646" s="42">
        <v>45074.0</v>
      </c>
      <c r="G646" s="41" t="s">
        <v>40</v>
      </c>
      <c r="H646" s="41">
        <v>42.0</v>
      </c>
      <c r="I646" s="41" t="str">
        <f>VLOOKUP(B646,'товар'!$A$1:$C$433,2,FALSE)</f>
        <v>Крупа</v>
      </c>
      <c r="J646" s="43">
        <f t="shared" si="2"/>
        <v>255.1162791</v>
      </c>
      <c r="K646" s="44">
        <f t="shared" si="3"/>
        <v>-0.1886052871</v>
      </c>
      <c r="L646" s="41" t="str">
        <f>VLOOKUP(B646,'товар'!$A$1:$C$433,3,FALSE)</f>
        <v>Ярмарка</v>
      </c>
      <c r="M646" s="45">
        <f t="shared" si="4"/>
        <v>252.0909091</v>
      </c>
      <c r="N646" s="46">
        <f>VLOOKUP(H646,'клиенты'!$A$1:$F$435,5,FALSE)</f>
        <v>44783</v>
      </c>
      <c r="O646" s="41">
        <f t="shared" si="5"/>
        <v>291</v>
      </c>
      <c r="P646" s="41" t="str">
        <f>VLOOKUP(H646,'клиенты'!$A$2:$J$435,10,FALSE)</f>
        <v>Таджикистан</v>
      </c>
      <c r="Q646" s="47">
        <f t="shared" si="6"/>
        <v>46078.45901</v>
      </c>
      <c r="R646" s="48">
        <f t="shared" si="7"/>
        <v>43.18196706</v>
      </c>
      <c r="S646" s="41"/>
      <c r="T646" s="41"/>
      <c r="U646" s="41"/>
      <c r="V646" s="41"/>
      <c r="W646" s="41"/>
      <c r="X646" s="41"/>
      <c r="Y646" s="41"/>
      <c r="Z646" s="41"/>
    </row>
    <row r="647" ht="14.25" customHeight="1">
      <c r="A647" s="20">
        <v>646.0</v>
      </c>
      <c r="B647" s="20">
        <v>493.0</v>
      </c>
      <c r="C647" s="20">
        <v>378.0</v>
      </c>
      <c r="D647" s="20">
        <v>2.0</v>
      </c>
      <c r="E647" s="20">
        <f t="shared" si="1"/>
        <v>756</v>
      </c>
      <c r="F647" s="49">
        <v>45324.0</v>
      </c>
      <c r="G647" s="20" t="s">
        <v>50</v>
      </c>
      <c r="H647" s="20">
        <v>229.0</v>
      </c>
      <c r="I647" s="20" t="str">
        <f>VLOOKUP(B647,'товар'!$A$1:$C$433,2,FALSE)</f>
        <v>Овощи</v>
      </c>
      <c r="J647" s="50">
        <f t="shared" si="2"/>
        <v>250.4878049</v>
      </c>
      <c r="K647" s="51">
        <f t="shared" si="3"/>
        <v>0.5090555015</v>
      </c>
      <c r="L647" s="20" t="str">
        <f>VLOOKUP(B647,'товар'!$A$1:$C$433,3,FALSE)</f>
        <v>Овощной ряд</v>
      </c>
      <c r="M647" s="52">
        <f t="shared" si="4"/>
        <v>303.8235294</v>
      </c>
      <c r="N647" s="53">
        <f>VLOOKUP(H647,'клиенты'!$A$1:$F$435,5,FALSE)</f>
        <v>44766</v>
      </c>
      <c r="O647" s="20">
        <f t="shared" si="5"/>
        <v>558</v>
      </c>
      <c r="P647" s="20" t="str">
        <f>VLOOKUP(H647,'клиенты'!$A$2:$J$435,10,FALSE)</f>
        <v>Беларусь</v>
      </c>
      <c r="Q647" s="54">
        <f t="shared" si="6"/>
        <v>46078.45901</v>
      </c>
      <c r="R647" s="55">
        <f t="shared" si="7"/>
        <v>43.74863373</v>
      </c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41">
        <v>647.0</v>
      </c>
      <c r="B648" s="41">
        <v>360.0</v>
      </c>
      <c r="C648" s="41">
        <v>120.0</v>
      </c>
      <c r="D648" s="41">
        <v>2.0</v>
      </c>
      <c r="E648" s="41">
        <f t="shared" si="1"/>
        <v>240</v>
      </c>
      <c r="F648" s="42">
        <v>44960.0</v>
      </c>
      <c r="G648" s="41" t="s">
        <v>40</v>
      </c>
      <c r="H648" s="41">
        <v>306.0</v>
      </c>
      <c r="I648" s="41" t="str">
        <f>VLOOKUP(B648,'товар'!$A$1:$C$433,2,FALSE)</f>
        <v>Соль</v>
      </c>
      <c r="J648" s="43">
        <f t="shared" si="2"/>
        <v>264.8679245</v>
      </c>
      <c r="K648" s="44">
        <f t="shared" si="3"/>
        <v>-0.5469440091</v>
      </c>
      <c r="L648" s="41" t="str">
        <f>VLOOKUP(B648,'товар'!$A$1:$C$433,3,FALSE)</f>
        <v>Славянская</v>
      </c>
      <c r="M648" s="45">
        <f t="shared" si="4"/>
        <v>236.9166667</v>
      </c>
      <c r="N648" s="46">
        <f>VLOOKUP(H648,'клиенты'!$A$1:$F$435,5,FALSE)</f>
        <v>44872</v>
      </c>
      <c r="O648" s="41">
        <f t="shared" si="5"/>
        <v>88</v>
      </c>
      <c r="P648" s="41" t="str">
        <f>VLOOKUP(H648,'клиенты'!$A$2:$J$435,10,FALSE)</f>
        <v>Украина</v>
      </c>
      <c r="Q648" s="47">
        <f t="shared" si="6"/>
        <v>46078.45901</v>
      </c>
      <c r="R648" s="48">
        <f t="shared" si="7"/>
        <v>40.21530039</v>
      </c>
      <c r="S648" s="41"/>
      <c r="T648" s="41"/>
      <c r="U648" s="41"/>
      <c r="V648" s="41"/>
      <c r="W648" s="41"/>
      <c r="X648" s="41"/>
      <c r="Y648" s="41"/>
      <c r="Z648" s="41"/>
    </row>
    <row r="649" ht="14.25" customHeight="1">
      <c r="A649" s="20">
        <v>648.0</v>
      </c>
      <c r="B649" s="20">
        <v>215.0</v>
      </c>
      <c r="C649" s="20">
        <v>440.0</v>
      </c>
      <c r="D649" s="20">
        <v>2.0</v>
      </c>
      <c r="E649" s="20">
        <f t="shared" si="1"/>
        <v>880</v>
      </c>
      <c r="F649" s="49">
        <v>45381.0</v>
      </c>
      <c r="G649" s="20" t="s">
        <v>35</v>
      </c>
      <c r="H649" s="20">
        <v>292.0</v>
      </c>
      <c r="I649" s="20" t="str">
        <f>VLOOKUP(B649,'товар'!$A$1:$C$433,2,FALSE)</f>
        <v>Сок</v>
      </c>
      <c r="J649" s="50">
        <f t="shared" si="2"/>
        <v>268.6034483</v>
      </c>
      <c r="K649" s="51">
        <f t="shared" si="3"/>
        <v>0.638102574</v>
      </c>
      <c r="L649" s="20" t="str">
        <f>VLOOKUP(B649,'товар'!$A$1:$C$433,3,FALSE)</f>
        <v>Фруктовый сад</v>
      </c>
      <c r="M649" s="52">
        <f t="shared" si="4"/>
        <v>281.96875</v>
      </c>
      <c r="N649" s="53">
        <f>VLOOKUP(H649,'клиенты'!$A$1:$F$435,5,FALSE)</f>
        <v>44608</v>
      </c>
      <c r="O649" s="20">
        <f t="shared" si="5"/>
        <v>773</v>
      </c>
      <c r="P649" s="20" t="str">
        <f>VLOOKUP(H649,'клиенты'!$A$2:$J$435,10,FALSE)</f>
        <v>Россия</v>
      </c>
      <c r="Q649" s="54">
        <f t="shared" si="6"/>
        <v>46078.45901</v>
      </c>
      <c r="R649" s="55">
        <f t="shared" si="7"/>
        <v>49.01530039</v>
      </c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41">
        <v>649.0</v>
      </c>
      <c r="B650" s="41">
        <v>292.0</v>
      </c>
      <c r="C650" s="41">
        <v>327.0</v>
      </c>
      <c r="D650" s="41">
        <v>5.0</v>
      </c>
      <c r="E650" s="41">
        <f t="shared" si="1"/>
        <v>1635</v>
      </c>
      <c r="F650" s="42">
        <v>45038.0</v>
      </c>
      <c r="G650" s="41" t="s">
        <v>38</v>
      </c>
      <c r="H650" s="41">
        <v>275.0</v>
      </c>
      <c r="I650" s="41" t="str">
        <f>VLOOKUP(B650,'товар'!$A$1:$C$433,2,FALSE)</f>
        <v>Колбаса</v>
      </c>
      <c r="J650" s="43">
        <f t="shared" si="2"/>
        <v>286.9230769</v>
      </c>
      <c r="K650" s="44">
        <f t="shared" si="3"/>
        <v>0.1396782842</v>
      </c>
      <c r="L650" s="41" t="str">
        <f>VLOOKUP(B650,'товар'!$A$1:$C$433,3,FALSE)</f>
        <v>Дымов</v>
      </c>
      <c r="M650" s="45">
        <f t="shared" si="4"/>
        <v>312.6666667</v>
      </c>
      <c r="N650" s="46">
        <f>VLOOKUP(H650,'клиенты'!$A$1:$F$435,5,FALSE)</f>
        <v>44651</v>
      </c>
      <c r="O650" s="41">
        <f t="shared" si="5"/>
        <v>387</v>
      </c>
      <c r="P650" s="41" t="str">
        <f>VLOOKUP(H650,'клиенты'!$A$2:$J$435,10,FALSE)</f>
        <v>Таджикистан</v>
      </c>
      <c r="Q650" s="47">
        <f t="shared" si="6"/>
        <v>46078.45901</v>
      </c>
      <c r="R650" s="48">
        <f t="shared" si="7"/>
        <v>47.58196706</v>
      </c>
      <c r="S650" s="41"/>
      <c r="T650" s="41"/>
      <c r="U650" s="41"/>
      <c r="V650" s="41"/>
      <c r="W650" s="41"/>
      <c r="X650" s="41"/>
      <c r="Y650" s="41"/>
      <c r="Z650" s="41"/>
    </row>
    <row r="651" ht="14.25" customHeight="1">
      <c r="A651" s="20">
        <v>650.0</v>
      </c>
      <c r="B651" s="20">
        <v>307.0</v>
      </c>
      <c r="C651" s="20">
        <v>407.0</v>
      </c>
      <c r="D651" s="20">
        <v>1.0</v>
      </c>
      <c r="E651" s="20">
        <f t="shared" si="1"/>
        <v>407</v>
      </c>
      <c r="F651" s="49">
        <v>44950.0</v>
      </c>
      <c r="G651" s="20" t="s">
        <v>38</v>
      </c>
      <c r="H651" s="20">
        <v>103.0</v>
      </c>
      <c r="I651" s="20" t="str">
        <f>VLOOKUP(B651,'товар'!$A$1:$C$433,2,FALSE)</f>
        <v>Сыр</v>
      </c>
      <c r="J651" s="50">
        <f t="shared" si="2"/>
        <v>262.6349206</v>
      </c>
      <c r="K651" s="51">
        <f t="shared" si="3"/>
        <v>0.5496796809</v>
      </c>
      <c r="L651" s="20" t="str">
        <f>VLOOKUP(B651,'товар'!$A$1:$C$433,3,FALSE)</f>
        <v>Карат</v>
      </c>
      <c r="M651" s="52">
        <f t="shared" si="4"/>
        <v>311.3333333</v>
      </c>
      <c r="N651" s="53">
        <f>VLOOKUP(H651,'клиенты'!$A$1:$F$435,5,FALSE)</f>
        <v>44787</v>
      </c>
      <c r="O651" s="20">
        <f t="shared" si="5"/>
        <v>163</v>
      </c>
      <c r="P651" s="20" t="str">
        <f>VLOOKUP(H651,'клиенты'!$A$2:$J$435,10,FALSE)</f>
        <v>Узбекистан</v>
      </c>
      <c r="Q651" s="54">
        <f t="shared" si="6"/>
        <v>46078.45901</v>
      </c>
      <c r="R651" s="55">
        <f t="shared" si="7"/>
        <v>43.04863373</v>
      </c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41">
        <v>651.0</v>
      </c>
      <c r="B652" s="41">
        <v>473.0</v>
      </c>
      <c r="C652" s="41">
        <v>343.0</v>
      </c>
      <c r="D652" s="41">
        <v>5.0</v>
      </c>
      <c r="E652" s="41">
        <f t="shared" si="1"/>
        <v>1715</v>
      </c>
      <c r="F652" s="42">
        <v>45086.0</v>
      </c>
      <c r="G652" s="41" t="s">
        <v>52</v>
      </c>
      <c r="H652" s="41">
        <v>460.0</v>
      </c>
      <c r="I652" s="41" t="str">
        <f>VLOOKUP(B652,'товар'!$A$1:$C$433,2,FALSE)</f>
        <v>Хлеб</v>
      </c>
      <c r="J652" s="43">
        <f t="shared" si="2"/>
        <v>300.3181818</v>
      </c>
      <c r="K652" s="44">
        <f t="shared" si="3"/>
        <v>0.1421219918</v>
      </c>
      <c r="L652" s="41" t="str">
        <f>VLOOKUP(B652,'товар'!$A$1:$C$433,3,FALSE)</f>
        <v>Хлебный Дом</v>
      </c>
      <c r="M652" s="45">
        <f t="shared" si="4"/>
        <v>281.7333333</v>
      </c>
      <c r="N652" s="46">
        <f>VLOOKUP(H652,'клиенты'!$A$1:$F$435,5,FALSE)</f>
        <v>44821</v>
      </c>
      <c r="O652" s="41">
        <f t="shared" si="5"/>
        <v>265</v>
      </c>
      <c r="P652" s="41" t="str">
        <f>VLOOKUP(H652,'клиенты'!$A$2:$J$435,10,FALSE)</f>
        <v>Россия</v>
      </c>
      <c r="Q652" s="47">
        <f t="shared" si="6"/>
        <v>46078.45901</v>
      </c>
      <c r="R652" s="48">
        <f t="shared" si="7"/>
        <v>41.91530039</v>
      </c>
      <c r="S652" s="41"/>
      <c r="T652" s="41"/>
      <c r="U652" s="41"/>
      <c r="V652" s="41"/>
      <c r="W652" s="41"/>
      <c r="X652" s="41"/>
      <c r="Y652" s="41"/>
      <c r="Z652" s="41"/>
    </row>
    <row r="653" ht="14.25" customHeight="1">
      <c r="A653" s="20">
        <v>652.0</v>
      </c>
      <c r="B653" s="20">
        <v>112.0</v>
      </c>
      <c r="C653" s="20">
        <v>237.0</v>
      </c>
      <c r="D653" s="20">
        <v>3.0</v>
      </c>
      <c r="E653" s="20">
        <f t="shared" si="1"/>
        <v>711</v>
      </c>
      <c r="F653" s="49">
        <v>45079.0</v>
      </c>
      <c r="G653" s="20" t="s">
        <v>36</v>
      </c>
      <c r="H653" s="20">
        <v>342.0</v>
      </c>
      <c r="I653" s="20" t="str">
        <f>VLOOKUP(B653,'товар'!$A$1:$C$433,2,FALSE)</f>
        <v>Молоко</v>
      </c>
      <c r="J653" s="50">
        <f t="shared" si="2"/>
        <v>294.952381</v>
      </c>
      <c r="K653" s="51">
        <f t="shared" si="3"/>
        <v>-0.196480465</v>
      </c>
      <c r="L653" s="20" t="str">
        <f>VLOOKUP(B653,'товар'!$A$1:$C$433,3,FALSE)</f>
        <v>Беллакт</v>
      </c>
      <c r="M653" s="52">
        <f t="shared" si="4"/>
        <v>322.5454545</v>
      </c>
      <c r="N653" s="53">
        <f>VLOOKUP(H653,'клиенты'!$A$1:$F$435,5,FALSE)</f>
        <v>44570</v>
      </c>
      <c r="O653" s="20">
        <f t="shared" si="5"/>
        <v>509</v>
      </c>
      <c r="P653" s="20" t="str">
        <f>VLOOKUP(H653,'клиенты'!$A$2:$J$435,10,FALSE)</f>
        <v>Таджикистан</v>
      </c>
      <c r="Q653" s="54">
        <f t="shared" si="6"/>
        <v>46078.45901</v>
      </c>
      <c r="R653" s="55">
        <f t="shared" si="7"/>
        <v>50.28196706</v>
      </c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41">
        <v>653.0</v>
      </c>
      <c r="B654" s="41">
        <v>131.0</v>
      </c>
      <c r="C654" s="41">
        <v>116.0</v>
      </c>
      <c r="D654" s="41">
        <v>5.0</v>
      </c>
      <c r="E654" s="41">
        <f t="shared" si="1"/>
        <v>580</v>
      </c>
      <c r="F654" s="42">
        <v>45184.0</v>
      </c>
      <c r="G654" s="41" t="s">
        <v>46</v>
      </c>
      <c r="H654" s="41">
        <v>246.0</v>
      </c>
      <c r="I654" s="41" t="str">
        <f>VLOOKUP(B654,'товар'!$A$1:$C$433,2,FALSE)</f>
        <v>Сок</v>
      </c>
      <c r="J654" s="43">
        <f t="shared" si="2"/>
        <v>268.6034483</v>
      </c>
      <c r="K654" s="44">
        <f t="shared" si="3"/>
        <v>-0.5681365941</v>
      </c>
      <c r="L654" s="41" t="str">
        <f>VLOOKUP(B654,'товар'!$A$1:$C$433,3,FALSE)</f>
        <v>Сады Придонья</v>
      </c>
      <c r="M654" s="45">
        <f t="shared" si="4"/>
        <v>254.1818182</v>
      </c>
      <c r="N654" s="46">
        <f>VLOOKUP(H654,'клиенты'!$A$1:$F$435,5,FALSE)</f>
        <v>44805</v>
      </c>
      <c r="O654" s="41">
        <f t="shared" si="5"/>
        <v>379</v>
      </c>
      <c r="P654" s="41" t="str">
        <f>VLOOKUP(H654,'клиенты'!$A$2:$J$435,10,FALSE)</f>
        <v>Узбекистан</v>
      </c>
      <c r="Q654" s="47">
        <f t="shared" si="6"/>
        <v>46078.45901</v>
      </c>
      <c r="R654" s="48">
        <f t="shared" si="7"/>
        <v>42.44863373</v>
      </c>
      <c r="S654" s="41"/>
      <c r="T654" s="41"/>
      <c r="U654" s="41"/>
      <c r="V654" s="41"/>
      <c r="W654" s="41"/>
      <c r="X654" s="41"/>
      <c r="Y654" s="41"/>
      <c r="Z654" s="41"/>
    </row>
    <row r="655" ht="14.25" customHeight="1">
      <c r="A655" s="20">
        <v>654.0</v>
      </c>
      <c r="B655" s="20">
        <v>230.0</v>
      </c>
      <c r="C655" s="20">
        <v>453.0</v>
      </c>
      <c r="D655" s="20">
        <v>3.0</v>
      </c>
      <c r="E655" s="20">
        <f t="shared" si="1"/>
        <v>1359</v>
      </c>
      <c r="F655" s="49">
        <v>45324.0</v>
      </c>
      <c r="G655" s="20" t="s">
        <v>40</v>
      </c>
      <c r="H655" s="20">
        <v>175.0</v>
      </c>
      <c r="I655" s="20" t="str">
        <f>VLOOKUP(B655,'товар'!$A$1:$C$433,2,FALSE)</f>
        <v>Сок</v>
      </c>
      <c r="J655" s="50">
        <f t="shared" si="2"/>
        <v>268.6034483</v>
      </c>
      <c r="K655" s="51">
        <f t="shared" si="3"/>
        <v>0.6865010591</v>
      </c>
      <c r="L655" s="20" t="str">
        <f>VLOOKUP(B655,'товар'!$A$1:$C$433,3,FALSE)</f>
        <v>Фруктовый сад</v>
      </c>
      <c r="M655" s="52">
        <f t="shared" si="4"/>
        <v>281.96875</v>
      </c>
      <c r="N655" s="53">
        <f>VLOOKUP(H655,'клиенты'!$A$1:$F$435,5,FALSE)</f>
        <v>44565</v>
      </c>
      <c r="O655" s="20">
        <f t="shared" si="5"/>
        <v>759</v>
      </c>
      <c r="P655" s="20" t="str">
        <f>VLOOKUP(H655,'клиенты'!$A$2:$J$435,10,FALSE)</f>
        <v>Россия</v>
      </c>
      <c r="Q655" s="54">
        <f t="shared" si="6"/>
        <v>46078.45901</v>
      </c>
      <c r="R655" s="55">
        <f t="shared" si="7"/>
        <v>50.44863373</v>
      </c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41">
        <v>655.0</v>
      </c>
      <c r="B656" s="41">
        <v>39.0</v>
      </c>
      <c r="C656" s="41">
        <v>375.0</v>
      </c>
      <c r="D656" s="41">
        <v>2.0</v>
      </c>
      <c r="E656" s="41">
        <f t="shared" si="1"/>
        <v>750</v>
      </c>
      <c r="F656" s="42">
        <v>45289.0</v>
      </c>
      <c r="G656" s="41" t="s">
        <v>50</v>
      </c>
      <c r="H656" s="41">
        <v>366.0</v>
      </c>
      <c r="I656" s="41" t="str">
        <f>VLOOKUP(B656,'товар'!$A$1:$C$433,2,FALSE)</f>
        <v>Сыр</v>
      </c>
      <c r="J656" s="43">
        <f t="shared" si="2"/>
        <v>262.6349206</v>
      </c>
      <c r="K656" s="44">
        <f t="shared" si="3"/>
        <v>0.4278375438</v>
      </c>
      <c r="L656" s="41" t="str">
        <f>VLOOKUP(B656,'товар'!$A$1:$C$433,3,FALSE)</f>
        <v>Сырная долина</v>
      </c>
      <c r="M656" s="45">
        <f t="shared" si="4"/>
        <v>271</v>
      </c>
      <c r="N656" s="46">
        <f>VLOOKUP(H656,'клиенты'!$A$1:$F$435,5,FALSE)</f>
        <v>44827</v>
      </c>
      <c r="O656" s="41">
        <f t="shared" si="5"/>
        <v>462</v>
      </c>
      <c r="P656" s="41" t="str">
        <f>VLOOKUP(H656,'клиенты'!$A$2:$J$435,10,FALSE)</f>
        <v>Узбекистан</v>
      </c>
      <c r="Q656" s="47">
        <f t="shared" si="6"/>
        <v>46078.45901</v>
      </c>
      <c r="R656" s="48">
        <f t="shared" si="7"/>
        <v>41.71530039</v>
      </c>
      <c r="S656" s="41"/>
      <c r="T656" s="41"/>
      <c r="U656" s="41"/>
      <c r="V656" s="41"/>
      <c r="W656" s="41"/>
      <c r="X656" s="41"/>
      <c r="Y656" s="41"/>
      <c r="Z656" s="41"/>
    </row>
    <row r="657" ht="14.25" customHeight="1">
      <c r="A657" s="20">
        <v>656.0</v>
      </c>
      <c r="B657" s="20">
        <v>481.0</v>
      </c>
      <c r="C657" s="20">
        <v>374.0</v>
      </c>
      <c r="D657" s="20">
        <v>5.0</v>
      </c>
      <c r="E657" s="20">
        <f t="shared" si="1"/>
        <v>1870</v>
      </c>
      <c r="F657" s="49">
        <v>45099.0</v>
      </c>
      <c r="G657" s="20" t="s">
        <v>50</v>
      </c>
      <c r="H657" s="20">
        <v>254.0</v>
      </c>
      <c r="I657" s="20" t="str">
        <f>VLOOKUP(B657,'товар'!$A$1:$C$433,2,FALSE)</f>
        <v>Чипсы</v>
      </c>
      <c r="J657" s="50">
        <f t="shared" si="2"/>
        <v>273.7254902</v>
      </c>
      <c r="K657" s="51">
        <f t="shared" si="3"/>
        <v>0.3663323782</v>
      </c>
      <c r="L657" s="20" t="str">
        <f>VLOOKUP(B657,'товар'!$A$1:$C$433,3,FALSE)</f>
        <v>Pringles</v>
      </c>
      <c r="M657" s="52">
        <f t="shared" si="4"/>
        <v>280.2380952</v>
      </c>
      <c r="N657" s="53">
        <f>VLOOKUP(H657,'клиенты'!$A$1:$F$435,5,FALSE)</f>
        <v>44862</v>
      </c>
      <c r="O657" s="20">
        <f t="shared" si="5"/>
        <v>237</v>
      </c>
      <c r="P657" s="20" t="str">
        <f>VLOOKUP(H657,'клиенты'!$A$2:$J$435,10,FALSE)</f>
        <v>Беларусь</v>
      </c>
      <c r="Q657" s="54">
        <f t="shared" si="6"/>
        <v>46078.45901</v>
      </c>
      <c r="R657" s="55">
        <f t="shared" si="7"/>
        <v>40.54863373</v>
      </c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41">
        <v>657.0</v>
      </c>
      <c r="B658" s="41">
        <v>438.0</v>
      </c>
      <c r="C658" s="41">
        <v>81.0</v>
      </c>
      <c r="D658" s="41">
        <v>4.0</v>
      </c>
      <c r="E658" s="41">
        <f t="shared" si="1"/>
        <v>324</v>
      </c>
      <c r="F658" s="42">
        <v>45272.0</v>
      </c>
      <c r="G658" s="41" t="s">
        <v>49</v>
      </c>
      <c r="H658" s="41">
        <v>79.0</v>
      </c>
      <c r="I658" s="41" t="str">
        <f>VLOOKUP(B658,'товар'!$A$1:$C$433,2,FALSE)</f>
        <v>Кофе</v>
      </c>
      <c r="J658" s="43">
        <f t="shared" si="2"/>
        <v>249.0238095</v>
      </c>
      <c r="K658" s="44">
        <f t="shared" si="3"/>
        <v>-0.6747298977</v>
      </c>
      <c r="L658" s="41" t="str">
        <f>VLOOKUP(B658,'товар'!$A$1:$C$433,3,FALSE)</f>
        <v>Nescafe</v>
      </c>
      <c r="M658" s="45">
        <f t="shared" si="4"/>
        <v>256.9</v>
      </c>
      <c r="N658" s="46">
        <f>VLOOKUP(H658,'клиенты'!$A$1:$F$435,5,FALSE)</f>
        <v>44716</v>
      </c>
      <c r="O658" s="41">
        <f t="shared" si="5"/>
        <v>556</v>
      </c>
      <c r="P658" s="41" t="str">
        <f>VLOOKUP(H658,'клиенты'!$A$2:$J$435,10,FALSE)</f>
        <v>Таджикистан</v>
      </c>
      <c r="Q658" s="47">
        <f t="shared" si="6"/>
        <v>46078.45901</v>
      </c>
      <c r="R658" s="48">
        <f t="shared" si="7"/>
        <v>45.41530039</v>
      </c>
      <c r="S658" s="41"/>
      <c r="T658" s="41"/>
      <c r="U658" s="41"/>
      <c r="V658" s="41"/>
      <c r="W658" s="41"/>
      <c r="X658" s="41"/>
      <c r="Y658" s="41"/>
      <c r="Z658" s="41"/>
    </row>
    <row r="659" ht="14.25" customHeight="1">
      <c r="A659" s="20">
        <v>658.0</v>
      </c>
      <c r="B659" s="20">
        <v>316.0</v>
      </c>
      <c r="C659" s="20">
        <v>428.0</v>
      </c>
      <c r="D659" s="20">
        <v>3.0</v>
      </c>
      <c r="E659" s="20">
        <f t="shared" si="1"/>
        <v>1284</v>
      </c>
      <c r="F659" s="49">
        <v>45387.0</v>
      </c>
      <c r="G659" s="20" t="s">
        <v>53</v>
      </c>
      <c r="H659" s="20">
        <v>70.0</v>
      </c>
      <c r="I659" s="20" t="str">
        <f>VLOOKUP(B659,'товар'!$A$1:$C$433,2,FALSE)</f>
        <v>Макароны</v>
      </c>
      <c r="J659" s="50">
        <f t="shared" si="2"/>
        <v>265.4767442</v>
      </c>
      <c r="K659" s="51">
        <f t="shared" si="3"/>
        <v>0.6121939468</v>
      </c>
      <c r="L659" s="20" t="str">
        <f>VLOOKUP(B659,'товар'!$A$1:$C$433,3,FALSE)</f>
        <v>Борилла</v>
      </c>
      <c r="M659" s="52">
        <f t="shared" si="4"/>
        <v>236.2758621</v>
      </c>
      <c r="N659" s="53">
        <f>VLOOKUP(H659,'клиенты'!$A$1:$F$435,5,FALSE)</f>
        <v>44591</v>
      </c>
      <c r="O659" s="20">
        <f t="shared" si="5"/>
        <v>796</v>
      </c>
      <c r="P659" s="20" t="str">
        <f>VLOOKUP(H659,'клиенты'!$A$2:$J$435,10,FALSE)</f>
        <v>Украина</v>
      </c>
      <c r="Q659" s="54">
        <f t="shared" si="6"/>
        <v>46078.45901</v>
      </c>
      <c r="R659" s="55">
        <f t="shared" si="7"/>
        <v>49.58196706</v>
      </c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41">
        <v>659.0</v>
      </c>
      <c r="B660" s="41">
        <v>174.0</v>
      </c>
      <c r="C660" s="41">
        <v>456.0</v>
      </c>
      <c r="D660" s="41">
        <v>3.0</v>
      </c>
      <c r="E660" s="41">
        <f t="shared" si="1"/>
        <v>1368</v>
      </c>
      <c r="F660" s="42">
        <v>45282.0</v>
      </c>
      <c r="G660" s="41" t="s">
        <v>44</v>
      </c>
      <c r="H660" s="41">
        <v>76.0</v>
      </c>
      <c r="I660" s="41" t="str">
        <f>VLOOKUP(B660,'товар'!$A$1:$C$433,2,FALSE)</f>
        <v>Чай</v>
      </c>
      <c r="J660" s="43">
        <f t="shared" si="2"/>
        <v>271.1818182</v>
      </c>
      <c r="K660" s="44">
        <f t="shared" si="3"/>
        <v>0.6815286624</v>
      </c>
      <c r="L660" s="41" t="str">
        <f>VLOOKUP(B660,'товар'!$A$1:$C$433,3,FALSE)</f>
        <v>Ахмад</v>
      </c>
      <c r="M660" s="45">
        <f t="shared" si="4"/>
        <v>243.3</v>
      </c>
      <c r="N660" s="46">
        <f>VLOOKUP(H660,'клиенты'!$A$1:$F$435,5,FALSE)</f>
        <v>44575</v>
      </c>
      <c r="O660" s="41">
        <f t="shared" si="5"/>
        <v>707</v>
      </c>
      <c r="P660" s="41" t="str">
        <f>VLOOKUP(H660,'клиенты'!$A$2:$J$435,10,FALSE)</f>
        <v>Беларусь</v>
      </c>
      <c r="Q660" s="47">
        <f t="shared" si="6"/>
        <v>46078.45901</v>
      </c>
      <c r="R660" s="48">
        <f t="shared" si="7"/>
        <v>50.11530039</v>
      </c>
      <c r="S660" s="41"/>
      <c r="T660" s="41"/>
      <c r="U660" s="41"/>
      <c r="V660" s="41"/>
      <c r="W660" s="41"/>
      <c r="X660" s="41"/>
      <c r="Y660" s="41"/>
      <c r="Z660" s="41"/>
    </row>
    <row r="661" ht="14.25" customHeight="1">
      <c r="A661" s="20">
        <v>660.0</v>
      </c>
      <c r="B661" s="20">
        <v>228.0</v>
      </c>
      <c r="C661" s="20">
        <v>247.0</v>
      </c>
      <c r="D661" s="20">
        <v>4.0</v>
      </c>
      <c r="E661" s="20">
        <f t="shared" si="1"/>
        <v>988</v>
      </c>
      <c r="F661" s="49">
        <v>45415.0</v>
      </c>
      <c r="G661" s="20" t="s">
        <v>39</v>
      </c>
      <c r="H661" s="20">
        <v>147.0</v>
      </c>
      <c r="I661" s="20" t="str">
        <f>VLOOKUP(B661,'товар'!$A$1:$C$433,2,FALSE)</f>
        <v>Рис</v>
      </c>
      <c r="J661" s="50">
        <f t="shared" si="2"/>
        <v>258.375</v>
      </c>
      <c r="K661" s="51">
        <f t="shared" si="3"/>
        <v>-0.04402515723</v>
      </c>
      <c r="L661" s="20" t="str">
        <f>VLOOKUP(B661,'товар'!$A$1:$C$433,3,FALSE)</f>
        <v>Мистраль</v>
      </c>
      <c r="M661" s="52">
        <f t="shared" si="4"/>
        <v>181.5714286</v>
      </c>
      <c r="N661" s="53">
        <f>VLOOKUP(H661,'клиенты'!$A$1:$F$435,5,FALSE)</f>
        <v>44827</v>
      </c>
      <c r="O661" s="20">
        <f t="shared" si="5"/>
        <v>588</v>
      </c>
      <c r="P661" s="20" t="str">
        <f>VLOOKUP(H661,'клиенты'!$A$2:$J$435,10,FALSE)</f>
        <v>Россия</v>
      </c>
      <c r="Q661" s="54">
        <f t="shared" si="6"/>
        <v>46078.45901</v>
      </c>
      <c r="R661" s="55">
        <f t="shared" si="7"/>
        <v>41.71530039</v>
      </c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41">
        <v>661.0</v>
      </c>
      <c r="B662" s="41">
        <v>269.0</v>
      </c>
      <c r="C662" s="41">
        <v>455.0</v>
      </c>
      <c r="D662" s="41">
        <v>5.0</v>
      </c>
      <c r="E662" s="41">
        <f t="shared" si="1"/>
        <v>2275</v>
      </c>
      <c r="F662" s="42">
        <v>45104.0</v>
      </c>
      <c r="G662" s="41" t="s">
        <v>52</v>
      </c>
      <c r="H662" s="41">
        <v>345.0</v>
      </c>
      <c r="I662" s="41" t="str">
        <f>VLOOKUP(B662,'товар'!$A$1:$C$433,2,FALSE)</f>
        <v>Сахар</v>
      </c>
      <c r="J662" s="43">
        <f t="shared" si="2"/>
        <v>252.7627119</v>
      </c>
      <c r="K662" s="44">
        <f t="shared" si="3"/>
        <v>0.8001072889</v>
      </c>
      <c r="L662" s="41" t="str">
        <f>VLOOKUP(B662,'товар'!$A$1:$C$433,3,FALSE)</f>
        <v>Русский сахар</v>
      </c>
      <c r="M662" s="45">
        <f t="shared" si="4"/>
        <v>293.4117647</v>
      </c>
      <c r="N662" s="46">
        <f>VLOOKUP(H662,'клиенты'!$A$1:$F$435,5,FALSE)</f>
        <v>44705</v>
      </c>
      <c r="O662" s="41">
        <f t="shared" si="5"/>
        <v>399</v>
      </c>
      <c r="P662" s="41" t="str">
        <f>VLOOKUP(H662,'клиенты'!$A$2:$J$435,10,FALSE)</f>
        <v>Беларусь</v>
      </c>
      <c r="Q662" s="47">
        <f t="shared" si="6"/>
        <v>46078.45901</v>
      </c>
      <c r="R662" s="48">
        <f t="shared" si="7"/>
        <v>45.78196706</v>
      </c>
      <c r="S662" s="41"/>
      <c r="T662" s="41"/>
      <c r="U662" s="41"/>
      <c r="V662" s="41"/>
      <c r="W662" s="41"/>
      <c r="X662" s="41"/>
      <c r="Y662" s="41"/>
      <c r="Z662" s="41"/>
    </row>
    <row r="663" ht="14.25" customHeight="1">
      <c r="A663" s="20">
        <v>662.0</v>
      </c>
      <c r="B663" s="20">
        <v>461.0</v>
      </c>
      <c r="C663" s="20">
        <v>388.0</v>
      </c>
      <c r="D663" s="20">
        <v>4.0</v>
      </c>
      <c r="E663" s="20">
        <f t="shared" si="1"/>
        <v>1552</v>
      </c>
      <c r="F663" s="49">
        <v>45293.0</v>
      </c>
      <c r="G663" s="20" t="s">
        <v>54</v>
      </c>
      <c r="H663" s="20">
        <v>303.0</v>
      </c>
      <c r="I663" s="20" t="str">
        <f>VLOOKUP(B663,'товар'!$A$1:$C$433,2,FALSE)</f>
        <v>Фрукты</v>
      </c>
      <c r="J663" s="50">
        <f t="shared" si="2"/>
        <v>274.1627907</v>
      </c>
      <c r="K663" s="51">
        <f t="shared" si="3"/>
        <v>0.4152175757</v>
      </c>
      <c r="L663" s="20" t="str">
        <f>VLOOKUP(B663,'товар'!$A$1:$C$433,3,FALSE)</f>
        <v>Green Garden</v>
      </c>
      <c r="M663" s="52">
        <f t="shared" si="4"/>
        <v>369.2</v>
      </c>
      <c r="N663" s="53">
        <f>VLOOKUP(H663,'клиенты'!$A$1:$F$435,5,FALSE)</f>
        <v>44689</v>
      </c>
      <c r="O663" s="20">
        <f t="shared" si="5"/>
        <v>604</v>
      </c>
      <c r="P663" s="20" t="str">
        <f>VLOOKUP(H663,'клиенты'!$A$2:$J$435,10,FALSE)</f>
        <v>Узбекистан</v>
      </c>
      <c r="Q663" s="54">
        <f t="shared" si="6"/>
        <v>46078.45901</v>
      </c>
      <c r="R663" s="55">
        <f t="shared" si="7"/>
        <v>46.31530039</v>
      </c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41">
        <v>663.0</v>
      </c>
      <c r="B664" s="41">
        <v>151.0</v>
      </c>
      <c r="C664" s="41">
        <v>496.0</v>
      </c>
      <c r="D664" s="41">
        <v>3.0</v>
      </c>
      <c r="E664" s="41">
        <f t="shared" si="1"/>
        <v>1488</v>
      </c>
      <c r="F664" s="42">
        <v>45181.0</v>
      </c>
      <c r="G664" s="41" t="s">
        <v>50</v>
      </c>
      <c r="H664" s="41">
        <v>436.0</v>
      </c>
      <c r="I664" s="41" t="str">
        <f>VLOOKUP(B664,'товар'!$A$1:$C$433,2,FALSE)</f>
        <v>Молоко</v>
      </c>
      <c r="J664" s="43">
        <f t="shared" si="2"/>
        <v>294.952381</v>
      </c>
      <c r="K664" s="44">
        <f t="shared" si="3"/>
        <v>0.6816273813</v>
      </c>
      <c r="L664" s="41" t="str">
        <f>VLOOKUP(B664,'товар'!$A$1:$C$433,3,FALSE)</f>
        <v>Беллакт</v>
      </c>
      <c r="M664" s="45">
        <f t="shared" si="4"/>
        <v>322.5454545</v>
      </c>
      <c r="N664" s="46">
        <f>VLOOKUP(H664,'клиенты'!$A$1:$F$435,5,FALSE)</f>
        <v>44683</v>
      </c>
      <c r="O664" s="41">
        <f t="shared" si="5"/>
        <v>498</v>
      </c>
      <c r="P664" s="41" t="str">
        <f>VLOOKUP(H664,'клиенты'!$A$2:$J$435,10,FALSE)</f>
        <v>Россия</v>
      </c>
      <c r="Q664" s="47">
        <f t="shared" si="6"/>
        <v>46078.45901</v>
      </c>
      <c r="R664" s="48">
        <f t="shared" si="7"/>
        <v>46.51530039</v>
      </c>
      <c r="S664" s="41"/>
      <c r="T664" s="41"/>
      <c r="U664" s="41"/>
      <c r="V664" s="41"/>
      <c r="W664" s="41"/>
      <c r="X664" s="41"/>
      <c r="Y664" s="41"/>
      <c r="Z664" s="41"/>
    </row>
    <row r="665" ht="14.25" customHeight="1">
      <c r="A665" s="20">
        <v>664.0</v>
      </c>
      <c r="B665" s="20">
        <v>386.0</v>
      </c>
      <c r="C665" s="20">
        <v>295.0</v>
      </c>
      <c r="D665" s="20">
        <v>3.0</v>
      </c>
      <c r="E665" s="20">
        <f t="shared" si="1"/>
        <v>885</v>
      </c>
      <c r="F665" s="49">
        <v>45194.0</v>
      </c>
      <c r="G665" s="20" t="s">
        <v>39</v>
      </c>
      <c r="H665" s="20">
        <v>25.0</v>
      </c>
      <c r="I665" s="20" t="str">
        <f>VLOOKUP(B665,'товар'!$A$1:$C$433,2,FALSE)</f>
        <v>Крупа</v>
      </c>
      <c r="J665" s="50">
        <f t="shared" si="2"/>
        <v>255.1162791</v>
      </c>
      <c r="K665" s="51">
        <f t="shared" si="3"/>
        <v>0.1563354603</v>
      </c>
      <c r="L665" s="20" t="str">
        <f>VLOOKUP(B665,'товар'!$A$1:$C$433,3,FALSE)</f>
        <v>Увелка</v>
      </c>
      <c r="M665" s="52">
        <f t="shared" si="4"/>
        <v>251.9166667</v>
      </c>
      <c r="N665" s="53">
        <f>VLOOKUP(H665,'клиенты'!$A$1:$F$435,5,FALSE)</f>
        <v>44582</v>
      </c>
      <c r="O665" s="20">
        <f t="shared" si="5"/>
        <v>612</v>
      </c>
      <c r="P665" s="20" t="str">
        <f>VLOOKUP(H665,'клиенты'!$A$2:$J$435,10,FALSE)</f>
        <v>Таджикистан</v>
      </c>
      <c r="Q665" s="54">
        <f t="shared" si="6"/>
        <v>46078.45901</v>
      </c>
      <c r="R665" s="55">
        <f t="shared" si="7"/>
        <v>49.88196706</v>
      </c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41">
        <v>665.0</v>
      </c>
      <c r="B666" s="41">
        <v>452.0</v>
      </c>
      <c r="C666" s="41">
        <v>226.0</v>
      </c>
      <c r="D666" s="41">
        <v>4.0</v>
      </c>
      <c r="E666" s="41">
        <f t="shared" si="1"/>
        <v>904</v>
      </c>
      <c r="F666" s="42">
        <v>45153.0</v>
      </c>
      <c r="G666" s="41" t="s">
        <v>40</v>
      </c>
      <c r="H666" s="41">
        <v>33.0</v>
      </c>
      <c r="I666" s="41" t="str">
        <f>VLOOKUP(B666,'товар'!$A$1:$C$433,2,FALSE)</f>
        <v>Фрукты</v>
      </c>
      <c r="J666" s="43">
        <f t="shared" si="2"/>
        <v>274.1627907</v>
      </c>
      <c r="K666" s="44">
        <f t="shared" si="3"/>
        <v>-0.1756722368</v>
      </c>
      <c r="L666" s="41" t="str">
        <f>VLOOKUP(B666,'товар'!$A$1:$C$433,3,FALSE)</f>
        <v>Экзотик</v>
      </c>
      <c r="M666" s="45">
        <f t="shared" si="4"/>
        <v>253.6875</v>
      </c>
      <c r="N666" s="46">
        <f>VLOOKUP(H666,'клиенты'!$A$1:$F$435,5,FALSE)</f>
        <v>44730</v>
      </c>
      <c r="O666" s="41">
        <f t="shared" si="5"/>
        <v>423</v>
      </c>
      <c r="P666" s="41" t="str">
        <f>VLOOKUP(H666,'клиенты'!$A$2:$J$435,10,FALSE)</f>
        <v>Россия</v>
      </c>
      <c r="Q666" s="47">
        <f t="shared" si="6"/>
        <v>46078.45901</v>
      </c>
      <c r="R666" s="48">
        <f t="shared" si="7"/>
        <v>44.94863373</v>
      </c>
      <c r="S666" s="41"/>
      <c r="T666" s="41"/>
      <c r="U666" s="41"/>
      <c r="V666" s="41"/>
      <c r="W666" s="41"/>
      <c r="X666" s="41"/>
      <c r="Y666" s="41"/>
      <c r="Z666" s="41"/>
    </row>
    <row r="667" ht="14.25" customHeight="1">
      <c r="A667" s="20">
        <v>666.0</v>
      </c>
      <c r="B667" s="20">
        <v>37.0</v>
      </c>
      <c r="C667" s="20">
        <v>411.0</v>
      </c>
      <c r="D667" s="20">
        <v>5.0</v>
      </c>
      <c r="E667" s="20">
        <f t="shared" si="1"/>
        <v>2055</v>
      </c>
      <c r="F667" s="49">
        <v>45140.0</v>
      </c>
      <c r="G667" s="20" t="s">
        <v>54</v>
      </c>
      <c r="H667" s="20">
        <v>7.0</v>
      </c>
      <c r="I667" s="20" t="str">
        <f>VLOOKUP(B667,'товар'!$A$1:$C$433,2,FALSE)</f>
        <v>Соль</v>
      </c>
      <c r="J667" s="50">
        <f t="shared" si="2"/>
        <v>264.8679245</v>
      </c>
      <c r="K667" s="51">
        <f t="shared" si="3"/>
        <v>0.5517167688</v>
      </c>
      <c r="L667" s="20" t="str">
        <f>VLOOKUP(B667,'товар'!$A$1:$C$433,3,FALSE)</f>
        <v>Илецкая</v>
      </c>
      <c r="M667" s="52">
        <f t="shared" si="4"/>
        <v>238.1666667</v>
      </c>
      <c r="N667" s="53">
        <f>VLOOKUP(H667,'клиенты'!$A$1:$F$435,5,FALSE)</f>
        <v>44893</v>
      </c>
      <c r="O667" s="20">
        <f t="shared" si="5"/>
        <v>247</v>
      </c>
      <c r="P667" s="20" t="str">
        <f>VLOOKUP(H667,'клиенты'!$A$2:$J$435,10,FALSE)</f>
        <v>Россия</v>
      </c>
      <c r="Q667" s="54">
        <f t="shared" si="6"/>
        <v>46078.45901</v>
      </c>
      <c r="R667" s="55">
        <f t="shared" si="7"/>
        <v>39.51530039</v>
      </c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41">
        <v>667.0</v>
      </c>
      <c r="B668" s="41">
        <v>27.0</v>
      </c>
      <c r="C668" s="41">
        <v>301.0</v>
      </c>
      <c r="D668" s="41">
        <v>1.0</v>
      </c>
      <c r="E668" s="41">
        <f t="shared" si="1"/>
        <v>301</v>
      </c>
      <c r="F668" s="42">
        <v>44931.0</v>
      </c>
      <c r="G668" s="41" t="s">
        <v>50</v>
      </c>
      <c r="H668" s="41">
        <v>494.0</v>
      </c>
      <c r="I668" s="41" t="str">
        <f>VLOOKUP(B668,'товар'!$A$1:$C$433,2,FALSE)</f>
        <v>Макароны</v>
      </c>
      <c r="J668" s="43">
        <f t="shared" si="2"/>
        <v>265.4767442</v>
      </c>
      <c r="K668" s="44">
        <f t="shared" si="3"/>
        <v>0.1338092944</v>
      </c>
      <c r="L668" s="41" t="str">
        <f>VLOOKUP(B668,'товар'!$A$1:$C$433,3,FALSE)</f>
        <v>Паста Зара</v>
      </c>
      <c r="M668" s="45">
        <f t="shared" si="4"/>
        <v>276.6756757</v>
      </c>
      <c r="N668" s="46">
        <f>VLOOKUP(H668,'клиенты'!$A$1:$F$435,5,FALSE)</f>
        <v>44738</v>
      </c>
      <c r="O668" s="41">
        <f t="shared" si="5"/>
        <v>193</v>
      </c>
      <c r="P668" s="41" t="str">
        <f>VLOOKUP(H668,'клиенты'!$A$2:$J$435,10,FALSE)</f>
        <v>Беларусь</v>
      </c>
      <c r="Q668" s="47">
        <f t="shared" si="6"/>
        <v>46078.45901</v>
      </c>
      <c r="R668" s="48">
        <f t="shared" si="7"/>
        <v>44.68196706</v>
      </c>
      <c r="S668" s="41"/>
      <c r="T668" s="41"/>
      <c r="U668" s="41"/>
      <c r="V668" s="41"/>
      <c r="W668" s="41"/>
      <c r="X668" s="41"/>
      <c r="Y668" s="41"/>
      <c r="Z668" s="41"/>
    </row>
    <row r="669" ht="14.25" customHeight="1">
      <c r="A669" s="20">
        <v>668.0</v>
      </c>
      <c r="B669" s="20">
        <v>435.0</v>
      </c>
      <c r="C669" s="20">
        <v>452.0</v>
      </c>
      <c r="D669" s="20">
        <v>4.0</v>
      </c>
      <c r="E669" s="20">
        <f t="shared" si="1"/>
        <v>1808</v>
      </c>
      <c r="F669" s="49">
        <v>44927.0</v>
      </c>
      <c r="G669" s="20" t="s">
        <v>43</v>
      </c>
      <c r="H669" s="20">
        <v>420.0</v>
      </c>
      <c r="I669" s="20" t="str">
        <f>VLOOKUP(B669,'товар'!$A$1:$C$433,2,FALSE)</f>
        <v>Мясо</v>
      </c>
      <c r="J669" s="50">
        <f t="shared" si="2"/>
        <v>271.7454545</v>
      </c>
      <c r="K669" s="51">
        <f t="shared" si="3"/>
        <v>0.66332129</v>
      </c>
      <c r="L669" s="20" t="str">
        <f>VLOOKUP(B669,'товар'!$A$1:$C$433,3,FALSE)</f>
        <v>Снежана</v>
      </c>
      <c r="M669" s="52">
        <f t="shared" si="4"/>
        <v>272.3529412</v>
      </c>
      <c r="N669" s="53">
        <f>VLOOKUP(H669,'клиенты'!$A$1:$F$435,5,FALSE)</f>
        <v>44698</v>
      </c>
      <c r="O669" s="20">
        <f t="shared" si="5"/>
        <v>229</v>
      </c>
      <c r="P669" s="20" t="str">
        <f>VLOOKUP(H669,'клиенты'!$A$2:$J$435,10,FALSE)</f>
        <v>Украина</v>
      </c>
      <c r="Q669" s="54">
        <f t="shared" si="6"/>
        <v>46078.45901</v>
      </c>
      <c r="R669" s="55">
        <f t="shared" si="7"/>
        <v>46.01530039</v>
      </c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41">
        <v>669.0</v>
      </c>
      <c r="B670" s="41">
        <v>101.0</v>
      </c>
      <c r="C670" s="41">
        <v>293.0</v>
      </c>
      <c r="D670" s="41">
        <v>1.0</v>
      </c>
      <c r="E670" s="41">
        <f t="shared" si="1"/>
        <v>293</v>
      </c>
      <c r="F670" s="42">
        <v>45165.0</v>
      </c>
      <c r="G670" s="41" t="s">
        <v>50</v>
      </c>
      <c r="H670" s="41">
        <v>75.0</v>
      </c>
      <c r="I670" s="41" t="str">
        <f>VLOOKUP(B670,'товар'!$A$1:$C$433,2,FALSE)</f>
        <v>Чай</v>
      </c>
      <c r="J670" s="43">
        <f t="shared" si="2"/>
        <v>271.1818182</v>
      </c>
      <c r="K670" s="44">
        <f t="shared" si="3"/>
        <v>0.08045591686</v>
      </c>
      <c r="L670" s="41" t="str">
        <f>VLOOKUP(B670,'товар'!$A$1:$C$433,3,FALSE)</f>
        <v>Ахмад</v>
      </c>
      <c r="M670" s="45">
        <f t="shared" si="4"/>
        <v>243.3</v>
      </c>
      <c r="N670" s="46">
        <f>VLOOKUP(H670,'клиенты'!$A$1:$F$435,5,FALSE)</f>
        <v>44796</v>
      </c>
      <c r="O670" s="41">
        <f t="shared" si="5"/>
        <v>369</v>
      </c>
      <c r="P670" s="41" t="str">
        <f>VLOOKUP(H670,'клиенты'!$A$2:$J$435,10,FALSE)</f>
        <v>Украина</v>
      </c>
      <c r="Q670" s="47">
        <f t="shared" si="6"/>
        <v>46078.45901</v>
      </c>
      <c r="R670" s="48">
        <f t="shared" si="7"/>
        <v>42.74863373</v>
      </c>
      <c r="S670" s="41"/>
      <c r="T670" s="41"/>
      <c r="U670" s="41"/>
      <c r="V670" s="41"/>
      <c r="W670" s="41"/>
      <c r="X670" s="41"/>
      <c r="Y670" s="41"/>
      <c r="Z670" s="41"/>
    </row>
    <row r="671" ht="14.25" customHeight="1">
      <c r="A671" s="20">
        <v>670.0</v>
      </c>
      <c r="B671" s="20">
        <v>423.0</v>
      </c>
      <c r="C671" s="20">
        <v>382.0</v>
      </c>
      <c r="D671" s="20">
        <v>2.0</v>
      </c>
      <c r="E671" s="20">
        <f t="shared" si="1"/>
        <v>764</v>
      </c>
      <c r="F671" s="49">
        <v>45283.0</v>
      </c>
      <c r="G671" s="20" t="s">
        <v>51</v>
      </c>
      <c r="H671" s="20">
        <v>83.0</v>
      </c>
      <c r="I671" s="20" t="str">
        <f>VLOOKUP(B671,'товар'!$A$1:$C$433,2,FALSE)</f>
        <v>Чипсы</v>
      </c>
      <c r="J671" s="50">
        <f t="shared" si="2"/>
        <v>273.7254902</v>
      </c>
      <c r="K671" s="51">
        <f t="shared" si="3"/>
        <v>0.3955587393</v>
      </c>
      <c r="L671" s="20" t="str">
        <f>VLOOKUP(B671,'товар'!$A$1:$C$433,3,FALSE)</f>
        <v>Pringles</v>
      </c>
      <c r="M671" s="52">
        <f t="shared" si="4"/>
        <v>280.2380952</v>
      </c>
      <c r="N671" s="53">
        <f>VLOOKUP(H671,'клиенты'!$A$1:$F$435,5,FALSE)</f>
        <v>44739</v>
      </c>
      <c r="O671" s="20">
        <f t="shared" si="5"/>
        <v>544</v>
      </c>
      <c r="P671" s="20" t="str">
        <f>VLOOKUP(H671,'клиенты'!$A$2:$J$435,10,FALSE)</f>
        <v>Таджикистан</v>
      </c>
      <c r="Q671" s="54">
        <f t="shared" si="6"/>
        <v>46078.45901</v>
      </c>
      <c r="R671" s="55">
        <f t="shared" si="7"/>
        <v>44.64863373</v>
      </c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41">
        <v>671.0</v>
      </c>
      <c r="B672" s="41">
        <v>411.0</v>
      </c>
      <c r="C672" s="41">
        <v>158.0</v>
      </c>
      <c r="D672" s="41">
        <v>3.0</v>
      </c>
      <c r="E672" s="41">
        <f t="shared" si="1"/>
        <v>474</v>
      </c>
      <c r="F672" s="42">
        <v>45070.0</v>
      </c>
      <c r="G672" s="41" t="s">
        <v>51</v>
      </c>
      <c r="H672" s="41">
        <v>109.0</v>
      </c>
      <c r="I672" s="41" t="str">
        <f>VLOOKUP(B672,'товар'!$A$1:$C$433,2,FALSE)</f>
        <v>Хлеб</v>
      </c>
      <c r="J672" s="43">
        <f t="shared" si="2"/>
        <v>300.3181818</v>
      </c>
      <c r="K672" s="44">
        <f t="shared" si="3"/>
        <v>-0.4738913274</v>
      </c>
      <c r="L672" s="41" t="str">
        <f>VLOOKUP(B672,'товар'!$A$1:$C$433,3,FALSE)</f>
        <v>Хлебный Дом</v>
      </c>
      <c r="M672" s="45">
        <f t="shared" si="4"/>
        <v>281.7333333</v>
      </c>
      <c r="N672" s="46">
        <f>VLOOKUP(H672,'клиенты'!$A$1:$F$435,5,FALSE)</f>
        <v>44732</v>
      </c>
      <c r="O672" s="41">
        <f t="shared" si="5"/>
        <v>338</v>
      </c>
      <c r="P672" s="41" t="str">
        <f>VLOOKUP(H672,'клиенты'!$A$2:$J$435,10,FALSE)</f>
        <v>Украина</v>
      </c>
      <c r="Q672" s="47">
        <f t="shared" si="6"/>
        <v>46078.45901</v>
      </c>
      <c r="R672" s="48">
        <f t="shared" si="7"/>
        <v>44.88196706</v>
      </c>
      <c r="S672" s="41"/>
      <c r="T672" s="41"/>
      <c r="U672" s="41"/>
      <c r="V672" s="41"/>
      <c r="W672" s="41"/>
      <c r="X672" s="41"/>
      <c r="Y672" s="41"/>
      <c r="Z672" s="41"/>
    </row>
    <row r="673" ht="14.25" customHeight="1">
      <c r="A673" s="20">
        <v>672.0</v>
      </c>
      <c r="B673" s="20">
        <v>381.0</v>
      </c>
      <c r="C673" s="20">
        <v>296.0</v>
      </c>
      <c r="D673" s="20">
        <v>4.0</v>
      </c>
      <c r="E673" s="20">
        <f t="shared" si="1"/>
        <v>1184</v>
      </c>
      <c r="F673" s="49">
        <v>45106.0</v>
      </c>
      <c r="G673" s="20" t="s">
        <v>38</v>
      </c>
      <c r="H673" s="20">
        <v>465.0</v>
      </c>
      <c r="I673" s="20" t="str">
        <f>VLOOKUP(B673,'товар'!$A$1:$C$433,2,FALSE)</f>
        <v>Рыба</v>
      </c>
      <c r="J673" s="50">
        <f t="shared" si="2"/>
        <v>258.5128205</v>
      </c>
      <c r="K673" s="51">
        <f t="shared" si="3"/>
        <v>0.1450109105</v>
      </c>
      <c r="L673" s="20" t="str">
        <f>VLOOKUP(B673,'товар'!$A$1:$C$433,3,FALSE)</f>
        <v>Русское море</v>
      </c>
      <c r="M673" s="52">
        <f t="shared" si="4"/>
        <v>292.6666667</v>
      </c>
      <c r="N673" s="53">
        <f>VLOOKUP(H673,'клиенты'!$A$1:$F$435,5,FALSE)</f>
        <v>44671</v>
      </c>
      <c r="O673" s="20">
        <f t="shared" si="5"/>
        <v>435</v>
      </c>
      <c r="P673" s="20" t="str">
        <f>VLOOKUP(H673,'клиенты'!$A$2:$J$435,10,FALSE)</f>
        <v>Узбекистан</v>
      </c>
      <c r="Q673" s="54">
        <f t="shared" si="6"/>
        <v>46078.45901</v>
      </c>
      <c r="R673" s="55">
        <f t="shared" si="7"/>
        <v>46.91530039</v>
      </c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41">
        <v>673.0</v>
      </c>
      <c r="B674" s="41">
        <v>400.0</v>
      </c>
      <c r="C674" s="41">
        <v>345.0</v>
      </c>
      <c r="D674" s="41">
        <v>2.0</v>
      </c>
      <c r="E674" s="41">
        <f t="shared" si="1"/>
        <v>690</v>
      </c>
      <c r="F674" s="42">
        <v>45143.0</v>
      </c>
      <c r="G674" s="41" t="s">
        <v>50</v>
      </c>
      <c r="H674" s="41">
        <v>18.0</v>
      </c>
      <c r="I674" s="41" t="str">
        <f>VLOOKUP(B674,'товар'!$A$1:$C$433,2,FALSE)</f>
        <v>Молоко</v>
      </c>
      <c r="J674" s="43">
        <f t="shared" si="2"/>
        <v>294.952381</v>
      </c>
      <c r="K674" s="44">
        <f t="shared" si="3"/>
        <v>0.1696803358</v>
      </c>
      <c r="L674" s="41" t="str">
        <f>VLOOKUP(B674,'товар'!$A$1:$C$433,3,FALSE)</f>
        <v>Беллакт</v>
      </c>
      <c r="M674" s="45">
        <f t="shared" si="4"/>
        <v>322.5454545</v>
      </c>
      <c r="N674" s="46">
        <f>VLOOKUP(H674,'клиенты'!$A$1:$F$435,5,FALSE)</f>
        <v>44578</v>
      </c>
      <c r="O674" s="41">
        <f t="shared" si="5"/>
        <v>565</v>
      </c>
      <c r="P674" s="41" t="str">
        <f>VLOOKUP(H674,'клиенты'!$A$2:$J$435,10,FALSE)</f>
        <v>Украина</v>
      </c>
      <c r="Q674" s="47">
        <f t="shared" si="6"/>
        <v>46078.45901</v>
      </c>
      <c r="R674" s="48">
        <f t="shared" si="7"/>
        <v>50.01530039</v>
      </c>
      <c r="S674" s="41"/>
      <c r="T674" s="41"/>
      <c r="U674" s="41"/>
      <c r="V674" s="41"/>
      <c r="W674" s="41"/>
      <c r="X674" s="41"/>
      <c r="Y674" s="41"/>
      <c r="Z674" s="41"/>
    </row>
    <row r="675" ht="14.25" customHeight="1">
      <c r="A675" s="20">
        <v>674.0</v>
      </c>
      <c r="B675" s="20">
        <v>389.0</v>
      </c>
      <c r="C675" s="20">
        <v>155.0</v>
      </c>
      <c r="D675" s="20">
        <v>4.0</v>
      </c>
      <c r="E675" s="20">
        <f t="shared" si="1"/>
        <v>620</v>
      </c>
      <c r="F675" s="49">
        <v>45412.0</v>
      </c>
      <c r="G675" s="20" t="s">
        <v>40</v>
      </c>
      <c r="H675" s="20">
        <v>376.0</v>
      </c>
      <c r="I675" s="20" t="str">
        <f>VLOOKUP(B675,'товар'!$A$1:$C$433,2,FALSE)</f>
        <v>Чай</v>
      </c>
      <c r="J675" s="50">
        <f t="shared" si="2"/>
        <v>271.1818182</v>
      </c>
      <c r="K675" s="51">
        <f t="shared" si="3"/>
        <v>-0.4284277573</v>
      </c>
      <c r="L675" s="20" t="str">
        <f>VLOOKUP(B675,'товар'!$A$1:$C$433,3,FALSE)</f>
        <v>Ахмад</v>
      </c>
      <c r="M675" s="52">
        <f t="shared" si="4"/>
        <v>243.3</v>
      </c>
      <c r="N675" s="53">
        <f>VLOOKUP(H675,'клиенты'!$A$1:$F$435,5,FALSE)</f>
        <v>44730</v>
      </c>
      <c r="O675" s="20">
        <f t="shared" si="5"/>
        <v>682</v>
      </c>
      <c r="P675" s="20" t="str">
        <f>VLOOKUP(H675,'клиенты'!$A$2:$J$435,10,FALSE)</f>
        <v>Беларусь</v>
      </c>
      <c r="Q675" s="54">
        <f t="shared" si="6"/>
        <v>46078.45901</v>
      </c>
      <c r="R675" s="55">
        <f t="shared" si="7"/>
        <v>44.94863373</v>
      </c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41">
        <v>675.0</v>
      </c>
      <c r="B676" s="41">
        <v>227.0</v>
      </c>
      <c r="C676" s="41">
        <v>300.0</v>
      </c>
      <c r="D676" s="41">
        <v>4.0</v>
      </c>
      <c r="E676" s="41">
        <f t="shared" si="1"/>
        <v>1200</v>
      </c>
      <c r="F676" s="42">
        <v>44991.0</v>
      </c>
      <c r="G676" s="41" t="s">
        <v>51</v>
      </c>
      <c r="H676" s="41">
        <v>88.0</v>
      </c>
      <c r="I676" s="41" t="str">
        <f>VLOOKUP(B676,'товар'!$A$1:$C$433,2,FALSE)</f>
        <v>Макароны</v>
      </c>
      <c r="J676" s="43">
        <f t="shared" si="2"/>
        <v>265.4767442</v>
      </c>
      <c r="K676" s="44">
        <f t="shared" si="3"/>
        <v>0.1300424861</v>
      </c>
      <c r="L676" s="41" t="str">
        <f>VLOOKUP(B676,'товар'!$A$1:$C$433,3,FALSE)</f>
        <v>Макфа</v>
      </c>
      <c r="M676" s="45">
        <f t="shared" si="4"/>
        <v>329.2727273</v>
      </c>
      <c r="N676" s="46">
        <f>VLOOKUP(H676,'клиенты'!$A$1:$F$435,5,FALSE)</f>
        <v>44630</v>
      </c>
      <c r="O676" s="41">
        <f t="shared" si="5"/>
        <v>361</v>
      </c>
      <c r="P676" s="41" t="str">
        <f>VLOOKUP(H676,'клиенты'!$A$2:$J$435,10,FALSE)</f>
        <v>Украина</v>
      </c>
      <c r="Q676" s="47">
        <f t="shared" si="6"/>
        <v>46078.45901</v>
      </c>
      <c r="R676" s="48">
        <f t="shared" si="7"/>
        <v>48.28196706</v>
      </c>
      <c r="S676" s="41"/>
      <c r="T676" s="41"/>
      <c r="U676" s="41"/>
      <c r="V676" s="41"/>
      <c r="W676" s="41"/>
      <c r="X676" s="41"/>
      <c r="Y676" s="41"/>
      <c r="Z676" s="41"/>
    </row>
    <row r="677" ht="14.25" customHeight="1">
      <c r="A677" s="20">
        <v>676.0</v>
      </c>
      <c r="B677" s="20">
        <v>243.0</v>
      </c>
      <c r="C677" s="20">
        <v>371.0</v>
      </c>
      <c r="D677" s="20">
        <v>3.0</v>
      </c>
      <c r="E677" s="20">
        <f t="shared" si="1"/>
        <v>1113</v>
      </c>
      <c r="F677" s="49">
        <v>45081.0</v>
      </c>
      <c r="G677" s="20" t="s">
        <v>46</v>
      </c>
      <c r="H677" s="20">
        <v>352.0</v>
      </c>
      <c r="I677" s="20" t="str">
        <f>VLOOKUP(B677,'товар'!$A$1:$C$433,2,FALSE)</f>
        <v>Рис</v>
      </c>
      <c r="J677" s="50">
        <f t="shared" si="2"/>
        <v>258.375</v>
      </c>
      <c r="K677" s="51">
        <f t="shared" si="3"/>
        <v>0.4358974359</v>
      </c>
      <c r="L677" s="20" t="str">
        <f>VLOOKUP(B677,'товар'!$A$1:$C$433,3,FALSE)</f>
        <v>Белый Злат</v>
      </c>
      <c r="M677" s="52">
        <f t="shared" si="4"/>
        <v>269.7058824</v>
      </c>
      <c r="N677" s="53">
        <f>VLOOKUP(H677,'клиенты'!$A$1:$F$435,5,FALSE)</f>
        <v>44573</v>
      </c>
      <c r="O677" s="20">
        <f t="shared" si="5"/>
        <v>508</v>
      </c>
      <c r="P677" s="20" t="str">
        <f>VLOOKUP(H677,'клиенты'!$A$2:$J$435,10,FALSE)</f>
        <v>Россия</v>
      </c>
      <c r="Q677" s="54">
        <f t="shared" si="6"/>
        <v>46078.45901</v>
      </c>
      <c r="R677" s="55">
        <f t="shared" si="7"/>
        <v>50.18196706</v>
      </c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41">
        <v>677.0</v>
      </c>
      <c r="B678" s="41">
        <v>187.0</v>
      </c>
      <c r="C678" s="41">
        <v>273.0</v>
      </c>
      <c r="D678" s="41">
        <v>3.0</v>
      </c>
      <c r="E678" s="41">
        <f t="shared" si="1"/>
        <v>819</v>
      </c>
      <c r="F678" s="42">
        <v>44980.0</v>
      </c>
      <c r="G678" s="41" t="s">
        <v>49</v>
      </c>
      <c r="H678" s="41">
        <v>452.0</v>
      </c>
      <c r="I678" s="41" t="str">
        <f>VLOOKUP(B678,'товар'!$A$1:$C$433,2,FALSE)</f>
        <v>Макароны</v>
      </c>
      <c r="J678" s="43">
        <f t="shared" si="2"/>
        <v>265.4767442</v>
      </c>
      <c r="K678" s="44">
        <f t="shared" si="3"/>
        <v>0.02833866235</v>
      </c>
      <c r="L678" s="41" t="str">
        <f>VLOOKUP(B678,'товар'!$A$1:$C$433,3,FALSE)</f>
        <v>Паста Зара</v>
      </c>
      <c r="M678" s="45">
        <f t="shared" si="4"/>
        <v>276.6756757</v>
      </c>
      <c r="N678" s="46">
        <f>VLOOKUP(H678,'клиенты'!$A$1:$F$435,5,FALSE)</f>
        <v>44769</v>
      </c>
      <c r="O678" s="41">
        <f t="shared" si="5"/>
        <v>211</v>
      </c>
      <c r="P678" s="41" t="str">
        <f>VLOOKUP(H678,'клиенты'!$A$2:$J$435,10,FALSE)</f>
        <v>Россия</v>
      </c>
      <c r="Q678" s="47">
        <f t="shared" si="6"/>
        <v>46078.45901</v>
      </c>
      <c r="R678" s="48">
        <f t="shared" si="7"/>
        <v>43.64863373</v>
      </c>
      <c r="S678" s="41"/>
      <c r="T678" s="41"/>
      <c r="U678" s="41"/>
      <c r="V678" s="41"/>
      <c r="W678" s="41"/>
      <c r="X678" s="41"/>
      <c r="Y678" s="41"/>
      <c r="Z678" s="41"/>
    </row>
    <row r="679" ht="14.25" customHeight="1">
      <c r="A679" s="20">
        <v>678.0</v>
      </c>
      <c r="B679" s="20">
        <v>441.0</v>
      </c>
      <c r="C679" s="20">
        <v>147.0</v>
      </c>
      <c r="D679" s="20">
        <v>3.0</v>
      </c>
      <c r="E679" s="20">
        <f t="shared" si="1"/>
        <v>441</v>
      </c>
      <c r="F679" s="49">
        <v>45117.0</v>
      </c>
      <c r="G679" s="20" t="s">
        <v>48</v>
      </c>
      <c r="H679" s="20">
        <v>449.0</v>
      </c>
      <c r="I679" s="20" t="str">
        <f>VLOOKUP(B679,'товар'!$A$1:$C$433,2,FALSE)</f>
        <v>Чай</v>
      </c>
      <c r="J679" s="50">
        <f t="shared" si="2"/>
        <v>271.1818182</v>
      </c>
      <c r="K679" s="51">
        <f t="shared" si="3"/>
        <v>-0.4579282601</v>
      </c>
      <c r="L679" s="20" t="str">
        <f>VLOOKUP(B679,'товар'!$A$1:$C$433,3,FALSE)</f>
        <v>Lipton</v>
      </c>
      <c r="M679" s="52">
        <f t="shared" si="4"/>
        <v>260.1578947</v>
      </c>
      <c r="N679" s="53">
        <f>VLOOKUP(H679,'клиенты'!$A$1:$F$435,5,FALSE)</f>
        <v>44645</v>
      </c>
      <c r="O679" s="20">
        <f t="shared" si="5"/>
        <v>472</v>
      </c>
      <c r="P679" s="20" t="str">
        <f>VLOOKUP(H679,'клиенты'!$A$2:$J$435,10,FALSE)</f>
        <v>Таджикистан</v>
      </c>
      <c r="Q679" s="54">
        <f t="shared" si="6"/>
        <v>46078.45901</v>
      </c>
      <c r="R679" s="55">
        <f t="shared" si="7"/>
        <v>47.78196706</v>
      </c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41">
        <v>679.0</v>
      </c>
      <c r="B680" s="41">
        <v>446.0</v>
      </c>
      <c r="C680" s="41">
        <v>440.0</v>
      </c>
      <c r="D680" s="41">
        <v>5.0</v>
      </c>
      <c r="E680" s="41">
        <f t="shared" si="1"/>
        <v>2200</v>
      </c>
      <c r="F680" s="42">
        <v>45394.0</v>
      </c>
      <c r="G680" s="41" t="s">
        <v>49</v>
      </c>
      <c r="H680" s="41">
        <v>197.0</v>
      </c>
      <c r="I680" s="41" t="str">
        <f>VLOOKUP(B680,'товар'!$A$1:$C$433,2,FALSE)</f>
        <v>Чипсы</v>
      </c>
      <c r="J680" s="43">
        <f t="shared" si="2"/>
        <v>273.7254902</v>
      </c>
      <c r="K680" s="44">
        <f t="shared" si="3"/>
        <v>0.6074498567</v>
      </c>
      <c r="L680" s="41" t="str">
        <f>VLOOKUP(B680,'товар'!$A$1:$C$433,3,FALSE)</f>
        <v>Lay's</v>
      </c>
      <c r="M680" s="45">
        <f t="shared" si="4"/>
        <v>320.5714286</v>
      </c>
      <c r="N680" s="46">
        <f>VLOOKUP(H680,'клиенты'!$A$1:$F$435,5,FALSE)</f>
        <v>44785</v>
      </c>
      <c r="O680" s="41">
        <f t="shared" si="5"/>
        <v>609</v>
      </c>
      <c r="P680" s="41" t="str">
        <f>VLOOKUP(H680,'клиенты'!$A$2:$J$435,10,FALSE)</f>
        <v>Украина</v>
      </c>
      <c r="Q680" s="47">
        <f t="shared" si="6"/>
        <v>46078.45901</v>
      </c>
      <c r="R680" s="48">
        <f t="shared" si="7"/>
        <v>43.11530039</v>
      </c>
      <c r="S680" s="41"/>
      <c r="T680" s="41"/>
      <c r="U680" s="41"/>
      <c r="V680" s="41"/>
      <c r="W680" s="41"/>
      <c r="X680" s="41"/>
      <c r="Y680" s="41"/>
      <c r="Z680" s="41"/>
    </row>
    <row r="681" ht="14.25" customHeight="1">
      <c r="A681" s="20">
        <v>680.0</v>
      </c>
      <c r="B681" s="20">
        <v>55.0</v>
      </c>
      <c r="C681" s="20">
        <v>227.0</v>
      </c>
      <c r="D681" s="20">
        <v>4.0</v>
      </c>
      <c r="E681" s="20">
        <f t="shared" si="1"/>
        <v>908</v>
      </c>
      <c r="F681" s="49">
        <v>45338.0</v>
      </c>
      <c r="G681" s="20" t="s">
        <v>45</v>
      </c>
      <c r="H681" s="20">
        <v>70.0</v>
      </c>
      <c r="I681" s="20" t="str">
        <f>VLOOKUP(B681,'товар'!$A$1:$C$433,2,FALSE)</f>
        <v>Крупа</v>
      </c>
      <c r="J681" s="50">
        <f t="shared" si="2"/>
        <v>255.1162791</v>
      </c>
      <c r="K681" s="51">
        <f t="shared" si="3"/>
        <v>-0.1102096627</v>
      </c>
      <c r="L681" s="20" t="str">
        <f>VLOOKUP(B681,'товар'!$A$1:$C$433,3,FALSE)</f>
        <v>Националь</v>
      </c>
      <c r="M681" s="52">
        <f t="shared" si="4"/>
        <v>274.2857143</v>
      </c>
      <c r="N681" s="53">
        <f>VLOOKUP(H681,'клиенты'!$A$1:$F$435,5,FALSE)</f>
        <v>44591</v>
      </c>
      <c r="O681" s="20">
        <f t="shared" si="5"/>
        <v>747</v>
      </c>
      <c r="P681" s="20" t="str">
        <f>VLOOKUP(H681,'клиенты'!$A$2:$J$435,10,FALSE)</f>
        <v>Украина</v>
      </c>
      <c r="Q681" s="54">
        <f t="shared" si="6"/>
        <v>46078.45901</v>
      </c>
      <c r="R681" s="55">
        <f t="shared" si="7"/>
        <v>49.58196706</v>
      </c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41">
        <v>681.0</v>
      </c>
      <c r="B682" s="41">
        <v>27.0</v>
      </c>
      <c r="C682" s="41">
        <v>415.0</v>
      </c>
      <c r="D682" s="41">
        <v>4.0</v>
      </c>
      <c r="E682" s="41">
        <f t="shared" si="1"/>
        <v>1660</v>
      </c>
      <c r="F682" s="42">
        <v>45229.0</v>
      </c>
      <c r="G682" s="41" t="s">
        <v>36</v>
      </c>
      <c r="H682" s="41">
        <v>345.0</v>
      </c>
      <c r="I682" s="41" t="str">
        <f>VLOOKUP(B682,'товар'!$A$1:$C$433,2,FALSE)</f>
        <v>Макароны</v>
      </c>
      <c r="J682" s="43">
        <f t="shared" si="2"/>
        <v>265.4767442</v>
      </c>
      <c r="K682" s="44">
        <f t="shared" si="3"/>
        <v>0.5632254391</v>
      </c>
      <c r="L682" s="41" t="str">
        <f>VLOOKUP(B682,'товар'!$A$1:$C$433,3,FALSE)</f>
        <v>Паста Зара</v>
      </c>
      <c r="M682" s="45">
        <f t="shared" si="4"/>
        <v>276.6756757</v>
      </c>
      <c r="N682" s="46">
        <f>VLOOKUP(H682,'клиенты'!$A$1:$F$435,5,FALSE)</f>
        <v>44705</v>
      </c>
      <c r="O682" s="41">
        <f t="shared" si="5"/>
        <v>524</v>
      </c>
      <c r="P682" s="41" t="str">
        <f>VLOOKUP(H682,'клиенты'!$A$2:$J$435,10,FALSE)</f>
        <v>Беларусь</v>
      </c>
      <c r="Q682" s="47">
        <f t="shared" si="6"/>
        <v>46078.45901</v>
      </c>
      <c r="R682" s="48">
        <f t="shared" si="7"/>
        <v>45.78196706</v>
      </c>
      <c r="S682" s="41"/>
      <c r="T682" s="41"/>
      <c r="U682" s="41"/>
      <c r="V682" s="41"/>
      <c r="W682" s="41"/>
      <c r="X682" s="41"/>
      <c r="Y682" s="41"/>
      <c r="Z682" s="41"/>
    </row>
    <row r="683" ht="14.25" customHeight="1">
      <c r="A683" s="20">
        <v>682.0</v>
      </c>
      <c r="B683" s="20">
        <v>110.0</v>
      </c>
      <c r="C683" s="20">
        <v>84.0</v>
      </c>
      <c r="D683" s="20">
        <v>5.0</v>
      </c>
      <c r="E683" s="20">
        <f t="shared" si="1"/>
        <v>420</v>
      </c>
      <c r="F683" s="49">
        <v>45029.0</v>
      </c>
      <c r="G683" s="20" t="s">
        <v>43</v>
      </c>
      <c r="H683" s="20">
        <v>225.0</v>
      </c>
      <c r="I683" s="20" t="str">
        <f>VLOOKUP(B683,'товар'!$A$1:$C$433,2,FALSE)</f>
        <v>Макароны</v>
      </c>
      <c r="J683" s="50">
        <f t="shared" si="2"/>
        <v>265.4767442</v>
      </c>
      <c r="K683" s="51">
        <f t="shared" si="3"/>
        <v>-0.6835881039</v>
      </c>
      <c r="L683" s="20" t="str">
        <f>VLOOKUP(B683,'товар'!$A$1:$C$433,3,FALSE)</f>
        <v>Паста Зара</v>
      </c>
      <c r="M683" s="52">
        <f t="shared" si="4"/>
        <v>276.6756757</v>
      </c>
      <c r="N683" s="53">
        <f>VLOOKUP(H683,'клиенты'!$A$1:$F$435,5,FALSE)</f>
        <v>44827</v>
      </c>
      <c r="O683" s="20">
        <f t="shared" si="5"/>
        <v>202</v>
      </c>
      <c r="P683" s="20" t="str">
        <f>VLOOKUP(H683,'клиенты'!$A$2:$J$435,10,FALSE)</f>
        <v>Беларусь</v>
      </c>
      <c r="Q683" s="54">
        <f t="shared" si="6"/>
        <v>46078.45901</v>
      </c>
      <c r="R683" s="55">
        <f t="shared" si="7"/>
        <v>41.71530039</v>
      </c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41">
        <v>683.0</v>
      </c>
      <c r="B684" s="41">
        <v>196.0</v>
      </c>
      <c r="C684" s="41">
        <v>196.0</v>
      </c>
      <c r="D684" s="41">
        <v>4.0</v>
      </c>
      <c r="E684" s="41">
        <f t="shared" si="1"/>
        <v>784</v>
      </c>
      <c r="F684" s="42">
        <v>44944.0</v>
      </c>
      <c r="G684" s="41" t="s">
        <v>54</v>
      </c>
      <c r="H684" s="41">
        <v>8.0</v>
      </c>
      <c r="I684" s="41" t="str">
        <f>VLOOKUP(B684,'товар'!$A$1:$C$433,2,FALSE)</f>
        <v>Конфеты</v>
      </c>
      <c r="J684" s="43">
        <f t="shared" si="2"/>
        <v>267.8548387</v>
      </c>
      <c r="K684" s="44">
        <f t="shared" si="3"/>
        <v>-0.2682603721</v>
      </c>
      <c r="L684" s="41" t="str">
        <f>VLOOKUP(B684,'товар'!$A$1:$C$433,3,FALSE)</f>
        <v>Рот Фронт</v>
      </c>
      <c r="M684" s="45">
        <f t="shared" si="4"/>
        <v>288.2380952</v>
      </c>
      <c r="N684" s="46">
        <f>VLOOKUP(H684,'клиенты'!$A$1:$F$435,5,FALSE)</f>
        <v>44883</v>
      </c>
      <c r="O684" s="41">
        <f t="shared" si="5"/>
        <v>61</v>
      </c>
      <c r="P684" s="41" t="str">
        <f>VLOOKUP(H684,'клиенты'!$A$2:$J$435,10,FALSE)</f>
        <v>Беларусь</v>
      </c>
      <c r="Q684" s="47">
        <f t="shared" si="6"/>
        <v>46078.45901</v>
      </c>
      <c r="R684" s="48">
        <f t="shared" si="7"/>
        <v>39.84863373</v>
      </c>
      <c r="S684" s="41"/>
      <c r="T684" s="41"/>
      <c r="U684" s="41"/>
      <c r="V684" s="41"/>
      <c r="W684" s="41"/>
      <c r="X684" s="41"/>
      <c r="Y684" s="41"/>
      <c r="Z684" s="41"/>
    </row>
    <row r="685" ht="14.25" customHeight="1">
      <c r="A685" s="20">
        <v>684.0</v>
      </c>
      <c r="B685" s="20">
        <v>271.0</v>
      </c>
      <c r="C685" s="20">
        <v>123.0</v>
      </c>
      <c r="D685" s="20">
        <v>2.0</v>
      </c>
      <c r="E685" s="20">
        <f t="shared" si="1"/>
        <v>246</v>
      </c>
      <c r="F685" s="49">
        <v>45350.0</v>
      </c>
      <c r="G685" s="20" t="s">
        <v>52</v>
      </c>
      <c r="H685" s="20">
        <v>11.0</v>
      </c>
      <c r="I685" s="20" t="str">
        <f>VLOOKUP(B685,'товар'!$A$1:$C$433,2,FALSE)</f>
        <v>Сыр</v>
      </c>
      <c r="J685" s="50">
        <f t="shared" si="2"/>
        <v>262.6349206</v>
      </c>
      <c r="K685" s="51">
        <f t="shared" si="3"/>
        <v>-0.5316692856</v>
      </c>
      <c r="L685" s="20" t="str">
        <f>VLOOKUP(B685,'товар'!$A$1:$C$433,3,FALSE)</f>
        <v>Сырная долина</v>
      </c>
      <c r="M685" s="52">
        <f t="shared" si="4"/>
        <v>271</v>
      </c>
      <c r="N685" s="53">
        <f>VLOOKUP(H685,'клиенты'!$A$1:$F$435,5,FALSE)</f>
        <v>44690</v>
      </c>
      <c r="O685" s="20">
        <f t="shared" si="5"/>
        <v>660</v>
      </c>
      <c r="P685" s="20" t="str">
        <f>VLOOKUP(H685,'клиенты'!$A$2:$J$435,10,FALSE)</f>
        <v>Таджикистан</v>
      </c>
      <c r="Q685" s="54">
        <f t="shared" si="6"/>
        <v>46078.45901</v>
      </c>
      <c r="R685" s="55">
        <f t="shared" si="7"/>
        <v>46.28196706</v>
      </c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41">
        <v>685.0</v>
      </c>
      <c r="B686" s="41">
        <v>189.0</v>
      </c>
      <c r="C686" s="41">
        <v>356.0</v>
      </c>
      <c r="D686" s="41">
        <v>1.0</v>
      </c>
      <c r="E686" s="41">
        <f t="shared" si="1"/>
        <v>356</v>
      </c>
      <c r="F686" s="42">
        <v>45051.0</v>
      </c>
      <c r="G686" s="41" t="s">
        <v>49</v>
      </c>
      <c r="H686" s="41">
        <v>388.0</v>
      </c>
      <c r="I686" s="41" t="str">
        <f>VLOOKUP(B686,'товар'!$A$1:$C$433,2,FALSE)</f>
        <v>Хлеб</v>
      </c>
      <c r="J686" s="43">
        <f t="shared" si="2"/>
        <v>300.3181818</v>
      </c>
      <c r="K686" s="44">
        <f t="shared" si="3"/>
        <v>0.1854094143</v>
      </c>
      <c r="L686" s="41" t="str">
        <f>VLOOKUP(B686,'товар'!$A$1:$C$433,3,FALSE)</f>
        <v>Дарница</v>
      </c>
      <c r="M686" s="45">
        <f t="shared" si="4"/>
        <v>264</v>
      </c>
      <c r="N686" s="46">
        <f>VLOOKUP(H686,'клиенты'!$A$1:$F$435,5,FALSE)</f>
        <v>44581</v>
      </c>
      <c r="O686" s="41">
        <f t="shared" si="5"/>
        <v>470</v>
      </c>
      <c r="P686" s="41" t="str">
        <f>VLOOKUP(H686,'клиенты'!$A$2:$J$435,10,FALSE)</f>
        <v>Россия</v>
      </c>
      <c r="Q686" s="47">
        <f t="shared" si="6"/>
        <v>46078.45901</v>
      </c>
      <c r="R686" s="48">
        <f t="shared" si="7"/>
        <v>49.91530039</v>
      </c>
      <c r="S686" s="41"/>
      <c r="T686" s="41"/>
      <c r="U686" s="41"/>
      <c r="V686" s="41"/>
      <c r="W686" s="41"/>
      <c r="X686" s="41"/>
      <c r="Y686" s="41"/>
      <c r="Z686" s="41"/>
    </row>
    <row r="687" ht="14.25" customHeight="1">
      <c r="A687" s="20">
        <v>686.0</v>
      </c>
      <c r="B687" s="20">
        <v>372.0</v>
      </c>
      <c r="C687" s="20">
        <v>166.0</v>
      </c>
      <c r="D687" s="20">
        <v>5.0</v>
      </c>
      <c r="E687" s="20">
        <f t="shared" si="1"/>
        <v>830</v>
      </c>
      <c r="F687" s="49">
        <v>45431.0</v>
      </c>
      <c r="G687" s="20" t="s">
        <v>44</v>
      </c>
      <c r="H687" s="20">
        <v>40.0</v>
      </c>
      <c r="I687" s="20" t="str">
        <f>VLOOKUP(B687,'товар'!$A$1:$C$433,2,FALSE)</f>
        <v>Кофе</v>
      </c>
      <c r="J687" s="50">
        <f t="shared" si="2"/>
        <v>249.0238095</v>
      </c>
      <c r="K687" s="51">
        <f t="shared" si="3"/>
        <v>-0.3333970743</v>
      </c>
      <c r="L687" s="20" t="str">
        <f>VLOOKUP(B687,'товар'!$A$1:$C$433,3,FALSE)</f>
        <v>Черная Карта</v>
      </c>
      <c r="M687" s="52">
        <f t="shared" si="4"/>
        <v>222.2</v>
      </c>
      <c r="N687" s="53">
        <f>VLOOKUP(H687,'клиенты'!$A$1:$F$435,5,FALSE)</f>
        <v>44855</v>
      </c>
      <c r="O687" s="20">
        <f t="shared" si="5"/>
        <v>576</v>
      </c>
      <c r="P687" s="20" t="str">
        <f>VLOOKUP(H687,'клиенты'!$A$2:$J$435,10,FALSE)</f>
        <v>Россия</v>
      </c>
      <c r="Q687" s="54">
        <f t="shared" si="6"/>
        <v>46078.45901</v>
      </c>
      <c r="R687" s="55">
        <f t="shared" si="7"/>
        <v>40.78196706</v>
      </c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41">
        <v>687.0</v>
      </c>
      <c r="B688" s="41">
        <v>205.0</v>
      </c>
      <c r="C688" s="41">
        <v>156.0</v>
      </c>
      <c r="D688" s="41">
        <v>4.0</v>
      </c>
      <c r="E688" s="41">
        <f t="shared" si="1"/>
        <v>624</v>
      </c>
      <c r="F688" s="42">
        <v>45429.0</v>
      </c>
      <c r="G688" s="41" t="s">
        <v>53</v>
      </c>
      <c r="H688" s="41">
        <v>286.0</v>
      </c>
      <c r="I688" s="41" t="str">
        <f>VLOOKUP(B688,'товар'!$A$1:$C$433,2,FALSE)</f>
        <v>Макароны</v>
      </c>
      <c r="J688" s="43">
        <f t="shared" si="2"/>
        <v>265.4767442</v>
      </c>
      <c r="K688" s="44">
        <f t="shared" si="3"/>
        <v>-0.4123779072</v>
      </c>
      <c r="L688" s="41" t="str">
        <f>VLOOKUP(B688,'товар'!$A$1:$C$433,3,FALSE)</f>
        <v>Борилла</v>
      </c>
      <c r="M688" s="45">
        <f t="shared" si="4"/>
        <v>236.2758621</v>
      </c>
      <c r="N688" s="46">
        <f>VLOOKUP(H688,'клиенты'!$A$1:$F$435,5,FALSE)</f>
        <v>44563</v>
      </c>
      <c r="O688" s="41">
        <f t="shared" si="5"/>
        <v>866</v>
      </c>
      <c r="P688" s="41" t="str">
        <f>VLOOKUP(H688,'клиенты'!$A$2:$J$435,10,FALSE)</f>
        <v>Таджикистан</v>
      </c>
      <c r="Q688" s="47">
        <f t="shared" si="6"/>
        <v>46078.45901</v>
      </c>
      <c r="R688" s="48">
        <f t="shared" si="7"/>
        <v>50.51530039</v>
      </c>
      <c r="S688" s="41"/>
      <c r="T688" s="41"/>
      <c r="U688" s="41"/>
      <c r="V688" s="41"/>
      <c r="W688" s="41"/>
      <c r="X688" s="41"/>
      <c r="Y688" s="41"/>
      <c r="Z688" s="41"/>
    </row>
    <row r="689" ht="14.25" customHeight="1">
      <c r="A689" s="20">
        <v>688.0</v>
      </c>
      <c r="B689" s="20">
        <v>187.0</v>
      </c>
      <c r="C689" s="20">
        <v>496.0</v>
      </c>
      <c r="D689" s="20">
        <v>4.0</v>
      </c>
      <c r="E689" s="20">
        <f t="shared" si="1"/>
        <v>1984</v>
      </c>
      <c r="F689" s="49">
        <v>45315.0</v>
      </c>
      <c r="G689" s="20" t="s">
        <v>37</v>
      </c>
      <c r="H689" s="20">
        <v>448.0</v>
      </c>
      <c r="I689" s="20" t="str">
        <f>VLOOKUP(B689,'товар'!$A$1:$C$433,2,FALSE)</f>
        <v>Макароны</v>
      </c>
      <c r="J689" s="50">
        <f t="shared" si="2"/>
        <v>265.4767442</v>
      </c>
      <c r="K689" s="51">
        <f t="shared" si="3"/>
        <v>0.8683369103</v>
      </c>
      <c r="L689" s="20" t="str">
        <f>VLOOKUP(B689,'товар'!$A$1:$C$433,3,FALSE)</f>
        <v>Паста Зара</v>
      </c>
      <c r="M689" s="52">
        <f t="shared" si="4"/>
        <v>276.6756757</v>
      </c>
      <c r="N689" s="53">
        <f>VLOOKUP(H689,'клиенты'!$A$1:$F$435,5,FALSE)</f>
        <v>44770</v>
      </c>
      <c r="O689" s="20">
        <f t="shared" si="5"/>
        <v>545</v>
      </c>
      <c r="P689" s="20" t="str">
        <f>VLOOKUP(H689,'клиенты'!$A$2:$J$435,10,FALSE)</f>
        <v>Россия</v>
      </c>
      <c r="Q689" s="54">
        <f t="shared" si="6"/>
        <v>46078.45901</v>
      </c>
      <c r="R689" s="55">
        <f t="shared" si="7"/>
        <v>43.61530039</v>
      </c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41">
        <v>689.0</v>
      </c>
      <c r="B690" s="41">
        <v>194.0</v>
      </c>
      <c r="C690" s="41">
        <v>257.0</v>
      </c>
      <c r="D690" s="41">
        <v>5.0</v>
      </c>
      <c r="E690" s="41">
        <f t="shared" si="1"/>
        <v>1285</v>
      </c>
      <c r="F690" s="42">
        <v>45122.0</v>
      </c>
      <c r="G690" s="41" t="s">
        <v>46</v>
      </c>
      <c r="H690" s="41">
        <v>291.0</v>
      </c>
      <c r="I690" s="41" t="str">
        <f>VLOOKUP(B690,'товар'!$A$1:$C$433,2,FALSE)</f>
        <v>Соль</v>
      </c>
      <c r="J690" s="43">
        <f t="shared" si="2"/>
        <v>264.8679245</v>
      </c>
      <c r="K690" s="44">
        <f t="shared" si="3"/>
        <v>-0.02970508619</v>
      </c>
      <c r="L690" s="41" t="str">
        <f>VLOOKUP(B690,'товар'!$A$1:$C$433,3,FALSE)</f>
        <v>Салта</v>
      </c>
      <c r="M690" s="45">
        <f t="shared" si="4"/>
        <v>273.7</v>
      </c>
      <c r="N690" s="46">
        <f>VLOOKUP(H690,'клиенты'!$A$1:$F$435,5,FALSE)</f>
        <v>44710</v>
      </c>
      <c r="O690" s="41">
        <f t="shared" si="5"/>
        <v>412</v>
      </c>
      <c r="P690" s="41" t="str">
        <f>VLOOKUP(H690,'клиенты'!$A$2:$J$435,10,FALSE)</f>
        <v>Таджикистан</v>
      </c>
      <c r="Q690" s="47">
        <f t="shared" si="6"/>
        <v>46078.45901</v>
      </c>
      <c r="R690" s="48">
        <f t="shared" si="7"/>
        <v>45.61530039</v>
      </c>
      <c r="S690" s="41"/>
      <c r="T690" s="41"/>
      <c r="U690" s="41"/>
      <c r="V690" s="41"/>
      <c r="W690" s="41"/>
      <c r="X690" s="41"/>
      <c r="Y690" s="41"/>
      <c r="Z690" s="41"/>
    </row>
    <row r="691" ht="14.25" customHeight="1">
      <c r="A691" s="20">
        <v>690.0</v>
      </c>
      <c r="B691" s="20">
        <v>51.0</v>
      </c>
      <c r="C691" s="20">
        <v>476.0</v>
      </c>
      <c r="D691" s="20">
        <v>2.0</v>
      </c>
      <c r="E691" s="20">
        <f t="shared" si="1"/>
        <v>952</v>
      </c>
      <c r="F691" s="49">
        <v>45020.0</v>
      </c>
      <c r="G691" s="20" t="s">
        <v>47</v>
      </c>
      <c r="H691" s="20">
        <v>480.0</v>
      </c>
      <c r="I691" s="20" t="str">
        <f>VLOOKUP(B691,'товар'!$A$1:$C$433,2,FALSE)</f>
        <v>Колбаса</v>
      </c>
      <c r="J691" s="50">
        <f t="shared" si="2"/>
        <v>286.9230769</v>
      </c>
      <c r="K691" s="51">
        <f t="shared" si="3"/>
        <v>0.6589812332</v>
      </c>
      <c r="L691" s="20" t="str">
        <f>VLOOKUP(B691,'товар'!$A$1:$C$433,3,FALSE)</f>
        <v>Дымов</v>
      </c>
      <c r="M691" s="52">
        <f t="shared" si="4"/>
        <v>312.6666667</v>
      </c>
      <c r="N691" s="53">
        <f>VLOOKUP(H691,'клиенты'!$A$1:$F$435,5,FALSE)</f>
        <v>44568</v>
      </c>
      <c r="O691" s="20">
        <f t="shared" si="5"/>
        <v>452</v>
      </c>
      <c r="P691" s="20" t="str">
        <f>VLOOKUP(H691,'клиенты'!$A$2:$J$435,10,FALSE)</f>
        <v>Узбекистан</v>
      </c>
      <c r="Q691" s="54">
        <f t="shared" si="6"/>
        <v>46078.45901</v>
      </c>
      <c r="R691" s="55">
        <f t="shared" si="7"/>
        <v>50.34863373</v>
      </c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41">
        <v>691.0</v>
      </c>
      <c r="B692" s="41">
        <v>80.0</v>
      </c>
      <c r="C692" s="41">
        <v>232.0</v>
      </c>
      <c r="D692" s="41">
        <v>2.0</v>
      </c>
      <c r="E692" s="41">
        <f t="shared" si="1"/>
        <v>464</v>
      </c>
      <c r="F692" s="42">
        <v>45116.0</v>
      </c>
      <c r="G692" s="41" t="s">
        <v>51</v>
      </c>
      <c r="H692" s="41">
        <v>418.0</v>
      </c>
      <c r="I692" s="41" t="str">
        <f>VLOOKUP(B692,'товар'!$A$1:$C$433,2,FALSE)</f>
        <v>Конфеты</v>
      </c>
      <c r="J692" s="43">
        <f t="shared" si="2"/>
        <v>267.8548387</v>
      </c>
      <c r="K692" s="44">
        <f t="shared" si="3"/>
        <v>-0.133859216</v>
      </c>
      <c r="L692" s="41" t="str">
        <f>VLOOKUP(B692,'товар'!$A$1:$C$433,3,FALSE)</f>
        <v>Красный Октябрь</v>
      </c>
      <c r="M692" s="45">
        <f t="shared" si="4"/>
        <v>273.625</v>
      </c>
      <c r="N692" s="46">
        <f>VLOOKUP(H692,'клиенты'!$A$1:$F$435,5,FALSE)</f>
        <v>44700</v>
      </c>
      <c r="O692" s="41">
        <f t="shared" si="5"/>
        <v>416</v>
      </c>
      <c r="P692" s="41" t="str">
        <f>VLOOKUP(H692,'клиенты'!$A$2:$J$435,10,FALSE)</f>
        <v>Беларусь</v>
      </c>
      <c r="Q692" s="47">
        <f t="shared" si="6"/>
        <v>46078.45901</v>
      </c>
      <c r="R692" s="48">
        <f t="shared" si="7"/>
        <v>45.94863373</v>
      </c>
      <c r="S692" s="41"/>
      <c r="T692" s="41"/>
      <c r="U692" s="41"/>
      <c r="V692" s="41"/>
      <c r="W692" s="41"/>
      <c r="X692" s="41"/>
      <c r="Y692" s="41"/>
      <c r="Z692" s="41"/>
    </row>
    <row r="693" ht="14.25" customHeight="1">
      <c r="A693" s="20">
        <v>692.0</v>
      </c>
      <c r="B693" s="20">
        <v>474.0</v>
      </c>
      <c r="C693" s="20">
        <v>252.0</v>
      </c>
      <c r="D693" s="20">
        <v>3.0</v>
      </c>
      <c r="E693" s="20">
        <f t="shared" si="1"/>
        <v>756</v>
      </c>
      <c r="F693" s="49">
        <v>45425.0</v>
      </c>
      <c r="G693" s="20" t="s">
        <v>43</v>
      </c>
      <c r="H693" s="20">
        <v>470.0</v>
      </c>
      <c r="I693" s="20" t="str">
        <f>VLOOKUP(B693,'товар'!$A$1:$C$433,2,FALSE)</f>
        <v>Молоко</v>
      </c>
      <c r="J693" s="50">
        <f t="shared" si="2"/>
        <v>294.952381</v>
      </c>
      <c r="K693" s="51">
        <f t="shared" si="3"/>
        <v>-0.1456247982</v>
      </c>
      <c r="L693" s="20" t="str">
        <f>VLOOKUP(B693,'товар'!$A$1:$C$433,3,FALSE)</f>
        <v>Простоквашино</v>
      </c>
      <c r="M693" s="52">
        <f t="shared" si="4"/>
        <v>318.8181818</v>
      </c>
      <c r="N693" s="53">
        <f>VLOOKUP(H693,'клиенты'!$A$1:$F$435,5,FALSE)</f>
        <v>44690</v>
      </c>
      <c r="O693" s="20">
        <f t="shared" si="5"/>
        <v>735</v>
      </c>
      <c r="P693" s="20" t="str">
        <f>VLOOKUP(H693,'клиенты'!$A$2:$J$435,10,FALSE)</f>
        <v>Таджикистан</v>
      </c>
      <c r="Q693" s="54">
        <f t="shared" si="6"/>
        <v>46078.45901</v>
      </c>
      <c r="R693" s="55">
        <f t="shared" si="7"/>
        <v>46.28196706</v>
      </c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41">
        <v>693.0</v>
      </c>
      <c r="B694" s="41">
        <v>215.0</v>
      </c>
      <c r="C694" s="41">
        <v>485.0</v>
      </c>
      <c r="D694" s="41">
        <v>4.0</v>
      </c>
      <c r="E694" s="41">
        <f t="shared" si="1"/>
        <v>1940</v>
      </c>
      <c r="F694" s="42">
        <v>44959.0</v>
      </c>
      <c r="G694" s="41" t="s">
        <v>46</v>
      </c>
      <c r="H694" s="41">
        <v>318.0</v>
      </c>
      <c r="I694" s="41" t="str">
        <f>VLOOKUP(B694,'товар'!$A$1:$C$433,2,FALSE)</f>
        <v>Сок</v>
      </c>
      <c r="J694" s="43">
        <f t="shared" si="2"/>
        <v>268.6034483</v>
      </c>
      <c r="K694" s="44">
        <f t="shared" si="3"/>
        <v>0.8056357918</v>
      </c>
      <c r="L694" s="41" t="str">
        <f>VLOOKUP(B694,'товар'!$A$1:$C$433,3,FALSE)</f>
        <v>Фруктовый сад</v>
      </c>
      <c r="M694" s="45">
        <f t="shared" si="4"/>
        <v>281.96875</v>
      </c>
      <c r="N694" s="46">
        <f>VLOOKUP(H694,'клиенты'!$A$1:$F$435,5,FALSE)</f>
        <v>44892</v>
      </c>
      <c r="O694" s="41">
        <f t="shared" si="5"/>
        <v>67</v>
      </c>
      <c r="P694" s="41" t="str">
        <f>VLOOKUP(H694,'клиенты'!$A$2:$J$435,10,FALSE)</f>
        <v>Узбекистан</v>
      </c>
      <c r="Q694" s="47">
        <f t="shared" si="6"/>
        <v>46078.45901</v>
      </c>
      <c r="R694" s="48">
        <f t="shared" si="7"/>
        <v>39.54863373</v>
      </c>
      <c r="S694" s="41"/>
      <c r="T694" s="41"/>
      <c r="U694" s="41"/>
      <c r="V694" s="41"/>
      <c r="W694" s="41"/>
      <c r="X694" s="41"/>
      <c r="Y694" s="41"/>
      <c r="Z694" s="41"/>
    </row>
    <row r="695" ht="14.25" customHeight="1">
      <c r="A695" s="20">
        <v>694.0</v>
      </c>
      <c r="B695" s="20">
        <v>36.0</v>
      </c>
      <c r="C695" s="20">
        <v>150.0</v>
      </c>
      <c r="D695" s="20">
        <v>2.0</v>
      </c>
      <c r="E695" s="20">
        <f t="shared" si="1"/>
        <v>300</v>
      </c>
      <c r="F695" s="49">
        <v>45157.0</v>
      </c>
      <c r="G695" s="20" t="s">
        <v>38</v>
      </c>
      <c r="H695" s="20">
        <v>283.0</v>
      </c>
      <c r="I695" s="20" t="str">
        <f>VLOOKUP(B695,'товар'!$A$1:$C$433,2,FALSE)</f>
        <v>Макароны</v>
      </c>
      <c r="J695" s="50">
        <f t="shared" si="2"/>
        <v>265.4767442</v>
      </c>
      <c r="K695" s="51">
        <f t="shared" si="3"/>
        <v>-0.434978757</v>
      </c>
      <c r="L695" s="20" t="str">
        <f>VLOOKUP(B695,'товар'!$A$1:$C$433,3,FALSE)</f>
        <v>Роллтон</v>
      </c>
      <c r="M695" s="52">
        <f t="shared" si="4"/>
        <v>235.5555556</v>
      </c>
      <c r="N695" s="53">
        <f>VLOOKUP(H695,'клиенты'!$A$1:$F$435,5,FALSE)</f>
        <v>44889</v>
      </c>
      <c r="O695" s="20">
        <f t="shared" si="5"/>
        <v>268</v>
      </c>
      <c r="P695" s="20" t="str">
        <f>VLOOKUP(H695,'клиенты'!$A$2:$J$435,10,FALSE)</f>
        <v>Таджикистан</v>
      </c>
      <c r="Q695" s="54">
        <f t="shared" si="6"/>
        <v>46078.45901</v>
      </c>
      <c r="R695" s="55">
        <f t="shared" si="7"/>
        <v>39.64863373</v>
      </c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41">
        <v>695.0</v>
      </c>
      <c r="B696" s="41">
        <v>400.0</v>
      </c>
      <c r="C696" s="41">
        <v>474.0</v>
      </c>
      <c r="D696" s="41">
        <v>4.0</v>
      </c>
      <c r="E696" s="41">
        <f t="shared" si="1"/>
        <v>1896</v>
      </c>
      <c r="F696" s="42">
        <v>44992.0</v>
      </c>
      <c r="G696" s="41" t="s">
        <v>48</v>
      </c>
      <c r="H696" s="41">
        <v>191.0</v>
      </c>
      <c r="I696" s="41" t="str">
        <f>VLOOKUP(B696,'товар'!$A$1:$C$433,2,FALSE)</f>
        <v>Молоко</v>
      </c>
      <c r="J696" s="43">
        <f t="shared" si="2"/>
        <v>294.952381</v>
      </c>
      <c r="K696" s="44">
        <f t="shared" si="3"/>
        <v>0.6070390701</v>
      </c>
      <c r="L696" s="41" t="str">
        <f>VLOOKUP(B696,'товар'!$A$1:$C$433,3,FALSE)</f>
        <v>Беллакт</v>
      </c>
      <c r="M696" s="45">
        <f t="shared" si="4"/>
        <v>322.5454545</v>
      </c>
      <c r="N696" s="46">
        <f>VLOOKUP(H696,'клиенты'!$A$1:$F$435,5,FALSE)</f>
        <v>44866</v>
      </c>
      <c r="O696" s="41">
        <f t="shared" si="5"/>
        <v>126</v>
      </c>
      <c r="P696" s="41" t="str">
        <f>VLOOKUP(H696,'клиенты'!$A$2:$J$435,10,FALSE)</f>
        <v>Украина</v>
      </c>
      <c r="Q696" s="47">
        <f t="shared" si="6"/>
        <v>46078.45901</v>
      </c>
      <c r="R696" s="48">
        <f t="shared" si="7"/>
        <v>40.41530039</v>
      </c>
      <c r="S696" s="41"/>
      <c r="T696" s="41"/>
      <c r="U696" s="41"/>
      <c r="V696" s="41"/>
      <c r="W696" s="41"/>
      <c r="X696" s="41"/>
      <c r="Y696" s="41"/>
      <c r="Z696" s="41"/>
    </row>
    <row r="697" ht="14.25" customHeight="1">
      <c r="A697" s="20">
        <v>696.0</v>
      </c>
      <c r="B697" s="20">
        <v>80.0</v>
      </c>
      <c r="C697" s="20">
        <v>135.0</v>
      </c>
      <c r="D697" s="20">
        <v>2.0</v>
      </c>
      <c r="E697" s="20">
        <f t="shared" si="1"/>
        <v>270</v>
      </c>
      <c r="F697" s="49">
        <v>45296.0</v>
      </c>
      <c r="G697" s="20" t="s">
        <v>48</v>
      </c>
      <c r="H697" s="20">
        <v>123.0</v>
      </c>
      <c r="I697" s="20" t="str">
        <f>VLOOKUP(B697,'товар'!$A$1:$C$433,2,FALSE)</f>
        <v>Конфеты</v>
      </c>
      <c r="J697" s="50">
        <f t="shared" si="2"/>
        <v>267.8548387</v>
      </c>
      <c r="K697" s="51">
        <f t="shared" si="3"/>
        <v>-0.4959956645</v>
      </c>
      <c r="L697" s="20" t="str">
        <f>VLOOKUP(B697,'товар'!$A$1:$C$433,3,FALSE)</f>
        <v>Красный Октябрь</v>
      </c>
      <c r="M697" s="52">
        <f t="shared" si="4"/>
        <v>273.625</v>
      </c>
      <c r="N697" s="53">
        <f>VLOOKUP(H697,'клиенты'!$A$1:$F$435,5,FALSE)</f>
        <v>44600</v>
      </c>
      <c r="O697" s="20">
        <f t="shared" si="5"/>
        <v>696</v>
      </c>
      <c r="P697" s="20" t="str">
        <f>VLOOKUP(H697,'клиенты'!$A$2:$J$435,10,FALSE)</f>
        <v>Россия</v>
      </c>
      <c r="Q697" s="54">
        <f t="shared" si="6"/>
        <v>46078.45901</v>
      </c>
      <c r="R697" s="55">
        <f t="shared" si="7"/>
        <v>49.28196706</v>
      </c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41">
        <v>697.0</v>
      </c>
      <c r="B698" s="41">
        <v>413.0</v>
      </c>
      <c r="C698" s="41">
        <v>178.0</v>
      </c>
      <c r="D698" s="41">
        <v>5.0</v>
      </c>
      <c r="E698" s="41">
        <f t="shared" si="1"/>
        <v>890</v>
      </c>
      <c r="F698" s="42">
        <v>45095.0</v>
      </c>
      <c r="G698" s="41" t="s">
        <v>37</v>
      </c>
      <c r="H698" s="41">
        <v>380.0</v>
      </c>
      <c r="I698" s="41" t="str">
        <f>VLOOKUP(B698,'товар'!$A$1:$C$433,2,FALSE)</f>
        <v>Кофе</v>
      </c>
      <c r="J698" s="43">
        <f t="shared" si="2"/>
        <v>249.0238095</v>
      </c>
      <c r="K698" s="44">
        <f t="shared" si="3"/>
        <v>-0.285208911</v>
      </c>
      <c r="L698" s="41" t="str">
        <f>VLOOKUP(B698,'товар'!$A$1:$C$433,3,FALSE)</f>
        <v>Jacobs</v>
      </c>
      <c r="M698" s="45">
        <f t="shared" si="4"/>
        <v>276.2105263</v>
      </c>
      <c r="N698" s="46">
        <f>VLOOKUP(H698,'клиенты'!$A$1:$F$435,5,FALSE)</f>
        <v>44563</v>
      </c>
      <c r="O698" s="41">
        <f t="shared" si="5"/>
        <v>532</v>
      </c>
      <c r="P698" s="41" t="str">
        <f>VLOOKUP(H698,'клиенты'!$A$2:$J$435,10,FALSE)</f>
        <v>Россия</v>
      </c>
      <c r="Q698" s="47">
        <f t="shared" si="6"/>
        <v>46078.45901</v>
      </c>
      <c r="R698" s="48">
        <f t="shared" si="7"/>
        <v>50.51530039</v>
      </c>
      <c r="S698" s="41"/>
      <c r="T698" s="41"/>
      <c r="U698" s="41"/>
      <c r="V698" s="41"/>
      <c r="W698" s="41"/>
      <c r="X698" s="41"/>
      <c r="Y698" s="41"/>
      <c r="Z698" s="41"/>
    </row>
    <row r="699" ht="14.25" customHeight="1">
      <c r="A699" s="20">
        <v>698.0</v>
      </c>
      <c r="B699" s="20">
        <v>10.0</v>
      </c>
      <c r="C699" s="20">
        <v>112.0</v>
      </c>
      <c r="D699" s="20">
        <v>3.0</v>
      </c>
      <c r="E699" s="20">
        <f t="shared" si="1"/>
        <v>336</v>
      </c>
      <c r="F699" s="49">
        <v>45350.0</v>
      </c>
      <c r="G699" s="20" t="s">
        <v>37</v>
      </c>
      <c r="H699" s="20">
        <v>442.0</v>
      </c>
      <c r="I699" s="20" t="str">
        <f>VLOOKUP(B699,'товар'!$A$1:$C$433,2,FALSE)</f>
        <v>Сок</v>
      </c>
      <c r="J699" s="50">
        <f t="shared" si="2"/>
        <v>268.6034483</v>
      </c>
      <c r="K699" s="51">
        <f t="shared" si="3"/>
        <v>-0.5830284357</v>
      </c>
      <c r="L699" s="20" t="str">
        <f>VLOOKUP(B699,'товар'!$A$1:$C$433,3,FALSE)</f>
        <v>Фруктовый сад</v>
      </c>
      <c r="M699" s="52">
        <f t="shared" si="4"/>
        <v>281.96875</v>
      </c>
      <c r="N699" s="53">
        <f>VLOOKUP(H699,'клиенты'!$A$1:$F$435,5,FALSE)</f>
        <v>44746</v>
      </c>
      <c r="O699" s="20">
        <f t="shared" si="5"/>
        <v>604</v>
      </c>
      <c r="P699" s="20" t="str">
        <f>VLOOKUP(H699,'клиенты'!$A$2:$J$435,10,FALSE)</f>
        <v>Таджикистан</v>
      </c>
      <c r="Q699" s="54">
        <f t="shared" si="6"/>
        <v>46078.45901</v>
      </c>
      <c r="R699" s="55">
        <f t="shared" si="7"/>
        <v>44.41530039</v>
      </c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41">
        <v>699.0</v>
      </c>
      <c r="B700" s="41">
        <v>14.0</v>
      </c>
      <c r="C700" s="41">
        <v>338.0</v>
      </c>
      <c r="D700" s="41">
        <v>4.0</v>
      </c>
      <c r="E700" s="41">
        <f t="shared" si="1"/>
        <v>1352</v>
      </c>
      <c r="F700" s="42">
        <v>44964.0</v>
      </c>
      <c r="G700" s="41" t="s">
        <v>43</v>
      </c>
      <c r="H700" s="41">
        <v>218.0</v>
      </c>
      <c r="I700" s="41" t="str">
        <f>VLOOKUP(B700,'товар'!$A$1:$C$433,2,FALSE)</f>
        <v>Сок</v>
      </c>
      <c r="J700" s="43">
        <f t="shared" si="2"/>
        <v>268.6034483</v>
      </c>
      <c r="K700" s="44">
        <f t="shared" si="3"/>
        <v>0.2583606136</v>
      </c>
      <c r="L700" s="41" t="str">
        <f>VLOOKUP(B700,'товар'!$A$1:$C$433,3,FALSE)</f>
        <v>Rich</v>
      </c>
      <c r="M700" s="45">
        <f t="shared" si="4"/>
        <v>272.25</v>
      </c>
      <c r="N700" s="46">
        <f>VLOOKUP(H700,'клиенты'!$A$1:$F$435,5,FALSE)</f>
        <v>44721</v>
      </c>
      <c r="O700" s="41">
        <f t="shared" si="5"/>
        <v>243</v>
      </c>
      <c r="P700" s="41" t="str">
        <f>VLOOKUP(H700,'клиенты'!$A$2:$J$435,10,FALSE)</f>
        <v>Узбекистан</v>
      </c>
      <c r="Q700" s="47">
        <f t="shared" si="6"/>
        <v>46078.45901</v>
      </c>
      <c r="R700" s="48">
        <f t="shared" si="7"/>
        <v>45.24863373</v>
      </c>
      <c r="S700" s="41"/>
      <c r="T700" s="41"/>
      <c r="U700" s="41"/>
      <c r="V700" s="41"/>
      <c r="W700" s="41"/>
      <c r="X700" s="41"/>
      <c r="Y700" s="41"/>
      <c r="Z700" s="41"/>
    </row>
    <row r="701" ht="14.25" customHeight="1">
      <c r="A701" s="20">
        <v>700.0</v>
      </c>
      <c r="B701" s="20">
        <v>423.0</v>
      </c>
      <c r="C701" s="20">
        <v>277.0</v>
      </c>
      <c r="D701" s="20">
        <v>5.0</v>
      </c>
      <c r="E701" s="20">
        <f t="shared" si="1"/>
        <v>1385</v>
      </c>
      <c r="F701" s="49">
        <v>45143.0</v>
      </c>
      <c r="G701" s="20" t="s">
        <v>53</v>
      </c>
      <c r="H701" s="20">
        <v>331.0</v>
      </c>
      <c r="I701" s="20" t="str">
        <f>VLOOKUP(B701,'товар'!$A$1:$C$433,2,FALSE)</f>
        <v>Чипсы</v>
      </c>
      <c r="J701" s="50">
        <f t="shared" si="2"/>
        <v>273.7254902</v>
      </c>
      <c r="K701" s="51">
        <f t="shared" si="3"/>
        <v>0.01196275072</v>
      </c>
      <c r="L701" s="20" t="str">
        <f>VLOOKUP(B701,'товар'!$A$1:$C$433,3,FALSE)</f>
        <v>Pringles</v>
      </c>
      <c r="M701" s="52">
        <f t="shared" si="4"/>
        <v>280.2380952</v>
      </c>
      <c r="N701" s="53">
        <f>VLOOKUP(H701,'клиенты'!$A$1:$F$435,5,FALSE)</f>
        <v>44813</v>
      </c>
      <c r="O701" s="20">
        <f t="shared" si="5"/>
        <v>330</v>
      </c>
      <c r="P701" s="20" t="str">
        <f>VLOOKUP(H701,'клиенты'!$A$2:$J$435,10,FALSE)</f>
        <v>Узбекистан</v>
      </c>
      <c r="Q701" s="54">
        <f t="shared" si="6"/>
        <v>46078.45901</v>
      </c>
      <c r="R701" s="55">
        <f t="shared" si="7"/>
        <v>42.18196706</v>
      </c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41">
        <v>701.0</v>
      </c>
      <c r="B702" s="41">
        <v>138.0</v>
      </c>
      <c r="C702" s="41">
        <v>427.0</v>
      </c>
      <c r="D702" s="41">
        <v>5.0</v>
      </c>
      <c r="E702" s="41">
        <f t="shared" si="1"/>
        <v>2135</v>
      </c>
      <c r="F702" s="42">
        <v>45145.0</v>
      </c>
      <c r="G702" s="41" t="s">
        <v>53</v>
      </c>
      <c r="H702" s="41">
        <v>196.0</v>
      </c>
      <c r="I702" s="41" t="str">
        <f>VLOOKUP(B702,'товар'!$A$1:$C$433,2,FALSE)</f>
        <v>Сыр</v>
      </c>
      <c r="J702" s="43">
        <f t="shared" si="2"/>
        <v>262.6349206</v>
      </c>
      <c r="K702" s="44">
        <f t="shared" si="3"/>
        <v>0.6258310166</v>
      </c>
      <c r="L702" s="41" t="str">
        <f>VLOOKUP(B702,'товар'!$A$1:$C$433,3,FALSE)</f>
        <v>Сырная долина</v>
      </c>
      <c r="M702" s="45">
        <f t="shared" si="4"/>
        <v>271</v>
      </c>
      <c r="N702" s="46">
        <f>VLOOKUP(H702,'клиенты'!$A$1:$F$435,5,FALSE)</f>
        <v>44835</v>
      </c>
      <c r="O702" s="41">
        <f t="shared" si="5"/>
        <v>310</v>
      </c>
      <c r="P702" s="41" t="str">
        <f>VLOOKUP(H702,'клиенты'!$A$2:$J$435,10,FALSE)</f>
        <v>Россия</v>
      </c>
      <c r="Q702" s="47">
        <f t="shared" si="6"/>
        <v>46078.45901</v>
      </c>
      <c r="R702" s="48">
        <f t="shared" si="7"/>
        <v>41.44863373</v>
      </c>
      <c r="S702" s="41"/>
      <c r="T702" s="41"/>
      <c r="U702" s="41"/>
      <c r="V702" s="41"/>
      <c r="W702" s="41"/>
      <c r="X702" s="41"/>
      <c r="Y702" s="41"/>
      <c r="Z702" s="41"/>
    </row>
    <row r="703" ht="14.25" customHeight="1">
      <c r="A703" s="20">
        <v>702.0</v>
      </c>
      <c r="B703" s="20">
        <v>498.0</v>
      </c>
      <c r="C703" s="20">
        <v>169.0</v>
      </c>
      <c r="D703" s="20">
        <v>4.0</v>
      </c>
      <c r="E703" s="20">
        <f t="shared" si="1"/>
        <v>676</v>
      </c>
      <c r="F703" s="49">
        <v>45129.0</v>
      </c>
      <c r="G703" s="20" t="s">
        <v>36</v>
      </c>
      <c r="H703" s="20">
        <v>36.0</v>
      </c>
      <c r="I703" s="20" t="str">
        <f>VLOOKUP(B703,'товар'!$A$1:$C$433,2,FALSE)</f>
        <v>Молоко</v>
      </c>
      <c r="J703" s="50">
        <f t="shared" si="2"/>
        <v>294.952381</v>
      </c>
      <c r="K703" s="51">
        <f t="shared" si="3"/>
        <v>-0.4270261543</v>
      </c>
      <c r="L703" s="20" t="str">
        <f>VLOOKUP(B703,'товар'!$A$1:$C$433,3,FALSE)</f>
        <v>Домик в деревне</v>
      </c>
      <c r="M703" s="52">
        <f t="shared" si="4"/>
        <v>274.7777778</v>
      </c>
      <c r="N703" s="53">
        <f>VLOOKUP(H703,'клиенты'!$A$1:$F$435,5,FALSE)</f>
        <v>44700</v>
      </c>
      <c r="O703" s="20">
        <f t="shared" si="5"/>
        <v>429</v>
      </c>
      <c r="P703" s="20" t="str">
        <f>VLOOKUP(H703,'клиенты'!$A$2:$J$435,10,FALSE)</f>
        <v>Россия</v>
      </c>
      <c r="Q703" s="54">
        <f t="shared" si="6"/>
        <v>46078.45901</v>
      </c>
      <c r="R703" s="55">
        <f t="shared" si="7"/>
        <v>45.94863373</v>
      </c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41">
        <v>703.0</v>
      </c>
      <c r="B704" s="41">
        <v>46.0</v>
      </c>
      <c r="C704" s="41">
        <v>228.0</v>
      </c>
      <c r="D704" s="41">
        <v>5.0</v>
      </c>
      <c r="E704" s="41">
        <f t="shared" si="1"/>
        <v>1140</v>
      </c>
      <c r="F704" s="42">
        <v>45017.0</v>
      </c>
      <c r="G704" s="41" t="s">
        <v>52</v>
      </c>
      <c r="H704" s="41">
        <v>272.0</v>
      </c>
      <c r="I704" s="41" t="str">
        <f>VLOOKUP(B704,'товар'!$A$1:$C$433,2,FALSE)</f>
        <v>Йогурт</v>
      </c>
      <c r="J704" s="43">
        <f t="shared" si="2"/>
        <v>263.2542373</v>
      </c>
      <c r="K704" s="44">
        <f t="shared" si="3"/>
        <v>-0.1339170744</v>
      </c>
      <c r="L704" s="41" t="str">
        <f>VLOOKUP(B704,'товар'!$A$1:$C$433,3,FALSE)</f>
        <v>Активиа</v>
      </c>
      <c r="M704" s="45">
        <f t="shared" si="4"/>
        <v>293.6666667</v>
      </c>
      <c r="N704" s="46">
        <f>VLOOKUP(H704,'клиенты'!$A$1:$F$435,5,FALSE)</f>
        <v>44668</v>
      </c>
      <c r="O704" s="41">
        <f t="shared" si="5"/>
        <v>349</v>
      </c>
      <c r="P704" s="41" t="str">
        <f>VLOOKUP(H704,'клиенты'!$A$2:$J$435,10,FALSE)</f>
        <v>Таджикистан</v>
      </c>
      <c r="Q704" s="47">
        <f t="shared" si="6"/>
        <v>46078.45901</v>
      </c>
      <c r="R704" s="48">
        <f t="shared" si="7"/>
        <v>47.01530039</v>
      </c>
      <c r="S704" s="41"/>
      <c r="T704" s="41"/>
      <c r="U704" s="41"/>
      <c r="V704" s="41"/>
      <c r="W704" s="41"/>
      <c r="X704" s="41"/>
      <c r="Y704" s="41"/>
      <c r="Z704" s="41"/>
    </row>
    <row r="705" ht="14.25" customHeight="1">
      <c r="A705" s="20">
        <v>704.0</v>
      </c>
      <c r="B705" s="20">
        <v>1.0</v>
      </c>
      <c r="C705" s="20">
        <v>322.0</v>
      </c>
      <c r="D705" s="20">
        <v>2.0</v>
      </c>
      <c r="E705" s="20">
        <f t="shared" si="1"/>
        <v>644</v>
      </c>
      <c r="F705" s="49">
        <v>45422.0</v>
      </c>
      <c r="G705" s="20" t="s">
        <v>44</v>
      </c>
      <c r="H705" s="20">
        <v>22.0</v>
      </c>
      <c r="I705" s="20" t="str">
        <f>VLOOKUP(B705,'товар'!$A$1:$C$433,2,FALSE)</f>
        <v>Крупа</v>
      </c>
      <c r="J705" s="50">
        <f t="shared" si="2"/>
        <v>255.1162791</v>
      </c>
      <c r="K705" s="51">
        <f t="shared" si="3"/>
        <v>0.2621695533</v>
      </c>
      <c r="L705" s="20" t="str">
        <f>VLOOKUP(B705,'товар'!$A$1:$C$433,3,FALSE)</f>
        <v>Ярмарка</v>
      </c>
      <c r="M705" s="52">
        <f t="shared" si="4"/>
        <v>252.0909091</v>
      </c>
      <c r="N705" s="53">
        <f>VLOOKUP(H705,'клиенты'!$A$1:$F$435,5,FALSE)</f>
        <v>44870</v>
      </c>
      <c r="O705" s="20">
        <f t="shared" si="5"/>
        <v>552</v>
      </c>
      <c r="P705" s="20" t="str">
        <f>VLOOKUP(H705,'клиенты'!$A$2:$J$435,10,FALSE)</f>
        <v>Беларусь</v>
      </c>
      <c r="Q705" s="54">
        <f t="shared" si="6"/>
        <v>46078.45901</v>
      </c>
      <c r="R705" s="55">
        <f t="shared" si="7"/>
        <v>40.28196706</v>
      </c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41">
        <v>705.0</v>
      </c>
      <c r="B706" s="41">
        <v>478.0</v>
      </c>
      <c r="C706" s="41">
        <v>342.0</v>
      </c>
      <c r="D706" s="41">
        <v>3.0</v>
      </c>
      <c r="E706" s="41">
        <f t="shared" si="1"/>
        <v>1026</v>
      </c>
      <c r="F706" s="42">
        <v>45037.0</v>
      </c>
      <c r="G706" s="41" t="s">
        <v>42</v>
      </c>
      <c r="H706" s="41">
        <v>360.0</v>
      </c>
      <c r="I706" s="41" t="str">
        <f>VLOOKUP(B706,'товар'!$A$1:$C$433,2,FALSE)</f>
        <v>Конфеты</v>
      </c>
      <c r="J706" s="43">
        <f t="shared" si="2"/>
        <v>267.8548387</v>
      </c>
      <c r="K706" s="44">
        <f t="shared" si="3"/>
        <v>0.2768109833</v>
      </c>
      <c r="L706" s="41" t="str">
        <f>VLOOKUP(B706,'товар'!$A$1:$C$433,3,FALSE)</f>
        <v>Рот Фронт</v>
      </c>
      <c r="M706" s="45">
        <f t="shared" si="4"/>
        <v>288.2380952</v>
      </c>
      <c r="N706" s="46">
        <f>VLOOKUP(H706,'клиенты'!$A$1:$F$435,5,FALSE)</f>
        <v>44728</v>
      </c>
      <c r="O706" s="41">
        <f t="shared" si="5"/>
        <v>309</v>
      </c>
      <c r="P706" s="41" t="str">
        <f>VLOOKUP(H706,'клиенты'!$A$2:$J$435,10,FALSE)</f>
        <v>Беларусь</v>
      </c>
      <c r="Q706" s="47">
        <f t="shared" si="6"/>
        <v>46078.45901</v>
      </c>
      <c r="R706" s="48">
        <f t="shared" si="7"/>
        <v>45.01530039</v>
      </c>
      <c r="S706" s="41"/>
      <c r="T706" s="41"/>
      <c r="U706" s="41"/>
      <c r="V706" s="41"/>
      <c r="W706" s="41"/>
      <c r="X706" s="41"/>
      <c r="Y706" s="41"/>
      <c r="Z706" s="41"/>
    </row>
    <row r="707" ht="14.25" customHeight="1">
      <c r="A707" s="20">
        <v>706.0</v>
      </c>
      <c r="B707" s="20">
        <v>444.0</v>
      </c>
      <c r="C707" s="20">
        <v>315.0</v>
      </c>
      <c r="D707" s="20">
        <v>4.0</v>
      </c>
      <c r="E707" s="20">
        <f t="shared" si="1"/>
        <v>1260</v>
      </c>
      <c r="F707" s="49">
        <v>45041.0</v>
      </c>
      <c r="G707" s="20" t="s">
        <v>53</v>
      </c>
      <c r="H707" s="20">
        <v>414.0</v>
      </c>
      <c r="I707" s="20" t="str">
        <f>VLOOKUP(B707,'товар'!$A$1:$C$433,2,FALSE)</f>
        <v>Йогурт</v>
      </c>
      <c r="J707" s="50">
        <f t="shared" si="2"/>
        <v>263.2542373</v>
      </c>
      <c r="K707" s="51">
        <f t="shared" si="3"/>
        <v>0.1965619366</v>
      </c>
      <c r="L707" s="20" t="str">
        <f>VLOOKUP(B707,'товар'!$A$1:$C$433,3,FALSE)</f>
        <v>Эрманн</v>
      </c>
      <c r="M707" s="52">
        <f t="shared" si="4"/>
        <v>248.5</v>
      </c>
      <c r="N707" s="53">
        <f>VLOOKUP(H707,'клиенты'!$A$1:$F$435,5,FALSE)</f>
        <v>44794</v>
      </c>
      <c r="O707" s="20">
        <f t="shared" si="5"/>
        <v>247</v>
      </c>
      <c r="P707" s="20" t="str">
        <f>VLOOKUP(H707,'клиенты'!$A$2:$J$435,10,FALSE)</f>
        <v>Беларусь</v>
      </c>
      <c r="Q707" s="54">
        <f t="shared" si="6"/>
        <v>46078.45901</v>
      </c>
      <c r="R707" s="55">
        <f t="shared" si="7"/>
        <v>42.81530039</v>
      </c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41">
        <v>707.0</v>
      </c>
      <c r="B708" s="41">
        <v>110.0</v>
      </c>
      <c r="C708" s="41">
        <v>473.0</v>
      </c>
      <c r="D708" s="41">
        <v>2.0</v>
      </c>
      <c r="E708" s="41">
        <f t="shared" si="1"/>
        <v>946</v>
      </c>
      <c r="F708" s="42">
        <v>45373.0</v>
      </c>
      <c r="G708" s="41" t="s">
        <v>36</v>
      </c>
      <c r="H708" s="41">
        <v>152.0</v>
      </c>
      <c r="I708" s="41" t="str">
        <f>VLOOKUP(B708,'товар'!$A$1:$C$433,2,FALSE)</f>
        <v>Макароны</v>
      </c>
      <c r="J708" s="43">
        <f t="shared" si="2"/>
        <v>265.4767442</v>
      </c>
      <c r="K708" s="44">
        <f t="shared" si="3"/>
        <v>0.7817003197</v>
      </c>
      <c r="L708" s="41" t="str">
        <f>VLOOKUP(B708,'товар'!$A$1:$C$433,3,FALSE)</f>
        <v>Паста Зара</v>
      </c>
      <c r="M708" s="45">
        <f t="shared" si="4"/>
        <v>276.6756757</v>
      </c>
      <c r="N708" s="46">
        <f>VLOOKUP(H708,'клиенты'!$A$1:$F$435,5,FALSE)</f>
        <v>44791</v>
      </c>
      <c r="O708" s="41">
        <f t="shared" si="5"/>
        <v>582</v>
      </c>
      <c r="P708" s="41" t="str">
        <f>VLOOKUP(H708,'клиенты'!$A$2:$J$435,10,FALSE)</f>
        <v>Беларусь</v>
      </c>
      <c r="Q708" s="47">
        <f t="shared" si="6"/>
        <v>46078.45901</v>
      </c>
      <c r="R708" s="48">
        <f t="shared" si="7"/>
        <v>42.91530039</v>
      </c>
      <c r="S708" s="41"/>
      <c r="T708" s="41"/>
      <c r="U708" s="41"/>
      <c r="V708" s="41"/>
      <c r="W708" s="41"/>
      <c r="X708" s="41"/>
      <c r="Y708" s="41"/>
      <c r="Z708" s="41"/>
    </row>
    <row r="709" ht="14.25" customHeight="1">
      <c r="A709" s="20">
        <v>708.0</v>
      </c>
      <c r="B709" s="20">
        <v>191.0</v>
      </c>
      <c r="C709" s="20">
        <v>248.0</v>
      </c>
      <c r="D709" s="20">
        <v>2.0</v>
      </c>
      <c r="E709" s="20">
        <f t="shared" si="1"/>
        <v>496</v>
      </c>
      <c r="F709" s="49">
        <v>45148.0</v>
      </c>
      <c r="G709" s="20" t="s">
        <v>39</v>
      </c>
      <c r="H709" s="20">
        <v>177.0</v>
      </c>
      <c r="I709" s="20" t="str">
        <f>VLOOKUP(B709,'товар'!$A$1:$C$433,2,FALSE)</f>
        <v>Колбаса</v>
      </c>
      <c r="J709" s="50">
        <f t="shared" si="2"/>
        <v>286.9230769</v>
      </c>
      <c r="K709" s="51">
        <f t="shared" si="3"/>
        <v>-0.1356568365</v>
      </c>
      <c r="L709" s="20" t="str">
        <f>VLOOKUP(B709,'товар'!$A$1:$C$433,3,FALSE)</f>
        <v>Окраина</v>
      </c>
      <c r="M709" s="52">
        <f t="shared" si="4"/>
        <v>273.5833333</v>
      </c>
      <c r="N709" s="53">
        <f>VLOOKUP(H709,'клиенты'!$A$1:$F$435,5,FALSE)</f>
        <v>44857</v>
      </c>
      <c r="O709" s="20">
        <f t="shared" si="5"/>
        <v>291</v>
      </c>
      <c r="P709" s="20" t="str">
        <f>VLOOKUP(H709,'клиенты'!$A$2:$J$435,10,FALSE)</f>
        <v>Таджикистан</v>
      </c>
      <c r="Q709" s="54">
        <f t="shared" si="6"/>
        <v>46078.45901</v>
      </c>
      <c r="R709" s="55">
        <f t="shared" si="7"/>
        <v>40.71530039</v>
      </c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41">
        <v>709.0</v>
      </c>
      <c r="B710" s="41">
        <v>198.0</v>
      </c>
      <c r="C710" s="41">
        <v>335.0</v>
      </c>
      <c r="D710" s="41">
        <v>3.0</v>
      </c>
      <c r="E710" s="41">
        <f t="shared" si="1"/>
        <v>1005</v>
      </c>
      <c r="F710" s="42">
        <v>45164.0</v>
      </c>
      <c r="G710" s="41" t="s">
        <v>35</v>
      </c>
      <c r="H710" s="41">
        <v>111.0</v>
      </c>
      <c r="I710" s="41" t="str">
        <f>VLOOKUP(B710,'товар'!$A$1:$C$433,2,FALSE)</f>
        <v>Мясо</v>
      </c>
      <c r="J710" s="43">
        <f t="shared" si="2"/>
        <v>271.7454545</v>
      </c>
      <c r="K710" s="44">
        <f t="shared" si="3"/>
        <v>0.23277131</v>
      </c>
      <c r="L710" s="41" t="str">
        <f>VLOOKUP(B710,'товар'!$A$1:$C$433,3,FALSE)</f>
        <v>Мираторг</v>
      </c>
      <c r="M710" s="45">
        <f t="shared" si="4"/>
        <v>316.5833333</v>
      </c>
      <c r="N710" s="46">
        <f>VLOOKUP(H710,'клиенты'!$A$1:$F$435,5,FALSE)</f>
        <v>44804</v>
      </c>
      <c r="O710" s="41">
        <f t="shared" si="5"/>
        <v>360</v>
      </c>
      <c r="P710" s="41" t="str">
        <f>VLOOKUP(H710,'клиенты'!$A$2:$J$435,10,FALSE)</f>
        <v>Узбекистан</v>
      </c>
      <c r="Q710" s="47">
        <f t="shared" si="6"/>
        <v>46078.45901</v>
      </c>
      <c r="R710" s="48">
        <f t="shared" si="7"/>
        <v>42.48196706</v>
      </c>
      <c r="S710" s="41"/>
      <c r="T710" s="41"/>
      <c r="U710" s="41"/>
      <c r="V710" s="41"/>
      <c r="W710" s="41"/>
      <c r="X710" s="41"/>
      <c r="Y710" s="41"/>
      <c r="Z710" s="41"/>
    </row>
    <row r="711" ht="14.25" customHeight="1">
      <c r="A711" s="20">
        <v>710.0</v>
      </c>
      <c r="B711" s="20">
        <v>93.0</v>
      </c>
      <c r="C711" s="20">
        <v>343.0</v>
      </c>
      <c r="D711" s="20">
        <v>3.0</v>
      </c>
      <c r="E711" s="20">
        <f t="shared" si="1"/>
        <v>1029</v>
      </c>
      <c r="F711" s="49">
        <v>44930.0</v>
      </c>
      <c r="G711" s="20" t="s">
        <v>47</v>
      </c>
      <c r="H711" s="20">
        <v>281.0</v>
      </c>
      <c r="I711" s="20" t="str">
        <f>VLOOKUP(B711,'товар'!$A$1:$C$433,2,FALSE)</f>
        <v>Чай</v>
      </c>
      <c r="J711" s="50">
        <f t="shared" si="2"/>
        <v>271.1818182</v>
      </c>
      <c r="K711" s="51">
        <f t="shared" si="3"/>
        <v>0.2648340597</v>
      </c>
      <c r="L711" s="20" t="str">
        <f>VLOOKUP(B711,'товар'!$A$1:$C$433,3,FALSE)</f>
        <v>Greenfield</v>
      </c>
      <c r="M711" s="52">
        <f t="shared" si="4"/>
        <v>291.4545455</v>
      </c>
      <c r="N711" s="53">
        <f>VLOOKUP(H711,'клиенты'!$A$1:$F$435,5,FALSE)</f>
        <v>44711</v>
      </c>
      <c r="O711" s="20">
        <f t="shared" si="5"/>
        <v>219</v>
      </c>
      <c r="P711" s="20" t="str">
        <f>VLOOKUP(H711,'клиенты'!$A$2:$J$435,10,FALSE)</f>
        <v>Узбекистан</v>
      </c>
      <c r="Q711" s="54">
        <f t="shared" si="6"/>
        <v>46078.45901</v>
      </c>
      <c r="R711" s="55">
        <f t="shared" si="7"/>
        <v>45.58196706</v>
      </c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41">
        <v>711.0</v>
      </c>
      <c r="B712" s="41">
        <v>385.0</v>
      </c>
      <c r="C712" s="41">
        <v>309.0</v>
      </c>
      <c r="D712" s="41">
        <v>1.0</v>
      </c>
      <c r="E712" s="41">
        <f t="shared" si="1"/>
        <v>309</v>
      </c>
      <c r="F712" s="42">
        <v>45100.0</v>
      </c>
      <c r="G712" s="41" t="s">
        <v>42</v>
      </c>
      <c r="H712" s="41">
        <v>177.0</v>
      </c>
      <c r="I712" s="41" t="str">
        <f>VLOOKUP(B712,'товар'!$A$1:$C$433,2,FALSE)</f>
        <v>Макароны</v>
      </c>
      <c r="J712" s="43">
        <f t="shared" si="2"/>
        <v>265.4767442</v>
      </c>
      <c r="K712" s="44">
        <f t="shared" si="3"/>
        <v>0.1639437607</v>
      </c>
      <c r="L712" s="41" t="str">
        <f>VLOOKUP(B712,'товар'!$A$1:$C$433,3,FALSE)</f>
        <v>Макфа</v>
      </c>
      <c r="M712" s="45">
        <f t="shared" si="4"/>
        <v>329.2727273</v>
      </c>
      <c r="N712" s="46">
        <f>VLOOKUP(H712,'клиенты'!$A$1:$F$435,5,FALSE)</f>
        <v>44857</v>
      </c>
      <c r="O712" s="41">
        <f t="shared" si="5"/>
        <v>243</v>
      </c>
      <c r="P712" s="41" t="str">
        <f>VLOOKUP(H712,'клиенты'!$A$2:$J$435,10,FALSE)</f>
        <v>Таджикистан</v>
      </c>
      <c r="Q712" s="47">
        <f t="shared" si="6"/>
        <v>46078.45901</v>
      </c>
      <c r="R712" s="48">
        <f t="shared" si="7"/>
        <v>40.71530039</v>
      </c>
      <c r="S712" s="41"/>
      <c r="T712" s="41"/>
      <c r="U712" s="41"/>
      <c r="V712" s="41"/>
      <c r="W712" s="41"/>
      <c r="X712" s="41"/>
      <c r="Y712" s="41"/>
      <c r="Z712" s="41"/>
    </row>
    <row r="713" ht="14.25" customHeight="1">
      <c r="A713" s="20">
        <v>712.0</v>
      </c>
      <c r="B713" s="20">
        <v>456.0</v>
      </c>
      <c r="C713" s="20">
        <v>196.0</v>
      </c>
      <c r="D713" s="20">
        <v>4.0</v>
      </c>
      <c r="E713" s="20">
        <f t="shared" si="1"/>
        <v>784</v>
      </c>
      <c r="F713" s="49">
        <v>45006.0</v>
      </c>
      <c r="G713" s="20" t="s">
        <v>53</v>
      </c>
      <c r="H713" s="20">
        <v>446.0</v>
      </c>
      <c r="I713" s="20" t="str">
        <f>VLOOKUP(B713,'товар'!$A$1:$C$433,2,FALSE)</f>
        <v>Колбаса</v>
      </c>
      <c r="J713" s="50">
        <f t="shared" si="2"/>
        <v>286.9230769</v>
      </c>
      <c r="K713" s="51">
        <f t="shared" si="3"/>
        <v>-0.3168900804</v>
      </c>
      <c r="L713" s="20" t="str">
        <f>VLOOKUP(B713,'товар'!$A$1:$C$433,3,FALSE)</f>
        <v>Окраина</v>
      </c>
      <c r="M713" s="52">
        <f t="shared" si="4"/>
        <v>273.5833333</v>
      </c>
      <c r="N713" s="53">
        <f>VLOOKUP(H713,'клиенты'!$A$1:$F$435,5,FALSE)</f>
        <v>44671</v>
      </c>
      <c r="O713" s="20">
        <f t="shared" si="5"/>
        <v>335</v>
      </c>
      <c r="P713" s="20" t="str">
        <f>VLOOKUP(H713,'клиенты'!$A$2:$J$435,10,FALSE)</f>
        <v>Таджикистан</v>
      </c>
      <c r="Q713" s="54">
        <f t="shared" si="6"/>
        <v>46078.45901</v>
      </c>
      <c r="R713" s="55">
        <f t="shared" si="7"/>
        <v>46.91530039</v>
      </c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41">
        <v>713.0</v>
      </c>
      <c r="B714" s="41">
        <v>147.0</v>
      </c>
      <c r="C714" s="41">
        <v>258.0</v>
      </c>
      <c r="D714" s="41">
        <v>5.0</v>
      </c>
      <c r="E714" s="41">
        <f t="shared" si="1"/>
        <v>1290</v>
      </c>
      <c r="F714" s="42">
        <v>45356.0</v>
      </c>
      <c r="G714" s="41" t="s">
        <v>52</v>
      </c>
      <c r="H714" s="41">
        <v>202.0</v>
      </c>
      <c r="I714" s="41" t="str">
        <f>VLOOKUP(B714,'товар'!$A$1:$C$433,2,FALSE)</f>
        <v>Конфеты</v>
      </c>
      <c r="J714" s="43">
        <f t="shared" si="2"/>
        <v>267.8548387</v>
      </c>
      <c r="K714" s="44">
        <f t="shared" si="3"/>
        <v>-0.03679171434</v>
      </c>
      <c r="L714" s="41" t="str">
        <f>VLOOKUP(B714,'товар'!$A$1:$C$433,3,FALSE)</f>
        <v>Бабаевский</v>
      </c>
      <c r="M714" s="45">
        <f t="shared" si="4"/>
        <v>250.2592593</v>
      </c>
      <c r="N714" s="46">
        <f>VLOOKUP(H714,'клиенты'!$A$1:$F$435,5,FALSE)</f>
        <v>44766</v>
      </c>
      <c r="O714" s="41">
        <f t="shared" si="5"/>
        <v>590</v>
      </c>
      <c r="P714" s="41" t="str">
        <f>VLOOKUP(H714,'клиенты'!$A$2:$J$435,10,FALSE)</f>
        <v>Беларусь</v>
      </c>
      <c r="Q714" s="47">
        <f t="shared" si="6"/>
        <v>46078.45901</v>
      </c>
      <c r="R714" s="48">
        <f t="shared" si="7"/>
        <v>43.74863373</v>
      </c>
      <c r="S714" s="41"/>
      <c r="T714" s="41"/>
      <c r="U714" s="41"/>
      <c r="V714" s="41"/>
      <c r="W714" s="41"/>
      <c r="X714" s="41"/>
      <c r="Y714" s="41"/>
      <c r="Z714" s="41"/>
    </row>
    <row r="715" ht="14.25" customHeight="1">
      <c r="A715" s="20">
        <v>714.0</v>
      </c>
      <c r="B715" s="20">
        <v>47.0</v>
      </c>
      <c r="C715" s="20">
        <v>496.0</v>
      </c>
      <c r="D715" s="20">
        <v>2.0</v>
      </c>
      <c r="E715" s="20">
        <f t="shared" si="1"/>
        <v>992</v>
      </c>
      <c r="F715" s="49">
        <v>45196.0</v>
      </c>
      <c r="G715" s="20" t="s">
        <v>37</v>
      </c>
      <c r="H715" s="20">
        <v>140.0</v>
      </c>
      <c r="I715" s="20" t="str">
        <f>VLOOKUP(B715,'товар'!$A$1:$C$433,2,FALSE)</f>
        <v>Мясо</v>
      </c>
      <c r="J715" s="50">
        <f t="shared" si="2"/>
        <v>271.7454545</v>
      </c>
      <c r="K715" s="51">
        <f t="shared" si="3"/>
        <v>0.8252375217</v>
      </c>
      <c r="L715" s="20" t="str">
        <f>VLOOKUP(B715,'товар'!$A$1:$C$433,3,FALSE)</f>
        <v>Снежана</v>
      </c>
      <c r="M715" s="52">
        <f t="shared" si="4"/>
        <v>272.3529412</v>
      </c>
      <c r="N715" s="53">
        <f>VLOOKUP(H715,'клиенты'!$A$1:$F$435,5,FALSE)</f>
        <v>44627</v>
      </c>
      <c r="O715" s="20">
        <f t="shared" si="5"/>
        <v>569</v>
      </c>
      <c r="P715" s="20" t="str">
        <f>VLOOKUP(H715,'клиенты'!$A$2:$J$435,10,FALSE)</f>
        <v>Россия</v>
      </c>
      <c r="Q715" s="54">
        <f t="shared" si="6"/>
        <v>46078.45901</v>
      </c>
      <c r="R715" s="55">
        <f t="shared" si="7"/>
        <v>48.38196706</v>
      </c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41">
        <v>715.0</v>
      </c>
      <c r="B716" s="41">
        <v>369.0</v>
      </c>
      <c r="C716" s="41">
        <v>202.0</v>
      </c>
      <c r="D716" s="41">
        <v>5.0</v>
      </c>
      <c r="E716" s="41">
        <f t="shared" si="1"/>
        <v>1010</v>
      </c>
      <c r="F716" s="42">
        <v>45100.0</v>
      </c>
      <c r="G716" s="41" t="s">
        <v>54</v>
      </c>
      <c r="H716" s="41">
        <v>321.0</v>
      </c>
      <c r="I716" s="41" t="str">
        <f>VLOOKUP(B716,'товар'!$A$1:$C$433,2,FALSE)</f>
        <v>Молоко</v>
      </c>
      <c r="J716" s="43">
        <f t="shared" si="2"/>
        <v>294.952381</v>
      </c>
      <c r="K716" s="44">
        <f t="shared" si="3"/>
        <v>-0.3151436874</v>
      </c>
      <c r="L716" s="41" t="str">
        <f>VLOOKUP(B716,'товар'!$A$1:$C$433,3,FALSE)</f>
        <v>Домик в деревне</v>
      </c>
      <c r="M716" s="45">
        <f t="shared" si="4"/>
        <v>274.7777778</v>
      </c>
      <c r="N716" s="46">
        <f>VLOOKUP(H716,'клиенты'!$A$1:$F$435,5,FALSE)</f>
        <v>44756</v>
      </c>
      <c r="O716" s="41">
        <f t="shared" si="5"/>
        <v>344</v>
      </c>
      <c r="P716" s="41" t="str">
        <f>VLOOKUP(H716,'клиенты'!$A$2:$J$435,10,FALSE)</f>
        <v>Таджикистан</v>
      </c>
      <c r="Q716" s="47">
        <f t="shared" si="6"/>
        <v>46078.45901</v>
      </c>
      <c r="R716" s="48">
        <f t="shared" si="7"/>
        <v>44.08196706</v>
      </c>
      <c r="S716" s="41"/>
      <c r="T716" s="41"/>
      <c r="U716" s="41"/>
      <c r="V716" s="41"/>
      <c r="W716" s="41"/>
      <c r="X716" s="41"/>
      <c r="Y716" s="41"/>
      <c r="Z716" s="41"/>
    </row>
    <row r="717" ht="14.25" customHeight="1">
      <c r="A717" s="20">
        <v>716.0</v>
      </c>
      <c r="B717" s="20">
        <v>296.0</v>
      </c>
      <c r="C717" s="20">
        <v>155.0</v>
      </c>
      <c r="D717" s="20">
        <v>1.0</v>
      </c>
      <c r="E717" s="20">
        <f t="shared" si="1"/>
        <v>155</v>
      </c>
      <c r="F717" s="49">
        <v>45349.0</v>
      </c>
      <c r="G717" s="20" t="s">
        <v>47</v>
      </c>
      <c r="H717" s="20">
        <v>188.0</v>
      </c>
      <c r="I717" s="20" t="str">
        <f>VLOOKUP(B717,'товар'!$A$1:$C$433,2,FALSE)</f>
        <v>Крупа</v>
      </c>
      <c r="J717" s="50">
        <f t="shared" si="2"/>
        <v>255.1162791</v>
      </c>
      <c r="K717" s="51">
        <f t="shared" si="3"/>
        <v>-0.3924339107</v>
      </c>
      <c r="L717" s="20" t="str">
        <f>VLOOKUP(B717,'товар'!$A$1:$C$433,3,FALSE)</f>
        <v>Мистраль</v>
      </c>
      <c r="M717" s="52">
        <f t="shared" si="4"/>
        <v>250.3076923</v>
      </c>
      <c r="N717" s="53">
        <f>VLOOKUP(H717,'клиенты'!$A$1:$F$435,5,FALSE)</f>
        <v>44801</v>
      </c>
      <c r="O717" s="20">
        <f t="shared" si="5"/>
        <v>548</v>
      </c>
      <c r="P717" s="20" t="str">
        <f>VLOOKUP(H717,'клиенты'!$A$2:$J$435,10,FALSE)</f>
        <v>Таджикистан</v>
      </c>
      <c r="Q717" s="54">
        <f t="shared" si="6"/>
        <v>46078.45901</v>
      </c>
      <c r="R717" s="55">
        <f t="shared" si="7"/>
        <v>42.58196706</v>
      </c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41">
        <v>717.0</v>
      </c>
      <c r="B718" s="41">
        <v>448.0</v>
      </c>
      <c r="C718" s="41">
        <v>72.0</v>
      </c>
      <c r="D718" s="41">
        <v>5.0</v>
      </c>
      <c r="E718" s="41">
        <f t="shared" si="1"/>
        <v>360</v>
      </c>
      <c r="F718" s="42">
        <v>45409.0</v>
      </c>
      <c r="G718" s="41" t="s">
        <v>35</v>
      </c>
      <c r="H718" s="41">
        <v>63.0</v>
      </c>
      <c r="I718" s="41" t="str">
        <f>VLOOKUP(B718,'товар'!$A$1:$C$433,2,FALSE)</f>
        <v>Йогурт</v>
      </c>
      <c r="J718" s="43">
        <f t="shared" si="2"/>
        <v>263.2542373</v>
      </c>
      <c r="K718" s="44">
        <f t="shared" si="3"/>
        <v>-0.7265001288</v>
      </c>
      <c r="L718" s="41" t="str">
        <f>VLOOKUP(B718,'товар'!$A$1:$C$433,3,FALSE)</f>
        <v>Ростагроэкспорт</v>
      </c>
      <c r="M718" s="45">
        <f t="shared" si="4"/>
        <v>257.7826087</v>
      </c>
      <c r="N718" s="46">
        <f>VLOOKUP(H718,'клиенты'!$A$1:$F$435,5,FALSE)</f>
        <v>44684</v>
      </c>
      <c r="O718" s="41">
        <f t="shared" si="5"/>
        <v>725</v>
      </c>
      <c r="P718" s="41" t="str">
        <f>VLOOKUP(H718,'клиенты'!$A$2:$J$435,10,FALSE)</f>
        <v>Украина</v>
      </c>
      <c r="Q718" s="47">
        <f t="shared" si="6"/>
        <v>46078.45901</v>
      </c>
      <c r="R718" s="48">
        <f t="shared" si="7"/>
        <v>46.48196706</v>
      </c>
      <c r="S718" s="41"/>
      <c r="T718" s="41"/>
      <c r="U718" s="41"/>
      <c r="V718" s="41"/>
      <c r="W718" s="41"/>
      <c r="X718" s="41"/>
      <c r="Y718" s="41"/>
      <c r="Z718" s="41"/>
    </row>
    <row r="719" ht="14.25" customHeight="1">
      <c r="A719" s="20">
        <v>718.0</v>
      </c>
      <c r="B719" s="20">
        <v>38.0</v>
      </c>
      <c r="C719" s="20">
        <v>191.0</v>
      </c>
      <c r="D719" s="20">
        <v>5.0</v>
      </c>
      <c r="E719" s="20">
        <f t="shared" si="1"/>
        <v>955</v>
      </c>
      <c r="F719" s="49">
        <v>44992.0</v>
      </c>
      <c r="G719" s="20" t="s">
        <v>50</v>
      </c>
      <c r="H719" s="20">
        <v>25.0</v>
      </c>
      <c r="I719" s="20" t="str">
        <f>VLOOKUP(B719,'товар'!$A$1:$C$433,2,FALSE)</f>
        <v>Конфеты</v>
      </c>
      <c r="J719" s="50">
        <f t="shared" si="2"/>
        <v>267.8548387</v>
      </c>
      <c r="K719" s="51">
        <f t="shared" si="3"/>
        <v>-0.2869271994</v>
      </c>
      <c r="L719" s="20" t="str">
        <f>VLOOKUP(B719,'товар'!$A$1:$C$433,3,FALSE)</f>
        <v>Рот Фронт</v>
      </c>
      <c r="M719" s="52">
        <f t="shared" si="4"/>
        <v>288.2380952</v>
      </c>
      <c r="N719" s="53">
        <f>VLOOKUP(H719,'клиенты'!$A$1:$F$435,5,FALSE)</f>
        <v>44582</v>
      </c>
      <c r="O719" s="20">
        <f t="shared" si="5"/>
        <v>410</v>
      </c>
      <c r="P719" s="20" t="str">
        <f>VLOOKUP(H719,'клиенты'!$A$2:$J$435,10,FALSE)</f>
        <v>Таджикистан</v>
      </c>
      <c r="Q719" s="54">
        <f t="shared" si="6"/>
        <v>46078.45901</v>
      </c>
      <c r="R719" s="55">
        <f t="shared" si="7"/>
        <v>49.88196706</v>
      </c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41">
        <v>719.0</v>
      </c>
      <c r="B720" s="41">
        <v>272.0</v>
      </c>
      <c r="C720" s="41">
        <v>362.0</v>
      </c>
      <c r="D720" s="41">
        <v>2.0</v>
      </c>
      <c r="E720" s="41">
        <f t="shared" si="1"/>
        <v>724</v>
      </c>
      <c r="F720" s="42">
        <v>45025.0</v>
      </c>
      <c r="G720" s="41" t="s">
        <v>47</v>
      </c>
      <c r="H720" s="41">
        <v>409.0</v>
      </c>
      <c r="I720" s="41" t="str">
        <f>VLOOKUP(B720,'товар'!$A$1:$C$433,2,FALSE)</f>
        <v>Крупа</v>
      </c>
      <c r="J720" s="43">
        <f t="shared" si="2"/>
        <v>255.1162791</v>
      </c>
      <c r="K720" s="44">
        <f t="shared" si="3"/>
        <v>0.4189608022</v>
      </c>
      <c r="L720" s="41" t="str">
        <f>VLOOKUP(B720,'товар'!$A$1:$C$433,3,FALSE)</f>
        <v>Ярмарка</v>
      </c>
      <c r="M720" s="45">
        <f t="shared" si="4"/>
        <v>252.0909091</v>
      </c>
      <c r="N720" s="46">
        <f>VLOOKUP(H720,'клиенты'!$A$1:$F$435,5,FALSE)</f>
        <v>44869</v>
      </c>
      <c r="O720" s="41">
        <f t="shared" si="5"/>
        <v>156</v>
      </c>
      <c r="P720" s="41" t="str">
        <f>VLOOKUP(H720,'клиенты'!$A$2:$J$435,10,FALSE)</f>
        <v>Украина</v>
      </c>
      <c r="Q720" s="47">
        <f t="shared" si="6"/>
        <v>46078.45901</v>
      </c>
      <c r="R720" s="48">
        <f t="shared" si="7"/>
        <v>40.31530039</v>
      </c>
      <c r="S720" s="41"/>
      <c r="T720" s="41"/>
      <c r="U720" s="41"/>
      <c r="V720" s="41"/>
      <c r="W720" s="41"/>
      <c r="X720" s="41"/>
      <c r="Y720" s="41"/>
      <c r="Z720" s="41"/>
    </row>
    <row r="721" ht="14.25" customHeight="1">
      <c r="A721" s="20">
        <v>720.0</v>
      </c>
      <c r="B721" s="20">
        <v>426.0</v>
      </c>
      <c r="C721" s="20">
        <v>394.0</v>
      </c>
      <c r="D721" s="20">
        <v>5.0</v>
      </c>
      <c r="E721" s="20">
        <f t="shared" si="1"/>
        <v>1970</v>
      </c>
      <c r="F721" s="49">
        <v>45349.0</v>
      </c>
      <c r="G721" s="20" t="s">
        <v>44</v>
      </c>
      <c r="H721" s="20">
        <v>386.0</v>
      </c>
      <c r="I721" s="20" t="str">
        <f>VLOOKUP(B721,'товар'!$A$1:$C$433,2,FALSE)</f>
        <v>Печенье</v>
      </c>
      <c r="J721" s="50">
        <f t="shared" si="2"/>
        <v>283.4680851</v>
      </c>
      <c r="K721" s="51">
        <f t="shared" si="3"/>
        <v>0.3899271936</v>
      </c>
      <c r="L721" s="20" t="str">
        <f>VLOOKUP(B721,'товар'!$A$1:$C$433,3,FALSE)</f>
        <v>Посиделкино</v>
      </c>
      <c r="M721" s="52">
        <f t="shared" si="4"/>
        <v>321.6363636</v>
      </c>
      <c r="N721" s="53">
        <f>VLOOKUP(H721,'клиенты'!$A$1:$F$435,5,FALSE)</f>
        <v>44734</v>
      </c>
      <c r="O721" s="20">
        <f t="shared" si="5"/>
        <v>615</v>
      </c>
      <c r="P721" s="20" t="str">
        <f>VLOOKUP(H721,'клиенты'!$A$2:$J$435,10,FALSE)</f>
        <v>Узбекистан</v>
      </c>
      <c r="Q721" s="54">
        <f t="shared" si="6"/>
        <v>46078.45901</v>
      </c>
      <c r="R721" s="55">
        <f t="shared" si="7"/>
        <v>44.81530039</v>
      </c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41">
        <v>721.0</v>
      </c>
      <c r="B722" s="41">
        <v>378.0</v>
      </c>
      <c r="C722" s="41">
        <v>203.0</v>
      </c>
      <c r="D722" s="41">
        <v>4.0</v>
      </c>
      <c r="E722" s="41">
        <f t="shared" si="1"/>
        <v>812</v>
      </c>
      <c r="F722" s="42">
        <v>45244.0</v>
      </c>
      <c r="G722" s="41" t="s">
        <v>51</v>
      </c>
      <c r="H722" s="41">
        <v>238.0</v>
      </c>
      <c r="I722" s="41" t="str">
        <f>VLOOKUP(B722,'товар'!$A$1:$C$433,2,FALSE)</f>
        <v>Сок</v>
      </c>
      <c r="J722" s="43">
        <f t="shared" si="2"/>
        <v>268.6034483</v>
      </c>
      <c r="K722" s="44">
        <f t="shared" si="3"/>
        <v>-0.2442390397</v>
      </c>
      <c r="L722" s="41" t="str">
        <f>VLOOKUP(B722,'товар'!$A$1:$C$433,3,FALSE)</f>
        <v>Фруктовый сад</v>
      </c>
      <c r="M722" s="45">
        <f t="shared" si="4"/>
        <v>281.96875</v>
      </c>
      <c r="N722" s="46">
        <f>VLOOKUP(H722,'клиенты'!$A$1:$F$435,5,FALSE)</f>
        <v>44909</v>
      </c>
      <c r="O722" s="41">
        <f t="shared" si="5"/>
        <v>335</v>
      </c>
      <c r="P722" s="41" t="str">
        <f>VLOOKUP(H722,'клиенты'!$A$2:$J$435,10,FALSE)</f>
        <v>Украина</v>
      </c>
      <c r="Q722" s="47">
        <f t="shared" si="6"/>
        <v>46078.45901</v>
      </c>
      <c r="R722" s="48">
        <f t="shared" si="7"/>
        <v>38.98196706</v>
      </c>
      <c r="S722" s="41"/>
      <c r="T722" s="41"/>
      <c r="U722" s="41"/>
      <c r="V722" s="41"/>
      <c r="W722" s="41"/>
      <c r="X722" s="41"/>
      <c r="Y722" s="41"/>
      <c r="Z722" s="41"/>
    </row>
    <row r="723" ht="14.25" customHeight="1">
      <c r="A723" s="20">
        <v>722.0</v>
      </c>
      <c r="B723" s="20">
        <v>134.0</v>
      </c>
      <c r="C723" s="20">
        <v>450.0</v>
      </c>
      <c r="D723" s="20">
        <v>5.0</v>
      </c>
      <c r="E723" s="20">
        <f t="shared" si="1"/>
        <v>2250</v>
      </c>
      <c r="F723" s="49">
        <v>45061.0</v>
      </c>
      <c r="G723" s="20" t="s">
        <v>45</v>
      </c>
      <c r="H723" s="20">
        <v>480.0</v>
      </c>
      <c r="I723" s="20" t="str">
        <f>VLOOKUP(B723,'товар'!$A$1:$C$433,2,FALSE)</f>
        <v>Рыба</v>
      </c>
      <c r="J723" s="50">
        <f t="shared" si="2"/>
        <v>258.5128205</v>
      </c>
      <c r="K723" s="51">
        <f t="shared" si="3"/>
        <v>0.7407260464</v>
      </c>
      <c r="L723" s="20" t="str">
        <f>VLOOKUP(B723,'товар'!$A$1:$C$433,3,FALSE)</f>
        <v>Меридиан</v>
      </c>
      <c r="M723" s="52">
        <f t="shared" si="4"/>
        <v>260.6470588</v>
      </c>
      <c r="N723" s="53">
        <f>VLOOKUP(H723,'клиенты'!$A$1:$F$435,5,FALSE)</f>
        <v>44568</v>
      </c>
      <c r="O723" s="20">
        <f t="shared" si="5"/>
        <v>493</v>
      </c>
      <c r="P723" s="20" t="str">
        <f>VLOOKUP(H723,'клиенты'!$A$2:$J$435,10,FALSE)</f>
        <v>Узбекистан</v>
      </c>
      <c r="Q723" s="54">
        <f t="shared" si="6"/>
        <v>46078.45901</v>
      </c>
      <c r="R723" s="55">
        <f t="shared" si="7"/>
        <v>50.34863373</v>
      </c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41">
        <v>723.0</v>
      </c>
      <c r="B724" s="41">
        <v>485.0</v>
      </c>
      <c r="C724" s="41">
        <v>323.0</v>
      </c>
      <c r="D724" s="41">
        <v>1.0</v>
      </c>
      <c r="E724" s="41">
        <f t="shared" si="1"/>
        <v>323</v>
      </c>
      <c r="F724" s="42">
        <v>45144.0</v>
      </c>
      <c r="G724" s="41" t="s">
        <v>36</v>
      </c>
      <c r="H724" s="41">
        <v>157.0</v>
      </c>
      <c r="I724" s="41" t="str">
        <f>VLOOKUP(B724,'товар'!$A$1:$C$433,2,FALSE)</f>
        <v>Макароны</v>
      </c>
      <c r="J724" s="43">
        <f t="shared" si="2"/>
        <v>265.4767442</v>
      </c>
      <c r="K724" s="44">
        <f t="shared" si="3"/>
        <v>0.2166790767</v>
      </c>
      <c r="L724" s="41" t="str">
        <f>VLOOKUP(B724,'товар'!$A$1:$C$433,3,FALSE)</f>
        <v>Борилла</v>
      </c>
      <c r="M724" s="45">
        <f t="shared" si="4"/>
        <v>236.2758621</v>
      </c>
      <c r="N724" s="46">
        <f>VLOOKUP(H724,'клиенты'!$A$1:$F$435,5,FALSE)</f>
        <v>44783</v>
      </c>
      <c r="O724" s="41">
        <f t="shared" si="5"/>
        <v>361</v>
      </c>
      <c r="P724" s="41" t="str">
        <f>VLOOKUP(H724,'клиенты'!$A$2:$J$435,10,FALSE)</f>
        <v>Россия</v>
      </c>
      <c r="Q724" s="47">
        <f t="shared" si="6"/>
        <v>46078.45901</v>
      </c>
      <c r="R724" s="48">
        <f t="shared" si="7"/>
        <v>43.18196706</v>
      </c>
      <c r="S724" s="41"/>
      <c r="T724" s="41"/>
      <c r="U724" s="41"/>
      <c r="V724" s="41"/>
      <c r="W724" s="41"/>
      <c r="X724" s="41"/>
      <c r="Y724" s="41"/>
      <c r="Z724" s="41"/>
    </row>
    <row r="725" ht="14.25" customHeight="1">
      <c r="A725" s="20">
        <v>724.0</v>
      </c>
      <c r="B725" s="20">
        <v>400.0</v>
      </c>
      <c r="C725" s="20">
        <v>358.0</v>
      </c>
      <c r="D725" s="20">
        <v>4.0</v>
      </c>
      <c r="E725" s="20">
        <f t="shared" si="1"/>
        <v>1432</v>
      </c>
      <c r="F725" s="49">
        <v>45103.0</v>
      </c>
      <c r="G725" s="20" t="s">
        <v>37</v>
      </c>
      <c r="H725" s="20">
        <v>9.0</v>
      </c>
      <c r="I725" s="20" t="str">
        <f>VLOOKUP(B725,'товар'!$A$1:$C$433,2,FALSE)</f>
        <v>Молоко</v>
      </c>
      <c r="J725" s="50">
        <f t="shared" si="2"/>
        <v>294.952381</v>
      </c>
      <c r="K725" s="51">
        <f t="shared" si="3"/>
        <v>0.213755247</v>
      </c>
      <c r="L725" s="20" t="str">
        <f>VLOOKUP(B725,'товар'!$A$1:$C$433,3,FALSE)</f>
        <v>Беллакт</v>
      </c>
      <c r="M725" s="52">
        <f t="shared" si="4"/>
        <v>322.5454545</v>
      </c>
      <c r="N725" s="53">
        <f>VLOOKUP(H725,'клиенты'!$A$1:$F$435,5,FALSE)</f>
        <v>44900</v>
      </c>
      <c r="O725" s="20">
        <f t="shared" si="5"/>
        <v>203</v>
      </c>
      <c r="P725" s="20" t="str">
        <f>VLOOKUP(H725,'клиенты'!$A$2:$J$435,10,FALSE)</f>
        <v>Таджикистан</v>
      </c>
      <c r="Q725" s="54">
        <f t="shared" si="6"/>
        <v>46078.45901</v>
      </c>
      <c r="R725" s="55">
        <f t="shared" si="7"/>
        <v>39.28196706</v>
      </c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41">
        <v>725.0</v>
      </c>
      <c r="B726" s="41">
        <v>28.0</v>
      </c>
      <c r="C726" s="41">
        <v>459.0</v>
      </c>
      <c r="D726" s="41">
        <v>1.0</v>
      </c>
      <c r="E726" s="41">
        <f t="shared" si="1"/>
        <v>459</v>
      </c>
      <c r="F726" s="42">
        <v>45377.0</v>
      </c>
      <c r="G726" s="41" t="s">
        <v>45</v>
      </c>
      <c r="H726" s="41">
        <v>63.0</v>
      </c>
      <c r="I726" s="41" t="str">
        <f>VLOOKUP(B726,'товар'!$A$1:$C$433,2,FALSE)</f>
        <v>Крупа</v>
      </c>
      <c r="J726" s="43">
        <f t="shared" si="2"/>
        <v>255.1162791</v>
      </c>
      <c r="K726" s="44">
        <f t="shared" si="3"/>
        <v>0.7991795807</v>
      </c>
      <c r="L726" s="41" t="str">
        <f>VLOOKUP(B726,'товар'!$A$1:$C$433,3,FALSE)</f>
        <v>Националь</v>
      </c>
      <c r="M726" s="45">
        <f t="shared" si="4"/>
        <v>274.2857143</v>
      </c>
      <c r="N726" s="46">
        <f>VLOOKUP(H726,'клиенты'!$A$1:$F$435,5,FALSE)</f>
        <v>44684</v>
      </c>
      <c r="O726" s="41">
        <f t="shared" si="5"/>
        <v>693</v>
      </c>
      <c r="P726" s="41" t="str">
        <f>VLOOKUP(H726,'клиенты'!$A$2:$J$435,10,FALSE)</f>
        <v>Украина</v>
      </c>
      <c r="Q726" s="47">
        <f t="shared" si="6"/>
        <v>46078.45901</v>
      </c>
      <c r="R726" s="48">
        <f t="shared" si="7"/>
        <v>46.48196706</v>
      </c>
      <c r="S726" s="41"/>
      <c r="T726" s="41"/>
      <c r="U726" s="41"/>
      <c r="V726" s="41"/>
      <c r="W726" s="41"/>
      <c r="X726" s="41"/>
      <c r="Y726" s="41"/>
      <c r="Z726" s="41"/>
    </row>
    <row r="727" ht="14.25" customHeight="1">
      <c r="A727" s="20">
        <v>726.0</v>
      </c>
      <c r="B727" s="20">
        <v>195.0</v>
      </c>
      <c r="C727" s="20">
        <v>497.0</v>
      </c>
      <c r="D727" s="20">
        <v>5.0</v>
      </c>
      <c r="E727" s="20">
        <f t="shared" si="1"/>
        <v>2485</v>
      </c>
      <c r="F727" s="49">
        <v>45136.0</v>
      </c>
      <c r="G727" s="20" t="s">
        <v>49</v>
      </c>
      <c r="H727" s="20">
        <v>105.0</v>
      </c>
      <c r="I727" s="20" t="str">
        <f>VLOOKUP(B727,'товар'!$A$1:$C$433,2,FALSE)</f>
        <v>Хлеб</v>
      </c>
      <c r="J727" s="50">
        <f t="shared" si="2"/>
        <v>300.3181818</v>
      </c>
      <c r="K727" s="51">
        <f t="shared" si="3"/>
        <v>0.6549114575</v>
      </c>
      <c r="L727" s="20" t="str">
        <f>VLOOKUP(B727,'товар'!$A$1:$C$433,3,FALSE)</f>
        <v>Каравай</v>
      </c>
      <c r="M727" s="52">
        <f t="shared" si="4"/>
        <v>331.1666667</v>
      </c>
      <c r="N727" s="53">
        <f>VLOOKUP(H727,'клиенты'!$A$1:$F$435,5,FALSE)</f>
        <v>44918</v>
      </c>
      <c r="O727" s="20">
        <f t="shared" si="5"/>
        <v>218</v>
      </c>
      <c r="P727" s="20" t="str">
        <f>VLOOKUP(H727,'клиенты'!$A$2:$J$435,10,FALSE)</f>
        <v>Узбекистан</v>
      </c>
      <c r="Q727" s="54">
        <f t="shared" si="6"/>
        <v>46078.45901</v>
      </c>
      <c r="R727" s="55">
        <f t="shared" si="7"/>
        <v>38.68196706</v>
      </c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41">
        <v>727.0</v>
      </c>
      <c r="B728" s="41">
        <v>398.0</v>
      </c>
      <c r="C728" s="41">
        <v>361.0</v>
      </c>
      <c r="D728" s="41">
        <v>1.0</v>
      </c>
      <c r="E728" s="41">
        <f t="shared" si="1"/>
        <v>361</v>
      </c>
      <c r="F728" s="42">
        <v>45336.0</v>
      </c>
      <c r="G728" s="41" t="s">
        <v>41</v>
      </c>
      <c r="H728" s="41">
        <v>40.0</v>
      </c>
      <c r="I728" s="41" t="str">
        <f>VLOOKUP(B728,'товар'!$A$1:$C$433,2,FALSE)</f>
        <v>Сок</v>
      </c>
      <c r="J728" s="43">
        <f t="shared" si="2"/>
        <v>268.6034483</v>
      </c>
      <c r="K728" s="44">
        <f t="shared" si="3"/>
        <v>0.3439887027</v>
      </c>
      <c r="L728" s="41" t="str">
        <f>VLOOKUP(B728,'товар'!$A$1:$C$433,3,FALSE)</f>
        <v>Фруктовый сад</v>
      </c>
      <c r="M728" s="45">
        <f t="shared" si="4"/>
        <v>281.96875</v>
      </c>
      <c r="N728" s="46">
        <f>VLOOKUP(H728,'клиенты'!$A$1:$F$435,5,FALSE)</f>
        <v>44855</v>
      </c>
      <c r="O728" s="41">
        <f t="shared" si="5"/>
        <v>481</v>
      </c>
      <c r="P728" s="41" t="str">
        <f>VLOOKUP(H728,'клиенты'!$A$2:$J$435,10,FALSE)</f>
        <v>Россия</v>
      </c>
      <c r="Q728" s="47">
        <f t="shared" si="6"/>
        <v>46078.45901</v>
      </c>
      <c r="R728" s="48">
        <f t="shared" si="7"/>
        <v>40.78196706</v>
      </c>
      <c r="S728" s="41"/>
      <c r="T728" s="41"/>
      <c r="U728" s="41"/>
      <c r="V728" s="41"/>
      <c r="W728" s="41"/>
      <c r="X728" s="41"/>
      <c r="Y728" s="41"/>
      <c r="Z728" s="41"/>
    </row>
    <row r="729" ht="14.25" customHeight="1">
      <c r="A729" s="20">
        <v>728.0</v>
      </c>
      <c r="B729" s="20">
        <v>77.0</v>
      </c>
      <c r="C729" s="20">
        <v>160.0</v>
      </c>
      <c r="D729" s="20">
        <v>2.0</v>
      </c>
      <c r="E729" s="20">
        <f t="shared" si="1"/>
        <v>320</v>
      </c>
      <c r="F729" s="49">
        <v>45222.0</v>
      </c>
      <c r="G729" s="20" t="s">
        <v>39</v>
      </c>
      <c r="H729" s="20">
        <v>260.0</v>
      </c>
      <c r="I729" s="20" t="str">
        <f>VLOOKUP(B729,'товар'!$A$1:$C$433,2,FALSE)</f>
        <v>Макароны</v>
      </c>
      <c r="J729" s="50">
        <f t="shared" si="2"/>
        <v>265.4767442</v>
      </c>
      <c r="K729" s="51">
        <f t="shared" si="3"/>
        <v>-0.3973106741</v>
      </c>
      <c r="L729" s="20" t="str">
        <f>VLOOKUP(B729,'товар'!$A$1:$C$433,3,FALSE)</f>
        <v>Паста Зара</v>
      </c>
      <c r="M729" s="52">
        <f t="shared" si="4"/>
        <v>276.6756757</v>
      </c>
      <c r="N729" s="53">
        <f>VLOOKUP(H729,'клиенты'!$A$1:$F$435,5,FALSE)</f>
        <v>44729</v>
      </c>
      <c r="O729" s="20">
        <f t="shared" si="5"/>
        <v>493</v>
      </c>
      <c r="P729" s="20" t="str">
        <f>VLOOKUP(H729,'клиенты'!$A$2:$J$435,10,FALSE)</f>
        <v>Украина</v>
      </c>
      <c r="Q729" s="54">
        <f t="shared" si="6"/>
        <v>46078.45901</v>
      </c>
      <c r="R729" s="55">
        <f t="shared" si="7"/>
        <v>44.98196706</v>
      </c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41">
        <v>729.0</v>
      </c>
      <c r="B730" s="41">
        <v>128.0</v>
      </c>
      <c r="C730" s="41">
        <v>419.0</v>
      </c>
      <c r="D730" s="41">
        <v>5.0</v>
      </c>
      <c r="E730" s="41">
        <f t="shared" si="1"/>
        <v>2095</v>
      </c>
      <c r="F730" s="42">
        <v>44943.0</v>
      </c>
      <c r="G730" s="41" t="s">
        <v>53</v>
      </c>
      <c r="H730" s="41">
        <v>220.0</v>
      </c>
      <c r="I730" s="41" t="str">
        <f>VLOOKUP(B730,'товар'!$A$1:$C$433,2,FALSE)</f>
        <v>Мясо</v>
      </c>
      <c r="J730" s="43">
        <f t="shared" si="2"/>
        <v>271.7454545</v>
      </c>
      <c r="K730" s="44">
        <f t="shared" si="3"/>
        <v>0.5418841162</v>
      </c>
      <c r="L730" s="41" t="str">
        <f>VLOOKUP(B730,'товар'!$A$1:$C$433,3,FALSE)</f>
        <v>Мираторг</v>
      </c>
      <c r="M730" s="45">
        <f t="shared" si="4"/>
        <v>316.5833333</v>
      </c>
      <c r="N730" s="46">
        <f>VLOOKUP(H730,'клиенты'!$A$1:$F$435,5,FALSE)</f>
        <v>44570</v>
      </c>
      <c r="O730" s="41">
        <f t="shared" si="5"/>
        <v>373</v>
      </c>
      <c r="P730" s="41" t="str">
        <f>VLOOKUP(H730,'клиенты'!$A$2:$J$435,10,FALSE)</f>
        <v>Украина</v>
      </c>
      <c r="Q730" s="47">
        <f t="shared" si="6"/>
        <v>46078.45901</v>
      </c>
      <c r="R730" s="48">
        <f t="shared" si="7"/>
        <v>50.28196706</v>
      </c>
      <c r="S730" s="41"/>
      <c r="T730" s="41"/>
      <c r="U730" s="41"/>
      <c r="V730" s="41"/>
      <c r="W730" s="41"/>
      <c r="X730" s="41"/>
      <c r="Y730" s="41"/>
      <c r="Z730" s="41"/>
    </row>
    <row r="731" ht="14.25" customHeight="1">
      <c r="A731" s="20">
        <v>730.0</v>
      </c>
      <c r="B731" s="20">
        <v>328.0</v>
      </c>
      <c r="C731" s="20">
        <v>429.0</v>
      </c>
      <c r="D731" s="20">
        <v>4.0</v>
      </c>
      <c r="E731" s="20">
        <f t="shared" si="1"/>
        <v>1716</v>
      </c>
      <c r="F731" s="49">
        <v>45245.0</v>
      </c>
      <c r="G731" s="20" t="s">
        <v>41</v>
      </c>
      <c r="H731" s="20">
        <v>88.0</v>
      </c>
      <c r="I731" s="20" t="str">
        <f>VLOOKUP(B731,'товар'!$A$1:$C$433,2,FALSE)</f>
        <v>Чипсы</v>
      </c>
      <c r="J731" s="50">
        <f t="shared" si="2"/>
        <v>273.7254902</v>
      </c>
      <c r="K731" s="51">
        <f t="shared" si="3"/>
        <v>0.5672636103</v>
      </c>
      <c r="L731" s="20" t="str">
        <f>VLOOKUP(B731,'товар'!$A$1:$C$433,3,FALSE)</f>
        <v>Русская картошка</v>
      </c>
      <c r="M731" s="52">
        <f t="shared" si="4"/>
        <v>241.8333333</v>
      </c>
      <c r="N731" s="53">
        <f>VLOOKUP(H731,'клиенты'!$A$1:$F$435,5,FALSE)</f>
        <v>44630</v>
      </c>
      <c r="O731" s="20">
        <f t="shared" si="5"/>
        <v>615</v>
      </c>
      <c r="P731" s="20" t="str">
        <f>VLOOKUP(H731,'клиенты'!$A$2:$J$435,10,FALSE)</f>
        <v>Украина</v>
      </c>
      <c r="Q731" s="54">
        <f t="shared" si="6"/>
        <v>46078.45901</v>
      </c>
      <c r="R731" s="55">
        <f t="shared" si="7"/>
        <v>48.28196706</v>
      </c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41">
        <v>731.0</v>
      </c>
      <c r="B732" s="41">
        <v>455.0</v>
      </c>
      <c r="C732" s="41">
        <v>72.0</v>
      </c>
      <c r="D732" s="41">
        <v>2.0</v>
      </c>
      <c r="E732" s="41">
        <f t="shared" si="1"/>
        <v>144</v>
      </c>
      <c r="F732" s="42">
        <v>45102.0</v>
      </c>
      <c r="G732" s="41" t="s">
        <v>43</v>
      </c>
      <c r="H732" s="41">
        <v>66.0</v>
      </c>
      <c r="I732" s="41" t="str">
        <f>VLOOKUP(B732,'товар'!$A$1:$C$433,2,FALSE)</f>
        <v>Соль</v>
      </c>
      <c r="J732" s="43">
        <f t="shared" si="2"/>
        <v>264.8679245</v>
      </c>
      <c r="K732" s="44">
        <f t="shared" si="3"/>
        <v>-0.7281664055</v>
      </c>
      <c r="L732" s="41" t="str">
        <f>VLOOKUP(B732,'товар'!$A$1:$C$433,3,FALSE)</f>
        <v>Славянская</v>
      </c>
      <c r="M732" s="45">
        <f t="shared" si="4"/>
        <v>236.9166667</v>
      </c>
      <c r="N732" s="46">
        <f>VLOOKUP(H732,'клиенты'!$A$1:$F$435,5,FALSE)</f>
        <v>44777</v>
      </c>
      <c r="O732" s="41">
        <f t="shared" si="5"/>
        <v>325</v>
      </c>
      <c r="P732" s="41" t="str">
        <f>VLOOKUP(H732,'клиенты'!$A$2:$J$435,10,FALSE)</f>
        <v>Россия</v>
      </c>
      <c r="Q732" s="47">
        <f t="shared" si="6"/>
        <v>46078.45901</v>
      </c>
      <c r="R732" s="48">
        <f t="shared" si="7"/>
        <v>43.38196706</v>
      </c>
      <c r="S732" s="41"/>
      <c r="T732" s="41"/>
      <c r="U732" s="41"/>
      <c r="V732" s="41"/>
      <c r="W732" s="41"/>
      <c r="X732" s="41"/>
      <c r="Y732" s="41"/>
      <c r="Z732" s="41"/>
    </row>
    <row r="733" ht="14.25" customHeight="1">
      <c r="A733" s="20">
        <v>732.0</v>
      </c>
      <c r="B733" s="20">
        <v>371.0</v>
      </c>
      <c r="C733" s="20">
        <v>97.0</v>
      </c>
      <c r="D733" s="20">
        <v>3.0</v>
      </c>
      <c r="E733" s="20">
        <f t="shared" si="1"/>
        <v>291</v>
      </c>
      <c r="F733" s="49">
        <v>45134.0</v>
      </c>
      <c r="G733" s="20" t="s">
        <v>46</v>
      </c>
      <c r="H733" s="20">
        <v>15.0</v>
      </c>
      <c r="I733" s="20" t="str">
        <f>VLOOKUP(B733,'товар'!$A$1:$C$433,2,FALSE)</f>
        <v>Сахар</v>
      </c>
      <c r="J733" s="50">
        <f t="shared" si="2"/>
        <v>252.7627119</v>
      </c>
      <c r="K733" s="51">
        <f t="shared" si="3"/>
        <v>-0.6162408637</v>
      </c>
      <c r="L733" s="20" t="str">
        <f>VLOOKUP(B733,'товар'!$A$1:$C$433,3,FALSE)</f>
        <v>Русский сахар</v>
      </c>
      <c r="M733" s="52">
        <f t="shared" si="4"/>
        <v>293.4117647</v>
      </c>
      <c r="N733" s="53">
        <f>VLOOKUP(H733,'клиенты'!$A$1:$F$435,5,FALSE)</f>
        <v>44711</v>
      </c>
      <c r="O733" s="20">
        <f t="shared" si="5"/>
        <v>423</v>
      </c>
      <c r="P733" s="20" t="str">
        <f>VLOOKUP(H733,'клиенты'!$A$2:$J$435,10,FALSE)</f>
        <v>Украина</v>
      </c>
      <c r="Q733" s="54">
        <f t="shared" si="6"/>
        <v>46078.45901</v>
      </c>
      <c r="R733" s="55">
        <f t="shared" si="7"/>
        <v>45.58196706</v>
      </c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41">
        <v>733.0</v>
      </c>
      <c r="B734" s="41">
        <v>486.0</v>
      </c>
      <c r="C734" s="41">
        <v>57.0</v>
      </c>
      <c r="D734" s="41">
        <v>2.0</v>
      </c>
      <c r="E734" s="41">
        <f t="shared" si="1"/>
        <v>114</v>
      </c>
      <c r="F734" s="42">
        <v>45198.0</v>
      </c>
      <c r="G734" s="41" t="s">
        <v>45</v>
      </c>
      <c r="H734" s="41">
        <v>485.0</v>
      </c>
      <c r="I734" s="41" t="str">
        <f>VLOOKUP(B734,'товар'!$A$1:$C$433,2,FALSE)</f>
        <v>Соль</v>
      </c>
      <c r="J734" s="43">
        <f t="shared" si="2"/>
        <v>264.8679245</v>
      </c>
      <c r="K734" s="44">
        <f t="shared" si="3"/>
        <v>-0.7847984043</v>
      </c>
      <c r="L734" s="41" t="str">
        <f>VLOOKUP(B734,'товар'!$A$1:$C$433,3,FALSE)</f>
        <v>Илецкая</v>
      </c>
      <c r="M734" s="45">
        <f t="shared" si="4"/>
        <v>238.1666667</v>
      </c>
      <c r="N734" s="46">
        <f>VLOOKUP(H734,'клиенты'!$A$1:$F$435,5,FALSE)</f>
        <v>44723</v>
      </c>
      <c r="O734" s="41">
        <f t="shared" si="5"/>
        <v>475</v>
      </c>
      <c r="P734" s="41" t="str">
        <f>VLOOKUP(H734,'клиенты'!$A$2:$J$435,10,FALSE)</f>
        <v>Россия</v>
      </c>
      <c r="Q734" s="47">
        <f t="shared" si="6"/>
        <v>46078.45901</v>
      </c>
      <c r="R734" s="48">
        <f t="shared" si="7"/>
        <v>45.18196706</v>
      </c>
      <c r="S734" s="41"/>
      <c r="T734" s="41"/>
      <c r="U734" s="41"/>
      <c r="V734" s="41"/>
      <c r="W734" s="41"/>
      <c r="X734" s="41"/>
      <c r="Y734" s="41"/>
      <c r="Z734" s="41"/>
    </row>
    <row r="735" ht="14.25" customHeight="1">
      <c r="A735" s="20">
        <v>734.0</v>
      </c>
      <c r="B735" s="20">
        <v>359.0</v>
      </c>
      <c r="C735" s="20">
        <v>126.0</v>
      </c>
      <c r="D735" s="20">
        <v>4.0</v>
      </c>
      <c r="E735" s="20">
        <f t="shared" si="1"/>
        <v>504</v>
      </c>
      <c r="F735" s="49">
        <v>45065.0</v>
      </c>
      <c r="G735" s="20" t="s">
        <v>41</v>
      </c>
      <c r="H735" s="20">
        <v>394.0</v>
      </c>
      <c r="I735" s="20" t="str">
        <f>VLOOKUP(B735,'товар'!$A$1:$C$433,2,FALSE)</f>
        <v>Мясо</v>
      </c>
      <c r="J735" s="50">
        <f t="shared" si="2"/>
        <v>271.7454545</v>
      </c>
      <c r="K735" s="51">
        <f t="shared" si="3"/>
        <v>-0.5363307908</v>
      </c>
      <c r="L735" s="20" t="str">
        <f>VLOOKUP(B735,'товар'!$A$1:$C$433,3,FALSE)</f>
        <v>Мираторг</v>
      </c>
      <c r="M735" s="52">
        <f t="shared" si="4"/>
        <v>316.5833333</v>
      </c>
      <c r="N735" s="53">
        <f>VLOOKUP(H735,'клиенты'!$A$1:$F$435,5,FALSE)</f>
        <v>44708</v>
      </c>
      <c r="O735" s="20">
        <f t="shared" si="5"/>
        <v>357</v>
      </c>
      <c r="P735" s="20" t="str">
        <f>VLOOKUP(H735,'клиенты'!$A$2:$J$435,10,FALSE)</f>
        <v>Россия</v>
      </c>
      <c r="Q735" s="54">
        <f t="shared" si="6"/>
        <v>46078.45901</v>
      </c>
      <c r="R735" s="55">
        <f t="shared" si="7"/>
        <v>45.68196706</v>
      </c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41">
        <v>735.0</v>
      </c>
      <c r="B736" s="41">
        <v>267.0</v>
      </c>
      <c r="C736" s="41">
        <v>54.0</v>
      </c>
      <c r="D736" s="41">
        <v>2.0</v>
      </c>
      <c r="E736" s="41">
        <f t="shared" si="1"/>
        <v>108</v>
      </c>
      <c r="F736" s="42">
        <v>45251.0</v>
      </c>
      <c r="G736" s="41" t="s">
        <v>44</v>
      </c>
      <c r="H736" s="41">
        <v>290.0</v>
      </c>
      <c r="I736" s="41" t="str">
        <f>VLOOKUP(B736,'товар'!$A$1:$C$433,2,FALSE)</f>
        <v>Овощи</v>
      </c>
      <c r="J736" s="43">
        <f t="shared" si="2"/>
        <v>250.4878049</v>
      </c>
      <c r="K736" s="44">
        <f t="shared" si="3"/>
        <v>-0.7844206426</v>
      </c>
      <c r="L736" s="41" t="str">
        <f>VLOOKUP(B736,'товар'!$A$1:$C$433,3,FALSE)</f>
        <v>Семко</v>
      </c>
      <c r="M736" s="45">
        <f t="shared" si="4"/>
        <v>208</v>
      </c>
      <c r="N736" s="46">
        <f>VLOOKUP(H736,'клиенты'!$A$1:$F$435,5,FALSE)</f>
        <v>44777</v>
      </c>
      <c r="O736" s="41">
        <f t="shared" si="5"/>
        <v>474</v>
      </c>
      <c r="P736" s="41" t="str">
        <f>VLOOKUP(H736,'клиенты'!$A$2:$J$435,10,FALSE)</f>
        <v>Россия</v>
      </c>
      <c r="Q736" s="47">
        <f t="shared" si="6"/>
        <v>46078.45901</v>
      </c>
      <c r="R736" s="48">
        <f t="shared" si="7"/>
        <v>43.38196706</v>
      </c>
      <c r="S736" s="41"/>
      <c r="T736" s="41"/>
      <c r="U736" s="41"/>
      <c r="V736" s="41"/>
      <c r="W736" s="41"/>
      <c r="X736" s="41"/>
      <c r="Y736" s="41"/>
      <c r="Z736" s="41"/>
    </row>
    <row r="737" ht="14.25" customHeight="1">
      <c r="A737" s="20">
        <v>736.0</v>
      </c>
      <c r="B737" s="20">
        <v>52.0</v>
      </c>
      <c r="C737" s="20">
        <v>150.0</v>
      </c>
      <c r="D737" s="20">
        <v>4.0</v>
      </c>
      <c r="E737" s="20">
        <f t="shared" si="1"/>
        <v>600</v>
      </c>
      <c r="F737" s="49">
        <v>45303.0</v>
      </c>
      <c r="G737" s="20" t="s">
        <v>52</v>
      </c>
      <c r="H737" s="20">
        <v>279.0</v>
      </c>
      <c r="I737" s="20" t="str">
        <f>VLOOKUP(B737,'товар'!$A$1:$C$433,2,FALSE)</f>
        <v>Соль</v>
      </c>
      <c r="J737" s="50">
        <f t="shared" si="2"/>
        <v>264.8679245</v>
      </c>
      <c r="K737" s="51">
        <f t="shared" si="3"/>
        <v>-0.4336800114</v>
      </c>
      <c r="L737" s="20" t="str">
        <f>VLOOKUP(B737,'товар'!$A$1:$C$433,3,FALSE)</f>
        <v>Илецкая</v>
      </c>
      <c r="M737" s="52">
        <f t="shared" si="4"/>
        <v>238.1666667</v>
      </c>
      <c r="N737" s="53">
        <f>VLOOKUP(H737,'клиенты'!$A$1:$F$435,5,FALSE)</f>
        <v>44786</v>
      </c>
      <c r="O737" s="20">
        <f t="shared" si="5"/>
        <v>517</v>
      </c>
      <c r="P737" s="20" t="str">
        <f>VLOOKUP(H737,'клиенты'!$A$2:$J$435,10,FALSE)</f>
        <v>Узбекистан</v>
      </c>
      <c r="Q737" s="54">
        <f t="shared" si="6"/>
        <v>46078.45901</v>
      </c>
      <c r="R737" s="55">
        <f t="shared" si="7"/>
        <v>43.08196706</v>
      </c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41">
        <v>737.0</v>
      </c>
      <c r="B738" s="41">
        <v>187.0</v>
      </c>
      <c r="C738" s="41">
        <v>233.0</v>
      </c>
      <c r="D738" s="41">
        <v>4.0</v>
      </c>
      <c r="E738" s="41">
        <f t="shared" si="1"/>
        <v>932</v>
      </c>
      <c r="F738" s="42">
        <v>45086.0</v>
      </c>
      <c r="G738" s="41" t="s">
        <v>48</v>
      </c>
      <c r="H738" s="41">
        <v>245.0</v>
      </c>
      <c r="I738" s="41" t="str">
        <f>VLOOKUP(B738,'товар'!$A$1:$C$433,2,FALSE)</f>
        <v>Макароны</v>
      </c>
      <c r="J738" s="43">
        <f t="shared" si="2"/>
        <v>265.4767442</v>
      </c>
      <c r="K738" s="44">
        <f t="shared" si="3"/>
        <v>-0.1223336691</v>
      </c>
      <c r="L738" s="41" t="str">
        <f>VLOOKUP(B738,'товар'!$A$1:$C$433,3,FALSE)</f>
        <v>Паста Зара</v>
      </c>
      <c r="M738" s="45">
        <f t="shared" si="4"/>
        <v>276.6756757</v>
      </c>
      <c r="N738" s="46">
        <f>VLOOKUP(H738,'клиенты'!$A$1:$F$435,5,FALSE)</f>
        <v>44695</v>
      </c>
      <c r="O738" s="41">
        <f t="shared" si="5"/>
        <v>391</v>
      </c>
      <c r="P738" s="41" t="str">
        <f>VLOOKUP(H738,'клиенты'!$A$2:$J$435,10,FALSE)</f>
        <v>Узбекистан</v>
      </c>
      <c r="Q738" s="47">
        <f t="shared" si="6"/>
        <v>46078.45901</v>
      </c>
      <c r="R738" s="48">
        <f t="shared" si="7"/>
        <v>46.11530039</v>
      </c>
      <c r="S738" s="41"/>
      <c r="T738" s="41"/>
      <c r="U738" s="41"/>
      <c r="V738" s="41"/>
      <c r="W738" s="41"/>
      <c r="X738" s="41"/>
      <c r="Y738" s="41"/>
      <c r="Z738" s="41"/>
    </row>
    <row r="739" ht="14.25" customHeight="1">
      <c r="A739" s="20">
        <v>738.0</v>
      </c>
      <c r="B739" s="20">
        <v>118.0</v>
      </c>
      <c r="C739" s="20">
        <v>156.0</v>
      </c>
      <c r="D739" s="20">
        <v>5.0</v>
      </c>
      <c r="E739" s="20">
        <f t="shared" si="1"/>
        <v>780</v>
      </c>
      <c r="F739" s="49">
        <v>45303.0</v>
      </c>
      <c r="G739" s="20" t="s">
        <v>54</v>
      </c>
      <c r="H739" s="20">
        <v>261.0</v>
      </c>
      <c r="I739" s="20" t="str">
        <f>VLOOKUP(B739,'товар'!$A$1:$C$433,2,FALSE)</f>
        <v>Сахар</v>
      </c>
      <c r="J739" s="50">
        <f t="shared" si="2"/>
        <v>252.7627119</v>
      </c>
      <c r="K739" s="51">
        <f t="shared" si="3"/>
        <v>-0.3828203581</v>
      </c>
      <c r="L739" s="20" t="str">
        <f>VLOOKUP(B739,'товар'!$A$1:$C$433,3,FALSE)</f>
        <v>Продимекс</v>
      </c>
      <c r="M739" s="52">
        <f t="shared" si="4"/>
        <v>240.5</v>
      </c>
      <c r="N739" s="53">
        <f>VLOOKUP(H739,'клиенты'!$A$1:$F$435,5,FALSE)</f>
        <v>44848</v>
      </c>
      <c r="O739" s="20">
        <f t="shared" si="5"/>
        <v>455</v>
      </c>
      <c r="P739" s="20" t="str">
        <f>VLOOKUP(H739,'клиенты'!$A$2:$J$435,10,FALSE)</f>
        <v>Россия</v>
      </c>
      <c r="Q739" s="54">
        <f t="shared" si="6"/>
        <v>46078.45901</v>
      </c>
      <c r="R739" s="55">
        <f t="shared" si="7"/>
        <v>41.01530039</v>
      </c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41">
        <v>739.0</v>
      </c>
      <c r="B740" s="41">
        <v>218.0</v>
      </c>
      <c r="C740" s="41">
        <v>383.0</v>
      </c>
      <c r="D740" s="41">
        <v>2.0</v>
      </c>
      <c r="E740" s="41">
        <f t="shared" si="1"/>
        <v>766</v>
      </c>
      <c r="F740" s="42">
        <v>45338.0</v>
      </c>
      <c r="G740" s="41" t="s">
        <v>46</v>
      </c>
      <c r="H740" s="41">
        <v>9.0</v>
      </c>
      <c r="I740" s="41" t="str">
        <f>VLOOKUP(B740,'товар'!$A$1:$C$433,2,FALSE)</f>
        <v>Колбаса</v>
      </c>
      <c r="J740" s="43">
        <f t="shared" si="2"/>
        <v>286.9230769</v>
      </c>
      <c r="K740" s="44">
        <f t="shared" si="3"/>
        <v>0.3348525469</v>
      </c>
      <c r="L740" s="41" t="str">
        <f>VLOOKUP(B740,'товар'!$A$1:$C$433,3,FALSE)</f>
        <v>Дымов</v>
      </c>
      <c r="M740" s="45">
        <f t="shared" si="4"/>
        <v>312.6666667</v>
      </c>
      <c r="N740" s="46">
        <f>VLOOKUP(H740,'клиенты'!$A$1:$F$435,5,FALSE)</f>
        <v>44900</v>
      </c>
      <c r="O740" s="41">
        <f t="shared" si="5"/>
        <v>438</v>
      </c>
      <c r="P740" s="41" t="str">
        <f>VLOOKUP(H740,'клиенты'!$A$2:$J$435,10,FALSE)</f>
        <v>Таджикистан</v>
      </c>
      <c r="Q740" s="47">
        <f t="shared" si="6"/>
        <v>46078.45901</v>
      </c>
      <c r="R740" s="48">
        <f t="shared" si="7"/>
        <v>39.28196706</v>
      </c>
      <c r="S740" s="41"/>
      <c r="T740" s="41"/>
      <c r="U740" s="41"/>
      <c r="V740" s="41"/>
      <c r="W740" s="41"/>
      <c r="X740" s="41"/>
      <c r="Y740" s="41"/>
      <c r="Z740" s="41"/>
    </row>
    <row r="741" ht="14.25" customHeight="1">
      <c r="A741" s="20">
        <v>740.0</v>
      </c>
      <c r="B741" s="20">
        <v>46.0</v>
      </c>
      <c r="C741" s="20">
        <v>370.0</v>
      </c>
      <c r="D741" s="20">
        <v>5.0</v>
      </c>
      <c r="E741" s="20">
        <f t="shared" si="1"/>
        <v>1850</v>
      </c>
      <c r="F741" s="49">
        <v>45034.0</v>
      </c>
      <c r="G741" s="20" t="s">
        <v>36</v>
      </c>
      <c r="H741" s="20">
        <v>103.0</v>
      </c>
      <c r="I741" s="20" t="str">
        <f>VLOOKUP(B741,'товар'!$A$1:$C$433,2,FALSE)</f>
        <v>Йогурт</v>
      </c>
      <c r="J741" s="50">
        <f t="shared" si="2"/>
        <v>263.2542373</v>
      </c>
      <c r="K741" s="51">
        <f t="shared" si="3"/>
        <v>0.4054854494</v>
      </c>
      <c r="L741" s="20" t="str">
        <f>VLOOKUP(B741,'товар'!$A$1:$C$433,3,FALSE)</f>
        <v>Активиа</v>
      </c>
      <c r="M741" s="52">
        <f t="shared" si="4"/>
        <v>293.6666667</v>
      </c>
      <c r="N741" s="53">
        <f>VLOOKUP(H741,'клиенты'!$A$1:$F$435,5,FALSE)</f>
        <v>44787</v>
      </c>
      <c r="O741" s="20">
        <f t="shared" si="5"/>
        <v>247</v>
      </c>
      <c r="P741" s="20" t="str">
        <f>VLOOKUP(H741,'клиенты'!$A$2:$J$435,10,FALSE)</f>
        <v>Узбекистан</v>
      </c>
      <c r="Q741" s="54">
        <f t="shared" si="6"/>
        <v>46078.45901</v>
      </c>
      <c r="R741" s="55">
        <f t="shared" si="7"/>
        <v>43.04863373</v>
      </c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41">
        <v>741.0</v>
      </c>
      <c r="B742" s="41">
        <v>263.0</v>
      </c>
      <c r="C742" s="41">
        <v>173.0</v>
      </c>
      <c r="D742" s="41">
        <v>3.0</v>
      </c>
      <c r="E742" s="41">
        <f t="shared" si="1"/>
        <v>519</v>
      </c>
      <c r="F742" s="42">
        <v>45390.0</v>
      </c>
      <c r="G742" s="41" t="s">
        <v>50</v>
      </c>
      <c r="H742" s="41">
        <v>142.0</v>
      </c>
      <c r="I742" s="41" t="str">
        <f>VLOOKUP(B742,'товар'!$A$1:$C$433,2,FALSE)</f>
        <v>Йогурт</v>
      </c>
      <c r="J742" s="43">
        <f t="shared" si="2"/>
        <v>263.2542373</v>
      </c>
      <c r="K742" s="44">
        <f t="shared" si="3"/>
        <v>-0.3428405872</v>
      </c>
      <c r="L742" s="41" t="str">
        <f>VLOOKUP(B742,'товар'!$A$1:$C$433,3,FALSE)</f>
        <v>Активиа</v>
      </c>
      <c r="M742" s="45">
        <f t="shared" si="4"/>
        <v>293.6666667</v>
      </c>
      <c r="N742" s="46">
        <f>VLOOKUP(H742,'клиенты'!$A$1:$F$435,5,FALSE)</f>
        <v>44683</v>
      </c>
      <c r="O742" s="41">
        <f t="shared" si="5"/>
        <v>707</v>
      </c>
      <c r="P742" s="41" t="str">
        <f>VLOOKUP(H742,'клиенты'!$A$2:$J$435,10,FALSE)</f>
        <v>Россия</v>
      </c>
      <c r="Q742" s="47">
        <f t="shared" si="6"/>
        <v>46078.45901</v>
      </c>
      <c r="R742" s="48">
        <f t="shared" si="7"/>
        <v>46.51530039</v>
      </c>
      <c r="S742" s="41"/>
      <c r="T742" s="41"/>
      <c r="U742" s="41"/>
      <c r="V742" s="41"/>
      <c r="W742" s="41"/>
      <c r="X742" s="41"/>
      <c r="Y742" s="41"/>
      <c r="Z742" s="41"/>
    </row>
    <row r="743" ht="14.25" customHeight="1">
      <c r="A743" s="20">
        <v>742.0</v>
      </c>
      <c r="B743" s="20">
        <v>201.0</v>
      </c>
      <c r="C743" s="20">
        <v>113.0</v>
      </c>
      <c r="D743" s="20">
        <v>5.0</v>
      </c>
      <c r="E743" s="20">
        <f t="shared" si="1"/>
        <v>565</v>
      </c>
      <c r="F743" s="49">
        <v>44959.0</v>
      </c>
      <c r="G743" s="20" t="s">
        <v>54</v>
      </c>
      <c r="H743" s="20">
        <v>470.0</v>
      </c>
      <c r="I743" s="20" t="str">
        <f>VLOOKUP(B743,'товар'!$A$1:$C$433,2,FALSE)</f>
        <v>Печенье</v>
      </c>
      <c r="J743" s="50">
        <f t="shared" si="2"/>
        <v>283.4680851</v>
      </c>
      <c r="K743" s="51">
        <f t="shared" si="3"/>
        <v>-0.6013660587</v>
      </c>
      <c r="L743" s="20" t="str">
        <f>VLOOKUP(B743,'товар'!$A$1:$C$433,3,FALSE)</f>
        <v>Белогорье</v>
      </c>
      <c r="M743" s="52">
        <f t="shared" si="4"/>
        <v>249.5</v>
      </c>
      <c r="N743" s="53">
        <f>VLOOKUP(H743,'клиенты'!$A$1:$F$435,5,FALSE)</f>
        <v>44690</v>
      </c>
      <c r="O743" s="20">
        <f t="shared" si="5"/>
        <v>269</v>
      </c>
      <c r="P743" s="20" t="str">
        <f>VLOOKUP(H743,'клиенты'!$A$2:$J$435,10,FALSE)</f>
        <v>Таджикистан</v>
      </c>
      <c r="Q743" s="54">
        <f t="shared" si="6"/>
        <v>46078.45901</v>
      </c>
      <c r="R743" s="55">
        <f t="shared" si="7"/>
        <v>46.28196706</v>
      </c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41">
        <v>743.0</v>
      </c>
      <c r="B744" s="41">
        <v>434.0</v>
      </c>
      <c r="C744" s="41">
        <v>366.0</v>
      </c>
      <c r="D744" s="41">
        <v>4.0</v>
      </c>
      <c r="E744" s="41">
        <f t="shared" si="1"/>
        <v>1464</v>
      </c>
      <c r="F744" s="42">
        <v>45107.0</v>
      </c>
      <c r="G744" s="41" t="s">
        <v>43</v>
      </c>
      <c r="H744" s="41">
        <v>490.0</v>
      </c>
      <c r="I744" s="41" t="str">
        <f>VLOOKUP(B744,'товар'!$A$1:$C$433,2,FALSE)</f>
        <v>Сыр</v>
      </c>
      <c r="J744" s="43">
        <f t="shared" si="2"/>
        <v>262.6349206</v>
      </c>
      <c r="K744" s="44">
        <f t="shared" si="3"/>
        <v>0.3935694428</v>
      </c>
      <c r="L744" s="41" t="str">
        <f>VLOOKUP(B744,'товар'!$A$1:$C$433,3,FALSE)</f>
        <v>Сырная долина</v>
      </c>
      <c r="M744" s="45">
        <f t="shared" si="4"/>
        <v>271</v>
      </c>
      <c r="N744" s="46">
        <f>VLOOKUP(H744,'клиенты'!$A$1:$F$435,5,FALSE)</f>
        <v>44603</v>
      </c>
      <c r="O744" s="41">
        <f t="shared" si="5"/>
        <v>504</v>
      </c>
      <c r="P744" s="41" t="str">
        <f>VLOOKUP(H744,'клиенты'!$A$2:$J$435,10,FALSE)</f>
        <v>Россия</v>
      </c>
      <c r="Q744" s="47">
        <f t="shared" si="6"/>
        <v>46078.45901</v>
      </c>
      <c r="R744" s="48">
        <f t="shared" si="7"/>
        <v>49.18196706</v>
      </c>
      <c r="S744" s="41"/>
      <c r="T744" s="41"/>
      <c r="U744" s="41"/>
      <c r="V744" s="41"/>
      <c r="W744" s="41"/>
      <c r="X744" s="41"/>
      <c r="Y744" s="41"/>
      <c r="Z744" s="41"/>
    </row>
    <row r="745" ht="14.25" customHeight="1">
      <c r="A745" s="20">
        <v>744.0</v>
      </c>
      <c r="B745" s="20">
        <v>99.0</v>
      </c>
      <c r="C745" s="20">
        <v>92.0</v>
      </c>
      <c r="D745" s="20">
        <v>4.0</v>
      </c>
      <c r="E745" s="20">
        <f t="shared" si="1"/>
        <v>368</v>
      </c>
      <c r="F745" s="49">
        <v>45073.0</v>
      </c>
      <c r="G745" s="20" t="s">
        <v>42</v>
      </c>
      <c r="H745" s="20">
        <v>255.0</v>
      </c>
      <c r="I745" s="20" t="str">
        <f>VLOOKUP(B745,'товар'!$A$1:$C$433,2,FALSE)</f>
        <v>Овощи</v>
      </c>
      <c r="J745" s="50">
        <f t="shared" si="2"/>
        <v>250.4878049</v>
      </c>
      <c r="K745" s="51">
        <f t="shared" si="3"/>
        <v>-0.6327166504</v>
      </c>
      <c r="L745" s="20" t="str">
        <f>VLOOKUP(B745,'товар'!$A$1:$C$433,3,FALSE)</f>
        <v>Семко</v>
      </c>
      <c r="M745" s="52">
        <f t="shared" si="4"/>
        <v>208</v>
      </c>
      <c r="N745" s="53">
        <f>VLOOKUP(H745,'клиенты'!$A$1:$F$435,5,FALSE)</f>
        <v>44793</v>
      </c>
      <c r="O745" s="20">
        <f t="shared" si="5"/>
        <v>280</v>
      </c>
      <c r="P745" s="20" t="str">
        <f>VLOOKUP(H745,'клиенты'!$A$2:$J$435,10,FALSE)</f>
        <v>Украина</v>
      </c>
      <c r="Q745" s="54">
        <f t="shared" si="6"/>
        <v>46078.45901</v>
      </c>
      <c r="R745" s="55">
        <f t="shared" si="7"/>
        <v>42.84863373</v>
      </c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41">
        <v>745.0</v>
      </c>
      <c r="B746" s="41">
        <v>357.0</v>
      </c>
      <c r="C746" s="41">
        <v>290.0</v>
      </c>
      <c r="D746" s="41">
        <v>4.0</v>
      </c>
      <c r="E746" s="41">
        <f t="shared" si="1"/>
        <v>1160</v>
      </c>
      <c r="F746" s="42">
        <v>45077.0</v>
      </c>
      <c r="G746" s="41" t="s">
        <v>43</v>
      </c>
      <c r="H746" s="41">
        <v>422.0</v>
      </c>
      <c r="I746" s="41" t="str">
        <f>VLOOKUP(B746,'товар'!$A$1:$C$433,2,FALSE)</f>
        <v>Мясо</v>
      </c>
      <c r="J746" s="43">
        <f t="shared" si="2"/>
        <v>271.7454545</v>
      </c>
      <c r="K746" s="44">
        <f t="shared" si="3"/>
        <v>0.06717516392</v>
      </c>
      <c r="L746" s="41" t="str">
        <f>VLOOKUP(B746,'товар'!$A$1:$C$433,3,FALSE)</f>
        <v>Снежана</v>
      </c>
      <c r="M746" s="45">
        <f t="shared" si="4"/>
        <v>272.3529412</v>
      </c>
      <c r="N746" s="46">
        <f>VLOOKUP(H746,'клиенты'!$A$1:$F$435,5,FALSE)</f>
        <v>44784</v>
      </c>
      <c r="O746" s="41">
        <f t="shared" si="5"/>
        <v>293</v>
      </c>
      <c r="P746" s="41" t="str">
        <f>VLOOKUP(H746,'клиенты'!$A$2:$J$435,10,FALSE)</f>
        <v>Украина</v>
      </c>
      <c r="Q746" s="47">
        <f t="shared" si="6"/>
        <v>46078.45901</v>
      </c>
      <c r="R746" s="48">
        <f t="shared" si="7"/>
        <v>43.14863373</v>
      </c>
      <c r="S746" s="41"/>
      <c r="T746" s="41"/>
      <c r="U746" s="41"/>
      <c r="V746" s="41"/>
      <c r="W746" s="41"/>
      <c r="X746" s="41"/>
      <c r="Y746" s="41"/>
      <c r="Z746" s="41"/>
    </row>
    <row r="747" ht="14.25" customHeight="1">
      <c r="A747" s="20">
        <v>746.0</v>
      </c>
      <c r="B747" s="20">
        <v>337.0</v>
      </c>
      <c r="C747" s="20">
        <v>453.0</v>
      </c>
      <c r="D747" s="20">
        <v>4.0</v>
      </c>
      <c r="E747" s="20">
        <f t="shared" si="1"/>
        <v>1812</v>
      </c>
      <c r="F747" s="49">
        <v>45415.0</v>
      </c>
      <c r="G747" s="20" t="s">
        <v>47</v>
      </c>
      <c r="H747" s="20">
        <v>115.0</v>
      </c>
      <c r="I747" s="20" t="str">
        <f>VLOOKUP(B747,'товар'!$A$1:$C$433,2,FALSE)</f>
        <v>Макароны</v>
      </c>
      <c r="J747" s="50">
        <f t="shared" si="2"/>
        <v>265.4767442</v>
      </c>
      <c r="K747" s="51">
        <f t="shared" si="3"/>
        <v>0.706364154</v>
      </c>
      <c r="L747" s="20" t="str">
        <f>VLOOKUP(B747,'товар'!$A$1:$C$433,3,FALSE)</f>
        <v>Паста Зара</v>
      </c>
      <c r="M747" s="52">
        <f t="shared" si="4"/>
        <v>276.6756757</v>
      </c>
      <c r="N747" s="53">
        <f>VLOOKUP(H747,'клиенты'!$A$1:$F$435,5,FALSE)</f>
        <v>44832</v>
      </c>
      <c r="O747" s="20">
        <f t="shared" si="5"/>
        <v>583</v>
      </c>
      <c r="P747" s="20" t="str">
        <f>VLOOKUP(H747,'клиенты'!$A$2:$J$435,10,FALSE)</f>
        <v>Беларусь</v>
      </c>
      <c r="Q747" s="54">
        <f t="shared" si="6"/>
        <v>46078.45901</v>
      </c>
      <c r="R747" s="55">
        <f t="shared" si="7"/>
        <v>41.54863373</v>
      </c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41">
        <v>747.0</v>
      </c>
      <c r="B748" s="41">
        <v>230.0</v>
      </c>
      <c r="C748" s="41">
        <v>104.0</v>
      </c>
      <c r="D748" s="41">
        <v>4.0</v>
      </c>
      <c r="E748" s="41">
        <f t="shared" si="1"/>
        <v>416</v>
      </c>
      <c r="F748" s="42">
        <v>44965.0</v>
      </c>
      <c r="G748" s="41" t="s">
        <v>53</v>
      </c>
      <c r="H748" s="41">
        <v>163.0</v>
      </c>
      <c r="I748" s="41" t="str">
        <f>VLOOKUP(B748,'товар'!$A$1:$C$433,2,FALSE)</f>
        <v>Сок</v>
      </c>
      <c r="J748" s="43">
        <f t="shared" si="2"/>
        <v>268.6034483</v>
      </c>
      <c r="K748" s="44">
        <f t="shared" si="3"/>
        <v>-0.6128121189</v>
      </c>
      <c r="L748" s="41" t="str">
        <f>VLOOKUP(B748,'товар'!$A$1:$C$433,3,FALSE)</f>
        <v>Фруктовый сад</v>
      </c>
      <c r="M748" s="45">
        <f t="shared" si="4"/>
        <v>281.96875</v>
      </c>
      <c r="N748" s="46">
        <f>VLOOKUP(H748,'клиенты'!$A$1:$F$435,5,FALSE)</f>
        <v>44571</v>
      </c>
      <c r="O748" s="41">
        <f t="shared" si="5"/>
        <v>394</v>
      </c>
      <c r="P748" s="41" t="str">
        <f>VLOOKUP(H748,'клиенты'!$A$2:$J$435,10,FALSE)</f>
        <v>Узбекистан</v>
      </c>
      <c r="Q748" s="47">
        <f t="shared" si="6"/>
        <v>46078.45901</v>
      </c>
      <c r="R748" s="48">
        <f t="shared" si="7"/>
        <v>50.24863373</v>
      </c>
      <c r="S748" s="41"/>
      <c r="T748" s="41"/>
      <c r="U748" s="41"/>
      <c r="V748" s="41"/>
      <c r="W748" s="41"/>
      <c r="X748" s="41"/>
      <c r="Y748" s="41"/>
      <c r="Z748" s="41"/>
    </row>
    <row r="749" ht="14.25" customHeight="1">
      <c r="A749" s="20">
        <v>748.0</v>
      </c>
      <c r="B749" s="20">
        <v>293.0</v>
      </c>
      <c r="C749" s="20">
        <v>57.0</v>
      </c>
      <c r="D749" s="20">
        <v>5.0</v>
      </c>
      <c r="E749" s="20">
        <f t="shared" si="1"/>
        <v>285</v>
      </c>
      <c r="F749" s="49">
        <v>45004.0</v>
      </c>
      <c r="G749" s="20" t="s">
        <v>47</v>
      </c>
      <c r="H749" s="20">
        <v>248.0</v>
      </c>
      <c r="I749" s="20" t="str">
        <f>VLOOKUP(B749,'товар'!$A$1:$C$433,2,FALSE)</f>
        <v>Конфеты</v>
      </c>
      <c r="J749" s="50">
        <f t="shared" si="2"/>
        <v>267.8548387</v>
      </c>
      <c r="K749" s="51">
        <f t="shared" si="3"/>
        <v>-0.7871981694</v>
      </c>
      <c r="L749" s="20" t="str">
        <f>VLOOKUP(B749,'товар'!$A$1:$C$433,3,FALSE)</f>
        <v>Бабаевский</v>
      </c>
      <c r="M749" s="52">
        <f t="shared" si="4"/>
        <v>250.2592593</v>
      </c>
      <c r="N749" s="53">
        <f>VLOOKUP(H749,'клиенты'!$A$1:$F$435,5,FALSE)</f>
        <v>44694</v>
      </c>
      <c r="O749" s="20">
        <f t="shared" si="5"/>
        <v>310</v>
      </c>
      <c r="P749" s="20" t="str">
        <f>VLOOKUP(H749,'клиенты'!$A$2:$J$435,10,FALSE)</f>
        <v>Россия</v>
      </c>
      <c r="Q749" s="54">
        <f t="shared" si="6"/>
        <v>46078.45901</v>
      </c>
      <c r="R749" s="55">
        <f t="shared" si="7"/>
        <v>46.14863373</v>
      </c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41">
        <v>749.0</v>
      </c>
      <c r="B750" s="41">
        <v>254.0</v>
      </c>
      <c r="C750" s="41">
        <v>326.0</v>
      </c>
      <c r="D750" s="41">
        <v>1.0</v>
      </c>
      <c r="E750" s="41">
        <f t="shared" si="1"/>
        <v>326</v>
      </c>
      <c r="F750" s="42">
        <v>45372.0</v>
      </c>
      <c r="G750" s="41" t="s">
        <v>37</v>
      </c>
      <c r="H750" s="41">
        <v>201.0</v>
      </c>
      <c r="I750" s="41" t="str">
        <f>VLOOKUP(B750,'товар'!$A$1:$C$433,2,FALSE)</f>
        <v>Соль</v>
      </c>
      <c r="J750" s="43">
        <f t="shared" si="2"/>
        <v>264.8679245</v>
      </c>
      <c r="K750" s="44">
        <f t="shared" si="3"/>
        <v>0.2308021086</v>
      </c>
      <c r="L750" s="41" t="str">
        <f>VLOOKUP(B750,'товар'!$A$1:$C$433,3,FALSE)</f>
        <v>Илецкая</v>
      </c>
      <c r="M750" s="45">
        <f t="shared" si="4"/>
        <v>238.1666667</v>
      </c>
      <c r="N750" s="46">
        <f>VLOOKUP(H750,'клиенты'!$A$1:$F$435,5,FALSE)</f>
        <v>44843</v>
      </c>
      <c r="O750" s="41">
        <f t="shared" si="5"/>
        <v>529</v>
      </c>
      <c r="P750" s="41" t="str">
        <f>VLOOKUP(H750,'клиенты'!$A$2:$J$435,10,FALSE)</f>
        <v>Таджикистан</v>
      </c>
      <c r="Q750" s="47">
        <f t="shared" si="6"/>
        <v>46078.45901</v>
      </c>
      <c r="R750" s="48">
        <f t="shared" si="7"/>
        <v>41.18196706</v>
      </c>
      <c r="S750" s="41"/>
      <c r="T750" s="41"/>
      <c r="U750" s="41"/>
      <c r="V750" s="41"/>
      <c r="W750" s="41"/>
      <c r="X750" s="41"/>
      <c r="Y750" s="41"/>
      <c r="Z750" s="41"/>
    </row>
    <row r="751" ht="14.25" customHeight="1">
      <c r="A751" s="20">
        <v>750.0</v>
      </c>
      <c r="B751" s="20">
        <v>248.0</v>
      </c>
      <c r="C751" s="20">
        <v>176.0</v>
      </c>
      <c r="D751" s="20">
        <v>5.0</v>
      </c>
      <c r="E751" s="20">
        <f t="shared" si="1"/>
        <v>880</v>
      </c>
      <c r="F751" s="49">
        <v>44946.0</v>
      </c>
      <c r="G751" s="20" t="s">
        <v>51</v>
      </c>
      <c r="H751" s="20">
        <v>434.0</v>
      </c>
      <c r="I751" s="20" t="str">
        <f>VLOOKUP(B751,'товар'!$A$1:$C$433,2,FALSE)</f>
        <v>Конфеты</v>
      </c>
      <c r="J751" s="50">
        <f t="shared" si="2"/>
        <v>267.8548387</v>
      </c>
      <c r="K751" s="51">
        <f t="shared" si="3"/>
        <v>-0.3429276811</v>
      </c>
      <c r="L751" s="20" t="str">
        <f>VLOOKUP(B751,'товар'!$A$1:$C$433,3,FALSE)</f>
        <v>Красный Октябрь</v>
      </c>
      <c r="M751" s="52">
        <f t="shared" si="4"/>
        <v>273.625</v>
      </c>
      <c r="N751" s="53">
        <f>VLOOKUP(H751,'клиенты'!$A$1:$F$435,5,FALSE)</f>
        <v>44730</v>
      </c>
      <c r="O751" s="20">
        <f t="shared" si="5"/>
        <v>216</v>
      </c>
      <c r="P751" s="20" t="str">
        <f>VLOOKUP(H751,'клиенты'!$A$2:$J$435,10,FALSE)</f>
        <v>Украина</v>
      </c>
      <c r="Q751" s="54">
        <f t="shared" si="6"/>
        <v>46078.45901</v>
      </c>
      <c r="R751" s="55">
        <f t="shared" si="7"/>
        <v>44.94863373</v>
      </c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41">
        <v>751.0</v>
      </c>
      <c r="B752" s="41">
        <v>156.0</v>
      </c>
      <c r="C752" s="41">
        <v>490.0</v>
      </c>
      <c r="D752" s="41">
        <v>1.0</v>
      </c>
      <c r="E752" s="41">
        <f t="shared" si="1"/>
        <v>490</v>
      </c>
      <c r="F752" s="42">
        <v>45237.0</v>
      </c>
      <c r="G752" s="41" t="s">
        <v>48</v>
      </c>
      <c r="H752" s="41">
        <v>140.0</v>
      </c>
      <c r="I752" s="41" t="str">
        <f>VLOOKUP(B752,'товар'!$A$1:$C$433,2,FALSE)</f>
        <v>Фрукты</v>
      </c>
      <c r="J752" s="43">
        <f t="shared" si="2"/>
        <v>274.1627907</v>
      </c>
      <c r="K752" s="44">
        <f t="shared" si="3"/>
        <v>0.7872593095</v>
      </c>
      <c r="L752" s="41" t="str">
        <f>VLOOKUP(B752,'товар'!$A$1:$C$433,3,FALSE)</f>
        <v>Фрукты-Ягоды</v>
      </c>
      <c r="M752" s="45">
        <f t="shared" si="4"/>
        <v>280.6666667</v>
      </c>
      <c r="N752" s="46">
        <f>VLOOKUP(H752,'клиенты'!$A$1:$F$435,5,FALSE)</f>
        <v>44627</v>
      </c>
      <c r="O752" s="41">
        <f t="shared" si="5"/>
        <v>610</v>
      </c>
      <c r="P752" s="41" t="str">
        <f>VLOOKUP(H752,'клиенты'!$A$2:$J$435,10,FALSE)</f>
        <v>Россия</v>
      </c>
      <c r="Q752" s="47">
        <f t="shared" si="6"/>
        <v>46078.45901</v>
      </c>
      <c r="R752" s="48">
        <f t="shared" si="7"/>
        <v>48.38196706</v>
      </c>
      <c r="S752" s="41"/>
      <c r="T752" s="41"/>
      <c r="U752" s="41"/>
      <c r="V752" s="41"/>
      <c r="W752" s="41"/>
      <c r="X752" s="41"/>
      <c r="Y752" s="41"/>
      <c r="Z752" s="41"/>
    </row>
    <row r="753" ht="14.25" customHeight="1">
      <c r="A753" s="20">
        <v>752.0</v>
      </c>
      <c r="B753" s="20">
        <v>370.0</v>
      </c>
      <c r="C753" s="20">
        <v>95.0</v>
      </c>
      <c r="D753" s="20">
        <v>5.0</v>
      </c>
      <c r="E753" s="20">
        <f t="shared" si="1"/>
        <v>475</v>
      </c>
      <c r="F753" s="49">
        <v>45202.0</v>
      </c>
      <c r="G753" s="20" t="s">
        <v>43</v>
      </c>
      <c r="H753" s="20">
        <v>250.0</v>
      </c>
      <c r="I753" s="20" t="str">
        <f>VLOOKUP(B753,'товар'!$A$1:$C$433,2,FALSE)</f>
        <v>Сок</v>
      </c>
      <c r="J753" s="50">
        <f t="shared" si="2"/>
        <v>268.6034483</v>
      </c>
      <c r="K753" s="51">
        <f t="shared" si="3"/>
        <v>-0.6463187624</v>
      </c>
      <c r="L753" s="20" t="str">
        <f>VLOOKUP(B753,'товар'!$A$1:$C$433,3,FALSE)</f>
        <v>Фруктовый сад</v>
      </c>
      <c r="M753" s="52">
        <f t="shared" si="4"/>
        <v>281.96875</v>
      </c>
      <c r="N753" s="53">
        <f>VLOOKUP(H753,'клиенты'!$A$1:$F$435,5,FALSE)</f>
        <v>44856</v>
      </c>
      <c r="O753" s="20">
        <f t="shared" si="5"/>
        <v>346</v>
      </c>
      <c r="P753" s="20" t="str">
        <f>VLOOKUP(H753,'клиенты'!$A$2:$J$435,10,FALSE)</f>
        <v>Россия</v>
      </c>
      <c r="Q753" s="54">
        <f t="shared" si="6"/>
        <v>46078.45901</v>
      </c>
      <c r="R753" s="55">
        <f t="shared" si="7"/>
        <v>40.74863373</v>
      </c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41">
        <v>753.0</v>
      </c>
      <c r="B754" s="41">
        <v>61.0</v>
      </c>
      <c r="C754" s="41">
        <v>183.0</v>
      </c>
      <c r="D754" s="41">
        <v>5.0</v>
      </c>
      <c r="E754" s="41">
        <f t="shared" si="1"/>
        <v>915</v>
      </c>
      <c r="F754" s="42">
        <v>45062.0</v>
      </c>
      <c r="G754" s="41" t="s">
        <v>48</v>
      </c>
      <c r="H754" s="41">
        <v>191.0</v>
      </c>
      <c r="I754" s="41" t="str">
        <f>VLOOKUP(B754,'товар'!$A$1:$C$433,2,FALSE)</f>
        <v>Йогурт</v>
      </c>
      <c r="J754" s="43">
        <f t="shared" si="2"/>
        <v>263.2542373</v>
      </c>
      <c r="K754" s="44">
        <f t="shared" si="3"/>
        <v>-0.3048544939</v>
      </c>
      <c r="L754" s="41" t="str">
        <f>VLOOKUP(B754,'товар'!$A$1:$C$433,3,FALSE)</f>
        <v>Эрманн</v>
      </c>
      <c r="M754" s="45">
        <f t="shared" si="4"/>
        <v>248.5</v>
      </c>
      <c r="N754" s="46">
        <f>VLOOKUP(H754,'клиенты'!$A$1:$F$435,5,FALSE)</f>
        <v>44866</v>
      </c>
      <c r="O754" s="41">
        <f t="shared" si="5"/>
        <v>196</v>
      </c>
      <c r="P754" s="41" t="str">
        <f>VLOOKUP(H754,'клиенты'!$A$2:$J$435,10,FALSE)</f>
        <v>Украина</v>
      </c>
      <c r="Q754" s="47">
        <f t="shared" si="6"/>
        <v>46078.45901</v>
      </c>
      <c r="R754" s="48">
        <f t="shared" si="7"/>
        <v>40.41530039</v>
      </c>
      <c r="S754" s="41"/>
      <c r="T754" s="41"/>
      <c r="U754" s="41"/>
      <c r="V754" s="41"/>
      <c r="W754" s="41"/>
      <c r="X754" s="41"/>
      <c r="Y754" s="41"/>
      <c r="Z754" s="41"/>
    </row>
    <row r="755" ht="14.25" customHeight="1">
      <c r="A755" s="20">
        <v>754.0</v>
      </c>
      <c r="B755" s="20">
        <v>246.0</v>
      </c>
      <c r="C755" s="20">
        <v>302.0</v>
      </c>
      <c r="D755" s="20">
        <v>5.0</v>
      </c>
      <c r="E755" s="20">
        <f t="shared" si="1"/>
        <v>1510</v>
      </c>
      <c r="F755" s="49">
        <v>45407.0</v>
      </c>
      <c r="G755" s="20" t="s">
        <v>43</v>
      </c>
      <c r="H755" s="20">
        <v>336.0</v>
      </c>
      <c r="I755" s="20" t="str">
        <f>VLOOKUP(B755,'товар'!$A$1:$C$433,2,FALSE)</f>
        <v>Сыр</v>
      </c>
      <c r="J755" s="50">
        <f t="shared" si="2"/>
        <v>262.6349206</v>
      </c>
      <c r="K755" s="51">
        <f t="shared" si="3"/>
        <v>0.1498851686</v>
      </c>
      <c r="L755" s="20" t="str">
        <f>VLOOKUP(B755,'товар'!$A$1:$C$433,3,FALSE)</f>
        <v>President</v>
      </c>
      <c r="M755" s="52">
        <f t="shared" si="4"/>
        <v>238.7222222</v>
      </c>
      <c r="N755" s="53">
        <f>VLOOKUP(H755,'клиенты'!$A$1:$F$435,5,FALSE)</f>
        <v>44856</v>
      </c>
      <c r="O755" s="20">
        <f t="shared" si="5"/>
        <v>551</v>
      </c>
      <c r="P755" s="20" t="str">
        <f>VLOOKUP(H755,'клиенты'!$A$2:$J$435,10,FALSE)</f>
        <v>Узбекистан</v>
      </c>
      <c r="Q755" s="54">
        <f t="shared" si="6"/>
        <v>46078.45901</v>
      </c>
      <c r="R755" s="55">
        <f t="shared" si="7"/>
        <v>40.74863373</v>
      </c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41">
        <v>755.0</v>
      </c>
      <c r="B756" s="41">
        <v>322.0</v>
      </c>
      <c r="C756" s="41">
        <v>417.0</v>
      </c>
      <c r="D756" s="41">
        <v>2.0</v>
      </c>
      <c r="E756" s="41">
        <f t="shared" si="1"/>
        <v>834</v>
      </c>
      <c r="F756" s="42">
        <v>45376.0</v>
      </c>
      <c r="G756" s="41" t="s">
        <v>49</v>
      </c>
      <c r="H756" s="41">
        <v>3.0</v>
      </c>
      <c r="I756" s="41" t="str">
        <f>VLOOKUP(B756,'товар'!$A$1:$C$433,2,FALSE)</f>
        <v>Крупа</v>
      </c>
      <c r="J756" s="43">
        <f t="shared" si="2"/>
        <v>255.1162791</v>
      </c>
      <c r="K756" s="44">
        <f t="shared" si="3"/>
        <v>0.6345487694</v>
      </c>
      <c r="L756" s="41" t="str">
        <f>VLOOKUP(B756,'товар'!$A$1:$C$433,3,FALSE)</f>
        <v>Увелка</v>
      </c>
      <c r="M756" s="45">
        <f t="shared" si="4"/>
        <v>251.9166667</v>
      </c>
      <c r="N756" s="46">
        <f>VLOOKUP(H756,'клиенты'!$A$1:$F$435,5,FALSE)</f>
        <v>44666</v>
      </c>
      <c r="O756" s="41">
        <f t="shared" si="5"/>
        <v>710</v>
      </c>
      <c r="P756" s="41" t="str">
        <f>VLOOKUP(H756,'клиенты'!$A$2:$J$435,10,FALSE)</f>
        <v>Украина</v>
      </c>
      <c r="Q756" s="47">
        <f t="shared" si="6"/>
        <v>46078.45901</v>
      </c>
      <c r="R756" s="48">
        <f t="shared" si="7"/>
        <v>47.08196706</v>
      </c>
      <c r="S756" s="41"/>
      <c r="T756" s="41"/>
      <c r="U756" s="41"/>
      <c r="V756" s="41"/>
      <c r="W756" s="41"/>
      <c r="X756" s="41"/>
      <c r="Y756" s="41"/>
      <c r="Z756" s="41"/>
    </row>
    <row r="757" ht="14.25" customHeight="1">
      <c r="A757" s="20">
        <v>756.0</v>
      </c>
      <c r="B757" s="20">
        <v>51.0</v>
      </c>
      <c r="C757" s="20">
        <v>439.0</v>
      </c>
      <c r="D757" s="20">
        <v>5.0</v>
      </c>
      <c r="E757" s="20">
        <f t="shared" si="1"/>
        <v>2195</v>
      </c>
      <c r="F757" s="49">
        <v>45353.0</v>
      </c>
      <c r="G757" s="20" t="s">
        <v>48</v>
      </c>
      <c r="H757" s="20">
        <v>435.0</v>
      </c>
      <c r="I757" s="20" t="str">
        <f>VLOOKUP(B757,'товар'!$A$1:$C$433,2,FALSE)</f>
        <v>Колбаса</v>
      </c>
      <c r="J757" s="50">
        <f t="shared" si="2"/>
        <v>286.9230769</v>
      </c>
      <c r="K757" s="51">
        <f t="shared" si="3"/>
        <v>0.5300268097</v>
      </c>
      <c r="L757" s="20" t="str">
        <f>VLOOKUP(B757,'товар'!$A$1:$C$433,3,FALSE)</f>
        <v>Дымов</v>
      </c>
      <c r="M757" s="52">
        <f t="shared" si="4"/>
        <v>312.6666667</v>
      </c>
      <c r="N757" s="53">
        <f>VLOOKUP(H757,'клиенты'!$A$1:$F$435,5,FALSE)</f>
        <v>44618</v>
      </c>
      <c r="O757" s="20">
        <f t="shared" si="5"/>
        <v>735</v>
      </c>
      <c r="P757" s="20" t="str">
        <f>VLOOKUP(H757,'клиенты'!$A$2:$J$435,10,FALSE)</f>
        <v>Узбекистан</v>
      </c>
      <c r="Q757" s="54">
        <f t="shared" si="6"/>
        <v>46078.45901</v>
      </c>
      <c r="R757" s="55">
        <f t="shared" si="7"/>
        <v>48.68196706</v>
      </c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41">
        <v>757.0</v>
      </c>
      <c r="B758" s="41">
        <v>189.0</v>
      </c>
      <c r="C758" s="41">
        <v>136.0</v>
      </c>
      <c r="D758" s="41">
        <v>5.0</v>
      </c>
      <c r="E758" s="41">
        <f t="shared" si="1"/>
        <v>680</v>
      </c>
      <c r="F758" s="42">
        <v>45232.0</v>
      </c>
      <c r="G758" s="41" t="s">
        <v>47</v>
      </c>
      <c r="H758" s="41">
        <v>80.0</v>
      </c>
      <c r="I758" s="41" t="str">
        <f>VLOOKUP(B758,'товар'!$A$1:$C$433,2,FALSE)</f>
        <v>Хлеб</v>
      </c>
      <c r="J758" s="43">
        <f t="shared" si="2"/>
        <v>300.3181818</v>
      </c>
      <c r="K758" s="44">
        <f t="shared" si="3"/>
        <v>-0.5471469653</v>
      </c>
      <c r="L758" s="41" t="str">
        <f>VLOOKUP(B758,'товар'!$A$1:$C$433,3,FALSE)</f>
        <v>Дарница</v>
      </c>
      <c r="M758" s="45">
        <f t="shared" si="4"/>
        <v>264</v>
      </c>
      <c r="N758" s="46">
        <f>VLOOKUP(H758,'клиенты'!$A$1:$F$435,5,FALSE)</f>
        <v>44623</v>
      </c>
      <c r="O758" s="41">
        <f t="shared" si="5"/>
        <v>609</v>
      </c>
      <c r="P758" s="41" t="str">
        <f>VLOOKUP(H758,'клиенты'!$A$2:$J$435,10,FALSE)</f>
        <v>Беларусь</v>
      </c>
      <c r="Q758" s="47">
        <f t="shared" si="6"/>
        <v>46078.45901</v>
      </c>
      <c r="R758" s="48">
        <f t="shared" si="7"/>
        <v>48.51530039</v>
      </c>
      <c r="S758" s="41"/>
      <c r="T758" s="41"/>
      <c r="U758" s="41"/>
      <c r="V758" s="41"/>
      <c r="W758" s="41"/>
      <c r="X758" s="41"/>
      <c r="Y758" s="41"/>
      <c r="Z758" s="41"/>
    </row>
    <row r="759" ht="14.25" customHeight="1">
      <c r="A759" s="20">
        <v>758.0</v>
      </c>
      <c r="B759" s="20">
        <v>67.0</v>
      </c>
      <c r="C759" s="20">
        <v>274.0</v>
      </c>
      <c r="D759" s="20">
        <v>4.0</v>
      </c>
      <c r="E759" s="20">
        <f t="shared" si="1"/>
        <v>1096</v>
      </c>
      <c r="F759" s="49">
        <v>45298.0</v>
      </c>
      <c r="G759" s="20" t="s">
        <v>37</v>
      </c>
      <c r="H759" s="20">
        <v>262.0</v>
      </c>
      <c r="I759" s="20" t="str">
        <f>VLOOKUP(B759,'товар'!$A$1:$C$433,2,FALSE)</f>
        <v>Йогурт</v>
      </c>
      <c r="J759" s="50">
        <f t="shared" si="2"/>
        <v>263.2542373</v>
      </c>
      <c r="K759" s="51">
        <f t="shared" si="3"/>
        <v>0.04081895442</v>
      </c>
      <c r="L759" s="20" t="str">
        <f>VLOOKUP(B759,'товар'!$A$1:$C$433,3,FALSE)</f>
        <v>Чудо</v>
      </c>
      <c r="M759" s="52">
        <f t="shared" si="4"/>
        <v>287.1</v>
      </c>
      <c r="N759" s="53">
        <f>VLOOKUP(H759,'клиенты'!$A$1:$F$435,5,FALSE)</f>
        <v>44778</v>
      </c>
      <c r="O759" s="20">
        <f t="shared" si="5"/>
        <v>520</v>
      </c>
      <c r="P759" s="20" t="str">
        <f>VLOOKUP(H759,'клиенты'!$A$2:$J$435,10,FALSE)</f>
        <v>Таджикистан</v>
      </c>
      <c r="Q759" s="54">
        <f t="shared" si="6"/>
        <v>46078.45901</v>
      </c>
      <c r="R759" s="55">
        <f t="shared" si="7"/>
        <v>43.34863373</v>
      </c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41">
        <v>759.0</v>
      </c>
      <c r="B760" s="41">
        <v>301.0</v>
      </c>
      <c r="C760" s="41">
        <v>189.0</v>
      </c>
      <c r="D760" s="41">
        <v>3.0</v>
      </c>
      <c r="E760" s="41">
        <f t="shared" si="1"/>
        <v>567</v>
      </c>
      <c r="F760" s="42">
        <v>45144.0</v>
      </c>
      <c r="G760" s="41" t="s">
        <v>44</v>
      </c>
      <c r="H760" s="41">
        <v>43.0</v>
      </c>
      <c r="I760" s="41" t="str">
        <f>VLOOKUP(B760,'товар'!$A$1:$C$433,2,FALSE)</f>
        <v>Фрукты</v>
      </c>
      <c r="J760" s="43">
        <f t="shared" si="2"/>
        <v>274.1627907</v>
      </c>
      <c r="K760" s="44">
        <f t="shared" si="3"/>
        <v>-0.310628552</v>
      </c>
      <c r="L760" s="41" t="str">
        <f>VLOOKUP(B760,'товар'!$A$1:$C$433,3,FALSE)</f>
        <v>Экзотик</v>
      </c>
      <c r="M760" s="45">
        <f t="shared" si="4"/>
        <v>253.6875</v>
      </c>
      <c r="N760" s="46">
        <f>VLOOKUP(H760,'клиенты'!$A$1:$F$435,5,FALSE)</f>
        <v>44912</v>
      </c>
      <c r="O760" s="41">
        <f t="shared" si="5"/>
        <v>232</v>
      </c>
      <c r="P760" s="41" t="str">
        <f>VLOOKUP(H760,'клиенты'!$A$2:$J$435,10,FALSE)</f>
        <v>Россия</v>
      </c>
      <c r="Q760" s="47">
        <f t="shared" si="6"/>
        <v>46078.45901</v>
      </c>
      <c r="R760" s="48">
        <f t="shared" si="7"/>
        <v>38.88196706</v>
      </c>
      <c r="S760" s="41"/>
      <c r="T760" s="41"/>
      <c r="U760" s="41"/>
      <c r="V760" s="41"/>
      <c r="W760" s="41"/>
      <c r="X760" s="41"/>
      <c r="Y760" s="41"/>
      <c r="Z760" s="41"/>
    </row>
    <row r="761" ht="14.25" customHeight="1">
      <c r="A761" s="20">
        <v>760.0</v>
      </c>
      <c r="B761" s="20">
        <v>463.0</v>
      </c>
      <c r="C761" s="20">
        <v>77.0</v>
      </c>
      <c r="D761" s="20">
        <v>4.0</v>
      </c>
      <c r="E761" s="20">
        <f t="shared" si="1"/>
        <v>308</v>
      </c>
      <c r="F761" s="49">
        <v>45293.0</v>
      </c>
      <c r="G761" s="20" t="s">
        <v>54</v>
      </c>
      <c r="H761" s="20">
        <v>163.0</v>
      </c>
      <c r="I761" s="20" t="str">
        <f>VLOOKUP(B761,'товар'!$A$1:$C$433,2,FALSE)</f>
        <v>Кофе</v>
      </c>
      <c r="J761" s="50">
        <f t="shared" si="2"/>
        <v>249.0238095</v>
      </c>
      <c r="K761" s="51">
        <f t="shared" si="3"/>
        <v>-0.6907926188</v>
      </c>
      <c r="L761" s="20" t="str">
        <f>VLOOKUP(B761,'товар'!$A$1:$C$433,3,FALSE)</f>
        <v>Черная Карта</v>
      </c>
      <c r="M761" s="52">
        <f t="shared" si="4"/>
        <v>222.2</v>
      </c>
      <c r="N761" s="53">
        <f>VLOOKUP(H761,'клиенты'!$A$1:$F$435,5,FALSE)</f>
        <v>44571</v>
      </c>
      <c r="O761" s="20">
        <f t="shared" si="5"/>
        <v>722</v>
      </c>
      <c r="P761" s="20" t="str">
        <f>VLOOKUP(H761,'клиенты'!$A$2:$J$435,10,FALSE)</f>
        <v>Узбекистан</v>
      </c>
      <c r="Q761" s="54">
        <f t="shared" si="6"/>
        <v>46078.45901</v>
      </c>
      <c r="R761" s="55">
        <f t="shared" si="7"/>
        <v>50.24863373</v>
      </c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41">
        <v>761.0</v>
      </c>
      <c r="B762" s="41">
        <v>151.0</v>
      </c>
      <c r="C762" s="41">
        <v>239.0</v>
      </c>
      <c r="D762" s="41">
        <v>2.0</v>
      </c>
      <c r="E762" s="41">
        <f t="shared" si="1"/>
        <v>478</v>
      </c>
      <c r="F762" s="42">
        <v>45056.0</v>
      </c>
      <c r="G762" s="41" t="s">
        <v>42</v>
      </c>
      <c r="H762" s="41">
        <v>386.0</v>
      </c>
      <c r="I762" s="41" t="str">
        <f>VLOOKUP(B762,'товар'!$A$1:$C$433,2,FALSE)</f>
        <v>Молоко</v>
      </c>
      <c r="J762" s="43">
        <f t="shared" si="2"/>
        <v>294.952381</v>
      </c>
      <c r="K762" s="44">
        <f t="shared" si="3"/>
        <v>-0.1896997094</v>
      </c>
      <c r="L762" s="41" t="str">
        <f>VLOOKUP(B762,'товар'!$A$1:$C$433,3,FALSE)</f>
        <v>Беллакт</v>
      </c>
      <c r="M762" s="45">
        <f t="shared" si="4"/>
        <v>322.5454545</v>
      </c>
      <c r="N762" s="46">
        <f>VLOOKUP(H762,'клиенты'!$A$1:$F$435,5,FALSE)</f>
        <v>44734</v>
      </c>
      <c r="O762" s="41">
        <f t="shared" si="5"/>
        <v>322</v>
      </c>
      <c r="P762" s="41" t="str">
        <f>VLOOKUP(H762,'клиенты'!$A$2:$J$435,10,FALSE)</f>
        <v>Узбекистан</v>
      </c>
      <c r="Q762" s="47">
        <f t="shared" si="6"/>
        <v>46078.45901</v>
      </c>
      <c r="R762" s="48">
        <f t="shared" si="7"/>
        <v>44.81530039</v>
      </c>
      <c r="S762" s="41"/>
      <c r="T762" s="41"/>
      <c r="U762" s="41"/>
      <c r="V762" s="41"/>
      <c r="W762" s="41"/>
      <c r="X762" s="41"/>
      <c r="Y762" s="41"/>
      <c r="Z762" s="41"/>
    </row>
    <row r="763" ht="14.25" customHeight="1">
      <c r="A763" s="20">
        <v>762.0</v>
      </c>
      <c r="B763" s="20">
        <v>398.0</v>
      </c>
      <c r="C763" s="20">
        <v>464.0</v>
      </c>
      <c r="D763" s="20">
        <v>5.0</v>
      </c>
      <c r="E763" s="20">
        <f t="shared" si="1"/>
        <v>2320</v>
      </c>
      <c r="F763" s="49">
        <v>45040.0</v>
      </c>
      <c r="G763" s="20" t="s">
        <v>52</v>
      </c>
      <c r="H763" s="20">
        <v>342.0</v>
      </c>
      <c r="I763" s="20" t="str">
        <f>VLOOKUP(B763,'товар'!$A$1:$C$433,2,FALSE)</f>
        <v>Сок</v>
      </c>
      <c r="J763" s="50">
        <f t="shared" si="2"/>
        <v>268.6034483</v>
      </c>
      <c r="K763" s="51">
        <f t="shared" si="3"/>
        <v>0.7274536235</v>
      </c>
      <c r="L763" s="20" t="str">
        <f>VLOOKUP(B763,'товар'!$A$1:$C$433,3,FALSE)</f>
        <v>Фруктовый сад</v>
      </c>
      <c r="M763" s="52">
        <f t="shared" si="4"/>
        <v>281.96875</v>
      </c>
      <c r="N763" s="53">
        <f>VLOOKUP(H763,'клиенты'!$A$1:$F$435,5,FALSE)</f>
        <v>44570</v>
      </c>
      <c r="O763" s="20">
        <f t="shared" si="5"/>
        <v>470</v>
      </c>
      <c r="P763" s="20" t="str">
        <f>VLOOKUP(H763,'клиенты'!$A$2:$J$435,10,FALSE)</f>
        <v>Таджикистан</v>
      </c>
      <c r="Q763" s="54">
        <f t="shared" si="6"/>
        <v>46078.45901</v>
      </c>
      <c r="R763" s="55">
        <f t="shared" si="7"/>
        <v>50.28196706</v>
      </c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41">
        <v>763.0</v>
      </c>
      <c r="B764" s="41">
        <v>483.0</v>
      </c>
      <c r="C764" s="41">
        <v>140.0</v>
      </c>
      <c r="D764" s="41">
        <v>5.0</v>
      </c>
      <c r="E764" s="41">
        <f t="shared" si="1"/>
        <v>700</v>
      </c>
      <c r="F764" s="42">
        <v>45244.0</v>
      </c>
      <c r="G764" s="41" t="s">
        <v>52</v>
      </c>
      <c r="H764" s="41">
        <v>7.0</v>
      </c>
      <c r="I764" s="41" t="str">
        <f>VLOOKUP(B764,'товар'!$A$1:$C$433,2,FALSE)</f>
        <v>Колбаса</v>
      </c>
      <c r="J764" s="43">
        <f t="shared" si="2"/>
        <v>286.9230769</v>
      </c>
      <c r="K764" s="44">
        <f t="shared" si="3"/>
        <v>-0.5120643432</v>
      </c>
      <c r="L764" s="41" t="str">
        <f>VLOOKUP(B764,'товар'!$A$1:$C$433,3,FALSE)</f>
        <v>Дымов</v>
      </c>
      <c r="M764" s="45">
        <f t="shared" si="4"/>
        <v>312.6666667</v>
      </c>
      <c r="N764" s="46">
        <f>VLOOKUP(H764,'клиенты'!$A$1:$F$435,5,FALSE)</f>
        <v>44893</v>
      </c>
      <c r="O764" s="41">
        <f t="shared" si="5"/>
        <v>351</v>
      </c>
      <c r="P764" s="41" t="str">
        <f>VLOOKUP(H764,'клиенты'!$A$2:$J$435,10,FALSE)</f>
        <v>Россия</v>
      </c>
      <c r="Q764" s="47">
        <f t="shared" si="6"/>
        <v>46078.45901</v>
      </c>
      <c r="R764" s="48">
        <f t="shared" si="7"/>
        <v>39.51530039</v>
      </c>
      <c r="S764" s="41"/>
      <c r="T764" s="41"/>
      <c r="U764" s="41"/>
      <c r="V764" s="41"/>
      <c r="W764" s="41"/>
      <c r="X764" s="41"/>
      <c r="Y764" s="41"/>
      <c r="Z764" s="41"/>
    </row>
    <row r="765" ht="14.25" customHeight="1">
      <c r="A765" s="20">
        <v>764.0</v>
      </c>
      <c r="B765" s="20">
        <v>86.0</v>
      </c>
      <c r="C765" s="20">
        <v>353.0</v>
      </c>
      <c r="D765" s="20">
        <v>2.0</v>
      </c>
      <c r="E765" s="20">
        <f t="shared" si="1"/>
        <v>706</v>
      </c>
      <c r="F765" s="49">
        <v>45333.0</v>
      </c>
      <c r="G765" s="20" t="s">
        <v>40</v>
      </c>
      <c r="H765" s="20">
        <v>264.0</v>
      </c>
      <c r="I765" s="20" t="str">
        <f>VLOOKUP(B765,'товар'!$A$1:$C$433,2,FALSE)</f>
        <v>Сахар</v>
      </c>
      <c r="J765" s="50">
        <f t="shared" si="2"/>
        <v>252.7627119</v>
      </c>
      <c r="K765" s="51">
        <f t="shared" si="3"/>
        <v>0.3965667538</v>
      </c>
      <c r="L765" s="20" t="str">
        <f>VLOOKUP(B765,'товар'!$A$1:$C$433,3,FALSE)</f>
        <v>Русский сахар</v>
      </c>
      <c r="M765" s="52">
        <f t="shared" si="4"/>
        <v>293.4117647</v>
      </c>
      <c r="N765" s="53">
        <f>VLOOKUP(H765,'клиенты'!$A$1:$F$435,5,FALSE)</f>
        <v>44907</v>
      </c>
      <c r="O765" s="20">
        <f t="shared" si="5"/>
        <v>426</v>
      </c>
      <c r="P765" s="20" t="str">
        <f>VLOOKUP(H765,'клиенты'!$A$2:$J$435,10,FALSE)</f>
        <v>Беларусь</v>
      </c>
      <c r="Q765" s="54">
        <f t="shared" si="6"/>
        <v>46078.45901</v>
      </c>
      <c r="R765" s="55">
        <f t="shared" si="7"/>
        <v>39.04863373</v>
      </c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41">
        <v>765.0</v>
      </c>
      <c r="B766" s="41">
        <v>158.0</v>
      </c>
      <c r="C766" s="41">
        <v>318.0</v>
      </c>
      <c r="D766" s="41">
        <v>5.0</v>
      </c>
      <c r="E766" s="41">
        <f t="shared" si="1"/>
        <v>1590</v>
      </c>
      <c r="F766" s="42">
        <v>44958.0</v>
      </c>
      <c r="G766" s="41" t="s">
        <v>41</v>
      </c>
      <c r="H766" s="41">
        <v>99.0</v>
      </c>
      <c r="I766" s="41" t="str">
        <f>VLOOKUP(B766,'товар'!$A$1:$C$433,2,FALSE)</f>
        <v>Сахар</v>
      </c>
      <c r="J766" s="43">
        <f t="shared" si="2"/>
        <v>252.7627119</v>
      </c>
      <c r="K766" s="44">
        <f t="shared" si="3"/>
        <v>0.2580969624</v>
      </c>
      <c r="L766" s="41" t="str">
        <f>VLOOKUP(B766,'товар'!$A$1:$C$433,3,FALSE)</f>
        <v>Сладов</v>
      </c>
      <c r="M766" s="45">
        <f t="shared" si="4"/>
        <v>240.2666667</v>
      </c>
      <c r="N766" s="46">
        <f>VLOOKUP(H766,'клиенты'!$A$1:$F$435,5,FALSE)</f>
        <v>44886</v>
      </c>
      <c r="O766" s="41">
        <f t="shared" si="5"/>
        <v>72</v>
      </c>
      <c r="P766" s="41" t="str">
        <f>VLOOKUP(H766,'клиенты'!$A$2:$J$435,10,FALSE)</f>
        <v>Россия</v>
      </c>
      <c r="Q766" s="47">
        <f t="shared" si="6"/>
        <v>46078.45901</v>
      </c>
      <c r="R766" s="48">
        <f t="shared" si="7"/>
        <v>39.74863373</v>
      </c>
      <c r="S766" s="41"/>
      <c r="T766" s="41"/>
      <c r="U766" s="41"/>
      <c r="V766" s="41"/>
      <c r="W766" s="41"/>
      <c r="X766" s="41"/>
      <c r="Y766" s="41"/>
      <c r="Z766" s="41"/>
    </row>
    <row r="767" ht="14.25" customHeight="1">
      <c r="A767" s="20">
        <v>766.0</v>
      </c>
      <c r="B767" s="20">
        <v>199.0</v>
      </c>
      <c r="C767" s="20">
        <v>80.0</v>
      </c>
      <c r="D767" s="20">
        <v>5.0</v>
      </c>
      <c r="E767" s="20">
        <f t="shared" si="1"/>
        <v>400</v>
      </c>
      <c r="F767" s="49">
        <v>45408.0</v>
      </c>
      <c r="G767" s="20" t="s">
        <v>48</v>
      </c>
      <c r="H767" s="20">
        <v>404.0</v>
      </c>
      <c r="I767" s="20" t="str">
        <f>VLOOKUP(B767,'товар'!$A$1:$C$433,2,FALSE)</f>
        <v>Макароны</v>
      </c>
      <c r="J767" s="50">
        <f t="shared" si="2"/>
        <v>265.4767442</v>
      </c>
      <c r="K767" s="51">
        <f t="shared" si="3"/>
        <v>-0.698655337</v>
      </c>
      <c r="L767" s="20" t="str">
        <f>VLOOKUP(B767,'товар'!$A$1:$C$433,3,FALSE)</f>
        <v>Борилла</v>
      </c>
      <c r="M767" s="52">
        <f t="shared" si="4"/>
        <v>236.2758621</v>
      </c>
      <c r="N767" s="53">
        <f>VLOOKUP(H767,'клиенты'!$A$1:$F$435,5,FALSE)</f>
        <v>44913</v>
      </c>
      <c r="O767" s="20">
        <f t="shared" si="5"/>
        <v>495</v>
      </c>
      <c r="P767" s="20" t="str">
        <f>VLOOKUP(H767,'клиенты'!$A$2:$J$435,10,FALSE)</f>
        <v>Украина</v>
      </c>
      <c r="Q767" s="54">
        <f t="shared" si="6"/>
        <v>46078.45901</v>
      </c>
      <c r="R767" s="55">
        <f t="shared" si="7"/>
        <v>38.84863373</v>
      </c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41">
        <v>767.0</v>
      </c>
      <c r="B768" s="41">
        <v>259.0</v>
      </c>
      <c r="C768" s="41">
        <v>90.0</v>
      </c>
      <c r="D768" s="41">
        <v>4.0</v>
      </c>
      <c r="E768" s="41">
        <f t="shared" si="1"/>
        <v>360</v>
      </c>
      <c r="F768" s="42">
        <v>45058.0</v>
      </c>
      <c r="G768" s="41" t="s">
        <v>53</v>
      </c>
      <c r="H768" s="41">
        <v>79.0</v>
      </c>
      <c r="I768" s="41" t="str">
        <f>VLOOKUP(B768,'товар'!$A$1:$C$433,2,FALSE)</f>
        <v>Йогурт</v>
      </c>
      <c r="J768" s="43">
        <f t="shared" si="2"/>
        <v>263.2542373</v>
      </c>
      <c r="K768" s="44">
        <f t="shared" si="3"/>
        <v>-0.658125161</v>
      </c>
      <c r="L768" s="41" t="str">
        <f>VLOOKUP(B768,'товар'!$A$1:$C$433,3,FALSE)</f>
        <v>Ростагроэкспорт</v>
      </c>
      <c r="M768" s="45">
        <f t="shared" si="4"/>
        <v>257.7826087</v>
      </c>
      <c r="N768" s="46">
        <f>VLOOKUP(H768,'клиенты'!$A$1:$F$435,5,FALSE)</f>
        <v>44716</v>
      </c>
      <c r="O768" s="41">
        <f t="shared" si="5"/>
        <v>342</v>
      </c>
      <c r="P768" s="41" t="str">
        <f>VLOOKUP(H768,'клиенты'!$A$2:$J$435,10,FALSE)</f>
        <v>Таджикистан</v>
      </c>
      <c r="Q768" s="47">
        <f t="shared" si="6"/>
        <v>46078.45901</v>
      </c>
      <c r="R768" s="48">
        <f t="shared" si="7"/>
        <v>45.41530039</v>
      </c>
      <c r="S768" s="41"/>
      <c r="T768" s="41"/>
      <c r="U768" s="41"/>
      <c r="V768" s="41"/>
      <c r="W768" s="41"/>
      <c r="X768" s="41"/>
      <c r="Y768" s="41"/>
      <c r="Z768" s="41"/>
    </row>
    <row r="769" ht="14.25" customHeight="1">
      <c r="A769" s="20">
        <v>768.0</v>
      </c>
      <c r="B769" s="20">
        <v>468.0</v>
      </c>
      <c r="C769" s="20">
        <v>167.0</v>
      </c>
      <c r="D769" s="20">
        <v>4.0</v>
      </c>
      <c r="E769" s="20">
        <f t="shared" si="1"/>
        <v>668</v>
      </c>
      <c r="F769" s="49">
        <v>45211.0</v>
      </c>
      <c r="G769" s="20" t="s">
        <v>40</v>
      </c>
      <c r="H769" s="20">
        <v>377.0</v>
      </c>
      <c r="I769" s="20" t="str">
        <f>VLOOKUP(B769,'товар'!$A$1:$C$433,2,FALSE)</f>
        <v>Йогурт</v>
      </c>
      <c r="J769" s="50">
        <f t="shared" si="2"/>
        <v>263.2542373</v>
      </c>
      <c r="K769" s="51">
        <f t="shared" si="3"/>
        <v>-0.3656322431</v>
      </c>
      <c r="L769" s="20" t="str">
        <f>VLOOKUP(B769,'товар'!$A$1:$C$433,3,FALSE)</f>
        <v>Чудо</v>
      </c>
      <c r="M769" s="52">
        <f t="shared" si="4"/>
        <v>287.1</v>
      </c>
      <c r="N769" s="53">
        <f>VLOOKUP(H769,'клиенты'!$A$1:$F$435,5,FALSE)</f>
        <v>44794</v>
      </c>
      <c r="O769" s="20">
        <f t="shared" si="5"/>
        <v>417</v>
      </c>
      <c r="P769" s="20" t="str">
        <f>VLOOKUP(H769,'клиенты'!$A$2:$J$435,10,FALSE)</f>
        <v>Узбекистан</v>
      </c>
      <c r="Q769" s="54">
        <f t="shared" si="6"/>
        <v>46078.45901</v>
      </c>
      <c r="R769" s="55">
        <f t="shared" si="7"/>
        <v>42.81530039</v>
      </c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41">
        <v>769.0</v>
      </c>
      <c r="B770" s="41">
        <v>4.0</v>
      </c>
      <c r="C770" s="41">
        <v>478.0</v>
      </c>
      <c r="D770" s="41">
        <v>4.0</v>
      </c>
      <c r="E770" s="41">
        <f t="shared" si="1"/>
        <v>1912</v>
      </c>
      <c r="F770" s="42">
        <v>45156.0</v>
      </c>
      <c r="G770" s="41" t="s">
        <v>54</v>
      </c>
      <c r="H770" s="41">
        <v>146.0</v>
      </c>
      <c r="I770" s="41" t="str">
        <f>VLOOKUP(B770,'товар'!$A$1:$C$433,2,FALSE)</f>
        <v>Рис</v>
      </c>
      <c r="J770" s="43">
        <f t="shared" si="2"/>
        <v>258.375</v>
      </c>
      <c r="K770" s="44">
        <f t="shared" si="3"/>
        <v>0.8500241896</v>
      </c>
      <c r="L770" s="41" t="str">
        <f>VLOOKUP(B770,'товар'!$A$1:$C$433,3,FALSE)</f>
        <v>Белый Злат</v>
      </c>
      <c r="M770" s="45">
        <f t="shared" si="4"/>
        <v>269.7058824</v>
      </c>
      <c r="N770" s="46">
        <f>VLOOKUP(H770,'клиенты'!$A$1:$F$435,5,FALSE)</f>
        <v>44617</v>
      </c>
      <c r="O770" s="41">
        <f t="shared" si="5"/>
        <v>539</v>
      </c>
      <c r="P770" s="41" t="str">
        <f>VLOOKUP(H770,'клиенты'!$A$2:$J$435,10,FALSE)</f>
        <v>Беларусь</v>
      </c>
      <c r="Q770" s="47">
        <f t="shared" si="6"/>
        <v>46078.45901</v>
      </c>
      <c r="R770" s="48">
        <f t="shared" si="7"/>
        <v>48.71530039</v>
      </c>
      <c r="S770" s="41"/>
      <c r="T770" s="41"/>
      <c r="U770" s="41"/>
      <c r="V770" s="41"/>
      <c r="W770" s="41"/>
      <c r="X770" s="41"/>
      <c r="Y770" s="41"/>
      <c r="Z770" s="41"/>
    </row>
    <row r="771" ht="14.25" customHeight="1">
      <c r="A771" s="20">
        <v>770.0</v>
      </c>
      <c r="B771" s="20">
        <v>155.0</v>
      </c>
      <c r="C771" s="20">
        <v>310.0</v>
      </c>
      <c r="D771" s="20">
        <v>4.0</v>
      </c>
      <c r="E771" s="20">
        <f t="shared" si="1"/>
        <v>1240</v>
      </c>
      <c r="F771" s="49">
        <v>44930.0</v>
      </c>
      <c r="G771" s="20" t="s">
        <v>39</v>
      </c>
      <c r="H771" s="20">
        <v>346.0</v>
      </c>
      <c r="I771" s="20" t="str">
        <f>VLOOKUP(B771,'товар'!$A$1:$C$433,2,FALSE)</f>
        <v>Йогурт</v>
      </c>
      <c r="J771" s="50">
        <f t="shared" si="2"/>
        <v>263.2542373</v>
      </c>
      <c r="K771" s="51">
        <f t="shared" si="3"/>
        <v>0.17756889</v>
      </c>
      <c r="L771" s="20" t="str">
        <f>VLOOKUP(B771,'товар'!$A$1:$C$433,3,FALSE)</f>
        <v>Эрманн</v>
      </c>
      <c r="M771" s="52">
        <f t="shared" si="4"/>
        <v>248.5</v>
      </c>
      <c r="N771" s="53">
        <f>VLOOKUP(H771,'клиенты'!$A$1:$F$435,5,FALSE)</f>
        <v>44636</v>
      </c>
      <c r="O771" s="20">
        <f t="shared" si="5"/>
        <v>294</v>
      </c>
      <c r="P771" s="20" t="str">
        <f>VLOOKUP(H771,'клиенты'!$A$2:$J$435,10,FALSE)</f>
        <v>Россия</v>
      </c>
      <c r="Q771" s="54">
        <f t="shared" si="6"/>
        <v>46078.45901</v>
      </c>
      <c r="R771" s="55">
        <f t="shared" si="7"/>
        <v>48.08196706</v>
      </c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41">
        <v>771.0</v>
      </c>
      <c r="B772" s="41">
        <v>413.0</v>
      </c>
      <c r="C772" s="41">
        <v>210.0</v>
      </c>
      <c r="D772" s="41">
        <v>5.0</v>
      </c>
      <c r="E772" s="41">
        <f t="shared" si="1"/>
        <v>1050</v>
      </c>
      <c r="F772" s="42">
        <v>45422.0</v>
      </c>
      <c r="G772" s="41" t="s">
        <v>39</v>
      </c>
      <c r="H772" s="41">
        <v>436.0</v>
      </c>
      <c r="I772" s="41" t="str">
        <f>VLOOKUP(B772,'товар'!$A$1:$C$433,2,FALSE)</f>
        <v>Кофе</v>
      </c>
      <c r="J772" s="43">
        <f t="shared" si="2"/>
        <v>249.0238095</v>
      </c>
      <c r="K772" s="44">
        <f t="shared" si="3"/>
        <v>-0.1567071422</v>
      </c>
      <c r="L772" s="41" t="str">
        <f>VLOOKUP(B772,'товар'!$A$1:$C$433,3,FALSE)</f>
        <v>Jacobs</v>
      </c>
      <c r="M772" s="45">
        <f t="shared" si="4"/>
        <v>276.2105263</v>
      </c>
      <c r="N772" s="46">
        <f>VLOOKUP(H772,'клиенты'!$A$1:$F$435,5,FALSE)</f>
        <v>44683</v>
      </c>
      <c r="O772" s="41">
        <f t="shared" si="5"/>
        <v>739</v>
      </c>
      <c r="P772" s="41" t="str">
        <f>VLOOKUP(H772,'клиенты'!$A$2:$J$435,10,FALSE)</f>
        <v>Россия</v>
      </c>
      <c r="Q772" s="47">
        <f t="shared" si="6"/>
        <v>46078.45901</v>
      </c>
      <c r="R772" s="48">
        <f t="shared" si="7"/>
        <v>46.51530039</v>
      </c>
      <c r="S772" s="41"/>
      <c r="T772" s="41"/>
      <c r="U772" s="41"/>
      <c r="V772" s="41"/>
      <c r="W772" s="41"/>
      <c r="X772" s="41"/>
      <c r="Y772" s="41"/>
      <c r="Z772" s="41"/>
    </row>
    <row r="773" ht="14.25" customHeight="1">
      <c r="A773" s="20">
        <v>772.0</v>
      </c>
      <c r="B773" s="20">
        <v>200.0</v>
      </c>
      <c r="C773" s="20">
        <v>67.0</v>
      </c>
      <c r="D773" s="20">
        <v>1.0</v>
      </c>
      <c r="E773" s="20">
        <f t="shared" si="1"/>
        <v>67</v>
      </c>
      <c r="F773" s="49">
        <v>45163.0</v>
      </c>
      <c r="G773" s="20" t="s">
        <v>42</v>
      </c>
      <c r="H773" s="20">
        <v>103.0</v>
      </c>
      <c r="I773" s="20" t="str">
        <f>VLOOKUP(B773,'товар'!$A$1:$C$433,2,FALSE)</f>
        <v>Чипсы</v>
      </c>
      <c r="J773" s="50">
        <f t="shared" si="2"/>
        <v>273.7254902</v>
      </c>
      <c r="K773" s="51">
        <f t="shared" si="3"/>
        <v>-0.7552292264</v>
      </c>
      <c r="L773" s="20" t="str">
        <f>VLOOKUP(B773,'товар'!$A$1:$C$433,3,FALSE)</f>
        <v>Estrella</v>
      </c>
      <c r="M773" s="52">
        <f t="shared" si="4"/>
        <v>266.2727273</v>
      </c>
      <c r="N773" s="53">
        <f>VLOOKUP(H773,'клиенты'!$A$1:$F$435,5,FALSE)</f>
        <v>44787</v>
      </c>
      <c r="O773" s="20">
        <f t="shared" si="5"/>
        <v>376</v>
      </c>
      <c r="P773" s="20" t="str">
        <f>VLOOKUP(H773,'клиенты'!$A$2:$J$435,10,FALSE)</f>
        <v>Узбекистан</v>
      </c>
      <c r="Q773" s="54">
        <f t="shared" si="6"/>
        <v>46078.45901</v>
      </c>
      <c r="R773" s="55">
        <f t="shared" si="7"/>
        <v>43.04863373</v>
      </c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41">
        <v>773.0</v>
      </c>
      <c r="B774" s="41">
        <v>295.0</v>
      </c>
      <c r="C774" s="41">
        <v>294.0</v>
      </c>
      <c r="D774" s="41">
        <v>5.0</v>
      </c>
      <c r="E774" s="41">
        <f t="shared" si="1"/>
        <v>1470</v>
      </c>
      <c r="F774" s="42">
        <v>45147.0</v>
      </c>
      <c r="G774" s="41" t="s">
        <v>47</v>
      </c>
      <c r="H774" s="41">
        <v>493.0</v>
      </c>
      <c r="I774" s="41" t="str">
        <f>VLOOKUP(B774,'товар'!$A$1:$C$433,2,FALSE)</f>
        <v>Печенье</v>
      </c>
      <c r="J774" s="43">
        <f t="shared" si="2"/>
        <v>283.4680851</v>
      </c>
      <c r="K774" s="44">
        <f t="shared" si="3"/>
        <v>0.03715379419</v>
      </c>
      <c r="L774" s="41" t="str">
        <f>VLOOKUP(B774,'товар'!$A$1:$C$433,3,FALSE)</f>
        <v>Белогорье</v>
      </c>
      <c r="M774" s="45">
        <f t="shared" si="4"/>
        <v>249.5</v>
      </c>
      <c r="N774" s="46">
        <f>VLOOKUP(H774,'клиенты'!$A$1:$F$435,5,FALSE)</f>
        <v>44855</v>
      </c>
      <c r="O774" s="41">
        <f t="shared" si="5"/>
        <v>292</v>
      </c>
      <c r="P774" s="41" t="str">
        <f>VLOOKUP(H774,'клиенты'!$A$2:$J$435,10,FALSE)</f>
        <v>Украина</v>
      </c>
      <c r="Q774" s="47">
        <f t="shared" si="6"/>
        <v>46078.45901</v>
      </c>
      <c r="R774" s="48">
        <f t="shared" si="7"/>
        <v>40.78196706</v>
      </c>
      <c r="S774" s="41"/>
      <c r="T774" s="41"/>
      <c r="U774" s="41"/>
      <c r="V774" s="41"/>
      <c r="W774" s="41"/>
      <c r="X774" s="41"/>
      <c r="Y774" s="41"/>
      <c r="Z774" s="41"/>
    </row>
    <row r="775" ht="14.25" customHeight="1">
      <c r="A775" s="20">
        <v>774.0</v>
      </c>
      <c r="B775" s="20">
        <v>39.0</v>
      </c>
      <c r="C775" s="20">
        <v>404.0</v>
      </c>
      <c r="D775" s="20">
        <v>2.0</v>
      </c>
      <c r="E775" s="20">
        <f t="shared" si="1"/>
        <v>808</v>
      </c>
      <c r="F775" s="49">
        <v>45175.0</v>
      </c>
      <c r="G775" s="20" t="s">
        <v>41</v>
      </c>
      <c r="H775" s="20">
        <v>252.0</v>
      </c>
      <c r="I775" s="20" t="str">
        <f>VLOOKUP(B775,'товар'!$A$1:$C$433,2,FALSE)</f>
        <v>Сыр</v>
      </c>
      <c r="J775" s="50">
        <f t="shared" si="2"/>
        <v>262.6349206</v>
      </c>
      <c r="K775" s="51">
        <f t="shared" si="3"/>
        <v>0.5382569805</v>
      </c>
      <c r="L775" s="20" t="str">
        <f>VLOOKUP(B775,'товар'!$A$1:$C$433,3,FALSE)</f>
        <v>Сырная долина</v>
      </c>
      <c r="M775" s="52">
        <f t="shared" si="4"/>
        <v>271</v>
      </c>
      <c r="N775" s="53">
        <f>VLOOKUP(H775,'клиенты'!$A$1:$F$435,5,FALSE)</f>
        <v>44643</v>
      </c>
      <c r="O775" s="20">
        <f t="shared" si="5"/>
        <v>532</v>
      </c>
      <c r="P775" s="20" t="str">
        <f>VLOOKUP(H775,'клиенты'!$A$2:$J$435,10,FALSE)</f>
        <v>Россия</v>
      </c>
      <c r="Q775" s="54">
        <f t="shared" si="6"/>
        <v>46078.45901</v>
      </c>
      <c r="R775" s="55">
        <f t="shared" si="7"/>
        <v>47.84863373</v>
      </c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41">
        <v>775.0</v>
      </c>
      <c r="B776" s="41">
        <v>228.0</v>
      </c>
      <c r="C776" s="41">
        <v>98.0</v>
      </c>
      <c r="D776" s="41">
        <v>2.0</v>
      </c>
      <c r="E776" s="41">
        <f t="shared" si="1"/>
        <v>196</v>
      </c>
      <c r="F776" s="42">
        <v>45344.0</v>
      </c>
      <c r="G776" s="41" t="s">
        <v>53</v>
      </c>
      <c r="H776" s="41">
        <v>338.0</v>
      </c>
      <c r="I776" s="41" t="str">
        <f>VLOOKUP(B776,'товар'!$A$1:$C$433,2,FALSE)</f>
        <v>Рис</v>
      </c>
      <c r="J776" s="43">
        <f t="shared" si="2"/>
        <v>258.375</v>
      </c>
      <c r="K776" s="44">
        <f t="shared" si="3"/>
        <v>-0.6207063377</v>
      </c>
      <c r="L776" s="41" t="str">
        <f>VLOOKUP(B776,'товар'!$A$1:$C$433,3,FALSE)</f>
        <v>Мистраль</v>
      </c>
      <c r="M776" s="45">
        <f t="shared" si="4"/>
        <v>181.5714286</v>
      </c>
      <c r="N776" s="46">
        <f>VLOOKUP(H776,'клиенты'!$A$1:$F$435,5,FALSE)</f>
        <v>44577</v>
      </c>
      <c r="O776" s="41">
        <f t="shared" si="5"/>
        <v>767</v>
      </c>
      <c r="P776" s="41" t="str">
        <f>VLOOKUP(H776,'клиенты'!$A$2:$J$435,10,FALSE)</f>
        <v>Таджикистан</v>
      </c>
      <c r="Q776" s="47">
        <f t="shared" si="6"/>
        <v>46078.45901</v>
      </c>
      <c r="R776" s="48">
        <f t="shared" si="7"/>
        <v>50.04863373</v>
      </c>
      <c r="S776" s="41"/>
      <c r="T776" s="41"/>
      <c r="U776" s="41"/>
      <c r="V776" s="41"/>
      <c r="W776" s="41"/>
      <c r="X776" s="41"/>
      <c r="Y776" s="41"/>
      <c r="Z776" s="41"/>
    </row>
    <row r="777" ht="14.25" customHeight="1">
      <c r="A777" s="20">
        <v>776.0</v>
      </c>
      <c r="B777" s="20">
        <v>37.0</v>
      </c>
      <c r="C777" s="20">
        <v>139.0</v>
      </c>
      <c r="D777" s="20">
        <v>3.0</v>
      </c>
      <c r="E777" s="20">
        <f t="shared" si="1"/>
        <v>417</v>
      </c>
      <c r="F777" s="49">
        <v>45014.0</v>
      </c>
      <c r="G777" s="20" t="s">
        <v>48</v>
      </c>
      <c r="H777" s="20">
        <v>397.0</v>
      </c>
      <c r="I777" s="20" t="str">
        <f>VLOOKUP(B777,'товар'!$A$1:$C$433,2,FALSE)</f>
        <v>Соль</v>
      </c>
      <c r="J777" s="50">
        <f t="shared" si="2"/>
        <v>264.8679245</v>
      </c>
      <c r="K777" s="51">
        <f t="shared" si="3"/>
        <v>-0.4752101439</v>
      </c>
      <c r="L777" s="20" t="str">
        <f>VLOOKUP(B777,'товар'!$A$1:$C$433,3,FALSE)</f>
        <v>Илецкая</v>
      </c>
      <c r="M777" s="52">
        <f t="shared" si="4"/>
        <v>238.1666667</v>
      </c>
      <c r="N777" s="53">
        <f>VLOOKUP(H777,'клиенты'!$A$1:$F$435,5,FALSE)</f>
        <v>44728</v>
      </c>
      <c r="O777" s="20">
        <f t="shared" si="5"/>
        <v>286</v>
      </c>
      <c r="P777" s="20" t="str">
        <f>VLOOKUP(H777,'клиенты'!$A$2:$J$435,10,FALSE)</f>
        <v>Беларусь</v>
      </c>
      <c r="Q777" s="54">
        <f t="shared" si="6"/>
        <v>46078.45901</v>
      </c>
      <c r="R777" s="55">
        <f t="shared" si="7"/>
        <v>45.01530039</v>
      </c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41">
        <v>777.0</v>
      </c>
      <c r="B778" s="41">
        <v>62.0</v>
      </c>
      <c r="C778" s="41">
        <v>241.0</v>
      </c>
      <c r="D778" s="41">
        <v>2.0</v>
      </c>
      <c r="E778" s="41">
        <f t="shared" si="1"/>
        <v>482</v>
      </c>
      <c r="F778" s="42">
        <v>45231.0</v>
      </c>
      <c r="G778" s="41" t="s">
        <v>45</v>
      </c>
      <c r="H778" s="41">
        <v>247.0</v>
      </c>
      <c r="I778" s="41" t="str">
        <f>VLOOKUP(B778,'товар'!$A$1:$C$433,2,FALSE)</f>
        <v>Рыба</v>
      </c>
      <c r="J778" s="43">
        <f t="shared" si="2"/>
        <v>258.5128205</v>
      </c>
      <c r="K778" s="44">
        <f t="shared" si="3"/>
        <v>-0.06774449514</v>
      </c>
      <c r="L778" s="41" t="str">
        <f>VLOOKUP(B778,'товар'!$A$1:$C$433,3,FALSE)</f>
        <v>Балтийский берег</v>
      </c>
      <c r="M778" s="45">
        <f t="shared" si="4"/>
        <v>289.8888889</v>
      </c>
      <c r="N778" s="46">
        <f>VLOOKUP(H778,'клиенты'!$A$1:$F$435,5,FALSE)</f>
        <v>44762</v>
      </c>
      <c r="O778" s="41">
        <f t="shared" si="5"/>
        <v>469</v>
      </c>
      <c r="P778" s="41" t="str">
        <f>VLOOKUP(H778,'клиенты'!$A$2:$J$435,10,FALSE)</f>
        <v>Узбекистан</v>
      </c>
      <c r="Q778" s="47">
        <f t="shared" si="6"/>
        <v>46078.45901</v>
      </c>
      <c r="R778" s="48">
        <f t="shared" si="7"/>
        <v>43.88196706</v>
      </c>
      <c r="S778" s="41"/>
      <c r="T778" s="41"/>
      <c r="U778" s="41"/>
      <c r="V778" s="41"/>
      <c r="W778" s="41"/>
      <c r="X778" s="41"/>
      <c r="Y778" s="41"/>
      <c r="Z778" s="41"/>
    </row>
    <row r="779" ht="14.25" customHeight="1">
      <c r="A779" s="20">
        <v>778.0</v>
      </c>
      <c r="B779" s="20">
        <v>468.0</v>
      </c>
      <c r="C779" s="20">
        <v>182.0</v>
      </c>
      <c r="D779" s="20">
        <v>5.0</v>
      </c>
      <c r="E779" s="20">
        <f t="shared" si="1"/>
        <v>910</v>
      </c>
      <c r="F779" s="49">
        <v>45005.0</v>
      </c>
      <c r="G779" s="20" t="s">
        <v>49</v>
      </c>
      <c r="H779" s="20">
        <v>445.0</v>
      </c>
      <c r="I779" s="20" t="str">
        <f>VLOOKUP(B779,'товар'!$A$1:$C$433,2,FALSE)</f>
        <v>Йогурт</v>
      </c>
      <c r="J779" s="50">
        <f t="shared" si="2"/>
        <v>263.2542373</v>
      </c>
      <c r="K779" s="51">
        <f t="shared" si="3"/>
        <v>-0.3086531033</v>
      </c>
      <c r="L779" s="20" t="str">
        <f>VLOOKUP(B779,'товар'!$A$1:$C$433,3,FALSE)</f>
        <v>Чудо</v>
      </c>
      <c r="M779" s="52">
        <f t="shared" si="4"/>
        <v>287.1</v>
      </c>
      <c r="N779" s="53">
        <f>VLOOKUP(H779,'клиенты'!$A$1:$F$435,5,FALSE)</f>
        <v>44676</v>
      </c>
      <c r="O779" s="20">
        <f t="shared" si="5"/>
        <v>329</v>
      </c>
      <c r="P779" s="20" t="str">
        <f>VLOOKUP(H779,'клиенты'!$A$2:$J$435,10,FALSE)</f>
        <v>Россия</v>
      </c>
      <c r="Q779" s="54">
        <f t="shared" si="6"/>
        <v>46078.45901</v>
      </c>
      <c r="R779" s="55">
        <f t="shared" si="7"/>
        <v>46.74863373</v>
      </c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41">
        <v>779.0</v>
      </c>
      <c r="B780" s="41">
        <v>497.0</v>
      </c>
      <c r="C780" s="41">
        <v>275.0</v>
      </c>
      <c r="D780" s="41">
        <v>4.0</v>
      </c>
      <c r="E780" s="41">
        <f t="shared" si="1"/>
        <v>1100</v>
      </c>
      <c r="F780" s="42">
        <v>45236.0</v>
      </c>
      <c r="G780" s="41" t="s">
        <v>52</v>
      </c>
      <c r="H780" s="41">
        <v>477.0</v>
      </c>
      <c r="I780" s="41" t="str">
        <f>VLOOKUP(B780,'товар'!$A$1:$C$433,2,FALSE)</f>
        <v>Конфеты</v>
      </c>
      <c r="J780" s="43">
        <f t="shared" si="2"/>
        <v>267.8548387</v>
      </c>
      <c r="K780" s="44">
        <f t="shared" si="3"/>
        <v>0.02667549828</v>
      </c>
      <c r="L780" s="41" t="str">
        <f>VLOOKUP(B780,'товар'!$A$1:$C$433,3,FALSE)</f>
        <v>Бабаевский</v>
      </c>
      <c r="M780" s="45">
        <f t="shared" si="4"/>
        <v>250.2592593</v>
      </c>
      <c r="N780" s="46">
        <f>VLOOKUP(H780,'клиенты'!$A$1:$F$435,5,FALSE)</f>
        <v>44738</v>
      </c>
      <c r="O780" s="41">
        <f t="shared" si="5"/>
        <v>498</v>
      </c>
      <c r="P780" s="41" t="str">
        <f>VLOOKUP(H780,'клиенты'!$A$2:$J$435,10,FALSE)</f>
        <v>Узбекистан</v>
      </c>
      <c r="Q780" s="47">
        <f t="shared" si="6"/>
        <v>46078.45901</v>
      </c>
      <c r="R780" s="48">
        <f t="shared" si="7"/>
        <v>44.68196706</v>
      </c>
      <c r="S780" s="41"/>
      <c r="T780" s="41"/>
      <c r="U780" s="41"/>
      <c r="V780" s="41"/>
      <c r="W780" s="41"/>
      <c r="X780" s="41"/>
      <c r="Y780" s="41"/>
      <c r="Z780" s="41"/>
    </row>
    <row r="781" ht="14.25" customHeight="1">
      <c r="A781" s="20">
        <v>780.0</v>
      </c>
      <c r="B781" s="20">
        <v>372.0</v>
      </c>
      <c r="C781" s="20">
        <v>182.0</v>
      </c>
      <c r="D781" s="20">
        <v>2.0</v>
      </c>
      <c r="E781" s="20">
        <f t="shared" si="1"/>
        <v>364</v>
      </c>
      <c r="F781" s="49">
        <v>44991.0</v>
      </c>
      <c r="G781" s="20" t="s">
        <v>50</v>
      </c>
      <c r="H781" s="20">
        <v>402.0</v>
      </c>
      <c r="I781" s="20" t="str">
        <f>VLOOKUP(B781,'товар'!$A$1:$C$433,2,FALSE)</f>
        <v>Кофе</v>
      </c>
      <c r="J781" s="50">
        <f t="shared" si="2"/>
        <v>249.0238095</v>
      </c>
      <c r="K781" s="51">
        <f t="shared" si="3"/>
        <v>-0.2691461899</v>
      </c>
      <c r="L781" s="20" t="str">
        <f>VLOOKUP(B781,'товар'!$A$1:$C$433,3,FALSE)</f>
        <v>Черная Карта</v>
      </c>
      <c r="M781" s="52">
        <f t="shared" si="4"/>
        <v>222.2</v>
      </c>
      <c r="N781" s="53">
        <f>VLOOKUP(H781,'клиенты'!$A$1:$F$435,5,FALSE)</f>
        <v>44742</v>
      </c>
      <c r="O781" s="20">
        <f t="shared" si="5"/>
        <v>249</v>
      </c>
      <c r="P781" s="20" t="str">
        <f>VLOOKUP(H781,'клиенты'!$A$2:$J$435,10,FALSE)</f>
        <v>Узбекистан</v>
      </c>
      <c r="Q781" s="54">
        <f t="shared" si="6"/>
        <v>46078.45901</v>
      </c>
      <c r="R781" s="55">
        <f t="shared" si="7"/>
        <v>44.54863373</v>
      </c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41">
        <v>781.0</v>
      </c>
      <c r="B782" s="41">
        <v>354.0</v>
      </c>
      <c r="C782" s="41">
        <v>203.0</v>
      </c>
      <c r="D782" s="41">
        <v>5.0</v>
      </c>
      <c r="E782" s="41">
        <f t="shared" si="1"/>
        <v>1015</v>
      </c>
      <c r="F782" s="42">
        <v>45234.0</v>
      </c>
      <c r="G782" s="41" t="s">
        <v>36</v>
      </c>
      <c r="H782" s="41">
        <v>265.0</v>
      </c>
      <c r="I782" s="41" t="str">
        <f>VLOOKUP(B782,'товар'!$A$1:$C$433,2,FALSE)</f>
        <v>Чай</v>
      </c>
      <c r="J782" s="43">
        <f t="shared" si="2"/>
        <v>271.1818182</v>
      </c>
      <c r="K782" s="44">
        <f t="shared" si="3"/>
        <v>-0.2514247402</v>
      </c>
      <c r="L782" s="41" t="str">
        <f>VLOOKUP(B782,'товар'!$A$1:$C$433,3,FALSE)</f>
        <v>Lipton</v>
      </c>
      <c r="M782" s="45">
        <f t="shared" si="4"/>
        <v>260.1578947</v>
      </c>
      <c r="N782" s="46">
        <f>VLOOKUP(H782,'клиенты'!$A$1:$F$435,5,FALSE)</f>
        <v>44756</v>
      </c>
      <c r="O782" s="41">
        <f t="shared" si="5"/>
        <v>478</v>
      </c>
      <c r="P782" s="41" t="str">
        <f>VLOOKUP(H782,'клиенты'!$A$2:$J$435,10,FALSE)</f>
        <v>Узбекистан</v>
      </c>
      <c r="Q782" s="47">
        <f t="shared" si="6"/>
        <v>46078.45901</v>
      </c>
      <c r="R782" s="48">
        <f t="shared" si="7"/>
        <v>44.08196706</v>
      </c>
      <c r="S782" s="41"/>
      <c r="T782" s="41"/>
      <c r="U782" s="41"/>
      <c r="V782" s="41"/>
      <c r="W782" s="41"/>
      <c r="X782" s="41"/>
      <c r="Y782" s="41"/>
      <c r="Z782" s="41"/>
    </row>
    <row r="783" ht="14.25" customHeight="1">
      <c r="A783" s="20">
        <v>782.0</v>
      </c>
      <c r="B783" s="20">
        <v>460.0</v>
      </c>
      <c r="C783" s="20">
        <v>103.0</v>
      </c>
      <c r="D783" s="20">
        <v>5.0</v>
      </c>
      <c r="E783" s="20">
        <f t="shared" si="1"/>
        <v>515</v>
      </c>
      <c r="F783" s="49">
        <v>45411.0</v>
      </c>
      <c r="G783" s="20" t="s">
        <v>38</v>
      </c>
      <c r="H783" s="20">
        <v>124.0</v>
      </c>
      <c r="I783" s="20" t="str">
        <f>VLOOKUP(B783,'товар'!$A$1:$C$433,2,FALSE)</f>
        <v>Кофе</v>
      </c>
      <c r="J783" s="50">
        <f t="shared" si="2"/>
        <v>249.0238095</v>
      </c>
      <c r="K783" s="51">
        <f t="shared" si="3"/>
        <v>-0.5863849316</v>
      </c>
      <c r="L783" s="20" t="str">
        <f>VLOOKUP(B783,'товар'!$A$1:$C$433,3,FALSE)</f>
        <v>Tchibo</v>
      </c>
      <c r="M783" s="52">
        <f t="shared" si="4"/>
        <v>140</v>
      </c>
      <c r="N783" s="53">
        <f>VLOOKUP(H783,'клиенты'!$A$1:$F$435,5,FALSE)</f>
        <v>44795</v>
      </c>
      <c r="O783" s="20">
        <f t="shared" si="5"/>
        <v>616</v>
      </c>
      <c r="P783" s="20" t="str">
        <f>VLOOKUP(H783,'клиенты'!$A$2:$J$435,10,FALSE)</f>
        <v>Россия</v>
      </c>
      <c r="Q783" s="54">
        <f t="shared" si="6"/>
        <v>46078.45901</v>
      </c>
      <c r="R783" s="55">
        <f t="shared" si="7"/>
        <v>42.78196706</v>
      </c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41">
        <v>783.0</v>
      </c>
      <c r="B784" s="41">
        <v>63.0</v>
      </c>
      <c r="C784" s="41">
        <v>344.0</v>
      </c>
      <c r="D784" s="41">
        <v>2.0</v>
      </c>
      <c r="E784" s="41">
        <f t="shared" si="1"/>
        <v>688</v>
      </c>
      <c r="F784" s="42">
        <v>45194.0</v>
      </c>
      <c r="G784" s="41" t="s">
        <v>54</v>
      </c>
      <c r="H784" s="41">
        <v>208.0</v>
      </c>
      <c r="I784" s="41" t="str">
        <f>VLOOKUP(B784,'товар'!$A$1:$C$433,2,FALSE)</f>
        <v>Рыба</v>
      </c>
      <c r="J784" s="43">
        <f t="shared" si="2"/>
        <v>258.5128205</v>
      </c>
      <c r="K784" s="44">
        <f t="shared" si="3"/>
        <v>0.3306883555</v>
      </c>
      <c r="L784" s="41" t="str">
        <f>VLOOKUP(B784,'товар'!$A$1:$C$433,3,FALSE)</f>
        <v>Балтийский берег</v>
      </c>
      <c r="M784" s="45">
        <f t="shared" si="4"/>
        <v>289.8888889</v>
      </c>
      <c r="N784" s="46">
        <f>VLOOKUP(H784,'клиенты'!$A$1:$F$435,5,FALSE)</f>
        <v>44736</v>
      </c>
      <c r="O784" s="41">
        <f t="shared" si="5"/>
        <v>458</v>
      </c>
      <c r="P784" s="41" t="str">
        <f>VLOOKUP(H784,'клиенты'!$A$2:$J$435,10,FALSE)</f>
        <v>Украина</v>
      </c>
      <c r="Q784" s="47">
        <f t="shared" si="6"/>
        <v>46078.45901</v>
      </c>
      <c r="R784" s="48">
        <f t="shared" si="7"/>
        <v>44.74863373</v>
      </c>
      <c r="S784" s="41"/>
      <c r="T784" s="41"/>
      <c r="U784" s="41"/>
      <c r="V784" s="41"/>
      <c r="W784" s="41"/>
      <c r="X784" s="41"/>
      <c r="Y784" s="41"/>
      <c r="Z784" s="41"/>
    </row>
    <row r="785" ht="14.25" customHeight="1">
      <c r="A785" s="20">
        <v>784.0</v>
      </c>
      <c r="B785" s="20">
        <v>467.0</v>
      </c>
      <c r="C785" s="20">
        <v>436.0</v>
      </c>
      <c r="D785" s="20">
        <v>3.0</v>
      </c>
      <c r="E785" s="20">
        <f t="shared" si="1"/>
        <v>1308</v>
      </c>
      <c r="F785" s="49">
        <v>45289.0</v>
      </c>
      <c r="G785" s="20" t="s">
        <v>43</v>
      </c>
      <c r="H785" s="20">
        <v>343.0</v>
      </c>
      <c r="I785" s="20" t="str">
        <f>VLOOKUP(B785,'товар'!$A$1:$C$433,2,FALSE)</f>
        <v>Макароны</v>
      </c>
      <c r="J785" s="50">
        <f t="shared" si="2"/>
        <v>265.4767442</v>
      </c>
      <c r="K785" s="51">
        <f t="shared" si="3"/>
        <v>0.6423284131</v>
      </c>
      <c r="L785" s="20" t="str">
        <f>VLOOKUP(B785,'товар'!$A$1:$C$433,3,FALSE)</f>
        <v>Борилла</v>
      </c>
      <c r="M785" s="52">
        <f t="shared" si="4"/>
        <v>236.2758621</v>
      </c>
      <c r="N785" s="53">
        <f>VLOOKUP(H785,'клиенты'!$A$1:$F$435,5,FALSE)</f>
        <v>44874</v>
      </c>
      <c r="O785" s="20">
        <f t="shared" si="5"/>
        <v>415</v>
      </c>
      <c r="P785" s="20" t="str">
        <f>VLOOKUP(H785,'клиенты'!$A$2:$J$435,10,FALSE)</f>
        <v>Украина</v>
      </c>
      <c r="Q785" s="54">
        <f t="shared" si="6"/>
        <v>46078.45901</v>
      </c>
      <c r="R785" s="55">
        <f t="shared" si="7"/>
        <v>40.14863373</v>
      </c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41">
        <v>785.0</v>
      </c>
      <c r="B786" s="41">
        <v>184.0</v>
      </c>
      <c r="C786" s="41">
        <v>79.0</v>
      </c>
      <c r="D786" s="41">
        <v>4.0</v>
      </c>
      <c r="E786" s="41">
        <f t="shared" si="1"/>
        <v>316</v>
      </c>
      <c r="F786" s="42">
        <v>45407.0</v>
      </c>
      <c r="G786" s="41" t="s">
        <v>46</v>
      </c>
      <c r="H786" s="41">
        <v>394.0</v>
      </c>
      <c r="I786" s="41" t="str">
        <f>VLOOKUP(B786,'товар'!$A$1:$C$433,2,FALSE)</f>
        <v>Конфеты</v>
      </c>
      <c r="J786" s="43">
        <f t="shared" si="2"/>
        <v>267.8548387</v>
      </c>
      <c r="K786" s="44">
        <f t="shared" si="3"/>
        <v>-0.7050641296</v>
      </c>
      <c r="L786" s="41" t="str">
        <f>VLOOKUP(B786,'товар'!$A$1:$C$433,3,FALSE)</f>
        <v>Славянка</v>
      </c>
      <c r="M786" s="45">
        <f t="shared" si="4"/>
        <v>268</v>
      </c>
      <c r="N786" s="46">
        <f>VLOOKUP(H786,'клиенты'!$A$1:$F$435,5,FALSE)</f>
        <v>44708</v>
      </c>
      <c r="O786" s="41">
        <f t="shared" si="5"/>
        <v>699</v>
      </c>
      <c r="P786" s="41" t="str">
        <f>VLOOKUP(H786,'клиенты'!$A$2:$J$435,10,FALSE)</f>
        <v>Россия</v>
      </c>
      <c r="Q786" s="47">
        <f t="shared" si="6"/>
        <v>46078.45901</v>
      </c>
      <c r="R786" s="48">
        <f t="shared" si="7"/>
        <v>45.68196706</v>
      </c>
      <c r="S786" s="41"/>
      <c r="T786" s="41"/>
      <c r="U786" s="41"/>
      <c r="V786" s="41"/>
      <c r="W786" s="41"/>
      <c r="X786" s="41"/>
      <c r="Y786" s="41"/>
      <c r="Z786" s="41"/>
    </row>
    <row r="787" ht="14.25" customHeight="1">
      <c r="A787" s="20">
        <v>786.0</v>
      </c>
      <c r="B787" s="20">
        <v>265.0</v>
      </c>
      <c r="C787" s="20">
        <v>339.0</v>
      </c>
      <c r="D787" s="20">
        <v>3.0</v>
      </c>
      <c r="E787" s="20">
        <f t="shared" si="1"/>
        <v>1017</v>
      </c>
      <c r="F787" s="49">
        <v>44944.0</v>
      </c>
      <c r="G787" s="20" t="s">
        <v>46</v>
      </c>
      <c r="H787" s="20">
        <v>242.0</v>
      </c>
      <c r="I787" s="20" t="str">
        <f>VLOOKUP(B787,'товар'!$A$1:$C$433,2,FALSE)</f>
        <v>Мясо</v>
      </c>
      <c r="J787" s="50">
        <f t="shared" si="2"/>
        <v>271.7454545</v>
      </c>
      <c r="K787" s="51">
        <f t="shared" si="3"/>
        <v>0.2474909675</v>
      </c>
      <c r="L787" s="20" t="str">
        <f>VLOOKUP(B787,'товар'!$A$1:$C$433,3,FALSE)</f>
        <v>Мираторг</v>
      </c>
      <c r="M787" s="52">
        <f t="shared" si="4"/>
        <v>316.5833333</v>
      </c>
      <c r="N787" s="53">
        <f>VLOOKUP(H787,'клиенты'!$A$1:$F$435,5,FALSE)</f>
        <v>44747</v>
      </c>
      <c r="O787" s="20">
        <f t="shared" si="5"/>
        <v>197</v>
      </c>
      <c r="P787" s="20" t="str">
        <f>VLOOKUP(H787,'клиенты'!$A$2:$J$435,10,FALSE)</f>
        <v>Россия</v>
      </c>
      <c r="Q787" s="54">
        <f t="shared" si="6"/>
        <v>46078.45901</v>
      </c>
      <c r="R787" s="55">
        <f t="shared" si="7"/>
        <v>44.38196706</v>
      </c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41">
        <v>787.0</v>
      </c>
      <c r="B788" s="41">
        <v>130.0</v>
      </c>
      <c r="C788" s="41">
        <v>319.0</v>
      </c>
      <c r="D788" s="41">
        <v>3.0</v>
      </c>
      <c r="E788" s="41">
        <f t="shared" si="1"/>
        <v>957</v>
      </c>
      <c r="F788" s="42">
        <v>45145.0</v>
      </c>
      <c r="G788" s="41" t="s">
        <v>40</v>
      </c>
      <c r="H788" s="41">
        <v>56.0</v>
      </c>
      <c r="I788" s="41" t="str">
        <f>VLOOKUP(B788,'товар'!$A$1:$C$433,2,FALSE)</f>
        <v>Соль</v>
      </c>
      <c r="J788" s="43">
        <f t="shared" si="2"/>
        <v>264.8679245</v>
      </c>
      <c r="K788" s="44">
        <f t="shared" si="3"/>
        <v>0.2043738424</v>
      </c>
      <c r="L788" s="41" t="str">
        <f>VLOOKUP(B788,'товар'!$A$1:$C$433,3,FALSE)</f>
        <v>Илецкая</v>
      </c>
      <c r="M788" s="45">
        <f t="shared" si="4"/>
        <v>238.1666667</v>
      </c>
      <c r="N788" s="46">
        <f>VLOOKUP(H788,'клиенты'!$A$1:$F$435,5,FALSE)</f>
        <v>44662</v>
      </c>
      <c r="O788" s="41">
        <f t="shared" si="5"/>
        <v>483</v>
      </c>
      <c r="P788" s="41" t="str">
        <f>VLOOKUP(H788,'клиенты'!$A$2:$J$435,10,FALSE)</f>
        <v>Таджикистан</v>
      </c>
      <c r="Q788" s="47">
        <f t="shared" si="6"/>
        <v>46078.45901</v>
      </c>
      <c r="R788" s="48">
        <f t="shared" si="7"/>
        <v>47.21530039</v>
      </c>
      <c r="S788" s="41"/>
      <c r="T788" s="41"/>
      <c r="U788" s="41"/>
      <c r="V788" s="41"/>
      <c r="W788" s="41"/>
      <c r="X788" s="41"/>
      <c r="Y788" s="41"/>
      <c r="Z788" s="41"/>
    </row>
    <row r="789" ht="14.25" customHeight="1">
      <c r="A789" s="20">
        <v>788.0</v>
      </c>
      <c r="B789" s="20">
        <v>443.0</v>
      </c>
      <c r="C789" s="20">
        <v>348.0</v>
      </c>
      <c r="D789" s="20">
        <v>3.0</v>
      </c>
      <c r="E789" s="20">
        <f t="shared" si="1"/>
        <v>1044</v>
      </c>
      <c r="F789" s="49">
        <v>44930.0</v>
      </c>
      <c r="G789" s="20" t="s">
        <v>49</v>
      </c>
      <c r="H789" s="20">
        <v>324.0</v>
      </c>
      <c r="I789" s="20" t="str">
        <f>VLOOKUP(B789,'товар'!$A$1:$C$433,2,FALSE)</f>
        <v>Кофе</v>
      </c>
      <c r="J789" s="50">
        <f t="shared" si="2"/>
        <v>249.0238095</v>
      </c>
      <c r="K789" s="51">
        <f t="shared" si="3"/>
        <v>0.3974567358</v>
      </c>
      <c r="L789" s="20" t="str">
        <f>VLOOKUP(B789,'товар'!$A$1:$C$433,3,FALSE)</f>
        <v>Jacobs</v>
      </c>
      <c r="M789" s="52">
        <f t="shared" si="4"/>
        <v>276.2105263</v>
      </c>
      <c r="N789" s="53">
        <f>VLOOKUP(H789,'клиенты'!$A$1:$F$435,5,FALSE)</f>
        <v>44761</v>
      </c>
      <c r="O789" s="20">
        <f t="shared" si="5"/>
        <v>169</v>
      </c>
      <c r="P789" s="20" t="str">
        <f>VLOOKUP(H789,'клиенты'!$A$2:$J$435,10,FALSE)</f>
        <v>Узбекистан</v>
      </c>
      <c r="Q789" s="54">
        <f t="shared" si="6"/>
        <v>46078.45901</v>
      </c>
      <c r="R789" s="55">
        <f t="shared" si="7"/>
        <v>43.91530039</v>
      </c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41">
        <v>789.0</v>
      </c>
      <c r="B790" s="41">
        <v>408.0</v>
      </c>
      <c r="C790" s="41">
        <v>60.0</v>
      </c>
      <c r="D790" s="41">
        <v>4.0</v>
      </c>
      <c r="E790" s="41">
        <f t="shared" si="1"/>
        <v>240</v>
      </c>
      <c r="F790" s="42">
        <v>45299.0</v>
      </c>
      <c r="G790" s="41" t="s">
        <v>41</v>
      </c>
      <c r="H790" s="41">
        <v>486.0</v>
      </c>
      <c r="I790" s="41" t="str">
        <f>VLOOKUP(B790,'товар'!$A$1:$C$433,2,FALSE)</f>
        <v>Йогурт</v>
      </c>
      <c r="J790" s="43">
        <f t="shared" si="2"/>
        <v>263.2542373</v>
      </c>
      <c r="K790" s="44">
        <f t="shared" si="3"/>
        <v>-0.7720834406</v>
      </c>
      <c r="L790" s="41" t="str">
        <f>VLOOKUP(B790,'товар'!$A$1:$C$433,3,FALSE)</f>
        <v>Эрманн</v>
      </c>
      <c r="M790" s="45">
        <f t="shared" si="4"/>
        <v>248.5</v>
      </c>
      <c r="N790" s="46">
        <f>VLOOKUP(H790,'клиенты'!$A$1:$F$435,5,FALSE)</f>
        <v>44723</v>
      </c>
      <c r="O790" s="41">
        <f t="shared" si="5"/>
        <v>576</v>
      </c>
      <c r="P790" s="41" t="str">
        <f>VLOOKUP(H790,'клиенты'!$A$2:$J$435,10,FALSE)</f>
        <v>Россия</v>
      </c>
      <c r="Q790" s="47">
        <f t="shared" si="6"/>
        <v>46078.45901</v>
      </c>
      <c r="R790" s="48">
        <f t="shared" si="7"/>
        <v>45.18196706</v>
      </c>
      <c r="S790" s="41"/>
      <c r="T790" s="41"/>
      <c r="U790" s="41"/>
      <c r="V790" s="41"/>
      <c r="W790" s="41"/>
      <c r="X790" s="41"/>
      <c r="Y790" s="41"/>
      <c r="Z790" s="41"/>
    </row>
    <row r="791" ht="14.25" customHeight="1">
      <c r="A791" s="20">
        <v>790.0</v>
      </c>
      <c r="B791" s="20">
        <v>249.0</v>
      </c>
      <c r="C791" s="20">
        <v>125.0</v>
      </c>
      <c r="D791" s="20">
        <v>5.0</v>
      </c>
      <c r="E791" s="20">
        <f t="shared" si="1"/>
        <v>625</v>
      </c>
      <c r="F791" s="49">
        <v>45322.0</v>
      </c>
      <c r="G791" s="20" t="s">
        <v>52</v>
      </c>
      <c r="H791" s="20">
        <v>71.0</v>
      </c>
      <c r="I791" s="20" t="str">
        <f>VLOOKUP(B791,'товар'!$A$1:$C$433,2,FALSE)</f>
        <v>Чай</v>
      </c>
      <c r="J791" s="50">
        <f t="shared" si="2"/>
        <v>271.1818182</v>
      </c>
      <c r="K791" s="51">
        <f t="shared" si="3"/>
        <v>-0.539054643</v>
      </c>
      <c r="L791" s="20" t="str">
        <f>VLOOKUP(B791,'товар'!$A$1:$C$433,3,FALSE)</f>
        <v>Lipton</v>
      </c>
      <c r="M791" s="52">
        <f t="shared" si="4"/>
        <v>260.1578947</v>
      </c>
      <c r="N791" s="53">
        <f>VLOOKUP(H791,'клиенты'!$A$1:$F$435,5,FALSE)</f>
        <v>44762</v>
      </c>
      <c r="O791" s="20">
        <f t="shared" si="5"/>
        <v>560</v>
      </c>
      <c r="P791" s="20" t="str">
        <f>VLOOKUP(H791,'клиенты'!$A$2:$J$435,10,FALSE)</f>
        <v>Украина</v>
      </c>
      <c r="Q791" s="54">
        <f t="shared" si="6"/>
        <v>46078.45901</v>
      </c>
      <c r="R791" s="55">
        <f t="shared" si="7"/>
        <v>43.88196706</v>
      </c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41">
        <v>791.0</v>
      </c>
      <c r="B792" s="41">
        <v>241.0</v>
      </c>
      <c r="C792" s="41">
        <v>490.0</v>
      </c>
      <c r="D792" s="41">
        <v>1.0</v>
      </c>
      <c r="E792" s="41">
        <f t="shared" si="1"/>
        <v>490</v>
      </c>
      <c r="F792" s="42">
        <v>45271.0</v>
      </c>
      <c r="G792" s="41" t="s">
        <v>41</v>
      </c>
      <c r="H792" s="41">
        <v>299.0</v>
      </c>
      <c r="I792" s="41" t="str">
        <f>VLOOKUP(B792,'товар'!$A$1:$C$433,2,FALSE)</f>
        <v>Колбаса</v>
      </c>
      <c r="J792" s="43">
        <f t="shared" si="2"/>
        <v>286.9230769</v>
      </c>
      <c r="K792" s="44">
        <f t="shared" si="3"/>
        <v>0.7077747989</v>
      </c>
      <c r="L792" s="41" t="str">
        <f>VLOOKUP(B792,'товар'!$A$1:$C$433,3,FALSE)</f>
        <v>Окраина</v>
      </c>
      <c r="M792" s="45">
        <f t="shared" si="4"/>
        <v>273.5833333</v>
      </c>
      <c r="N792" s="46">
        <f>VLOOKUP(H792,'клиенты'!$A$1:$F$435,5,FALSE)</f>
        <v>44666</v>
      </c>
      <c r="O792" s="41">
        <f t="shared" si="5"/>
        <v>605</v>
      </c>
      <c r="P792" s="41" t="str">
        <f>VLOOKUP(H792,'клиенты'!$A$2:$J$435,10,FALSE)</f>
        <v>Украина</v>
      </c>
      <c r="Q792" s="47">
        <f t="shared" si="6"/>
        <v>46078.45901</v>
      </c>
      <c r="R792" s="48">
        <f t="shared" si="7"/>
        <v>47.08196706</v>
      </c>
      <c r="S792" s="41"/>
      <c r="T792" s="41"/>
      <c r="U792" s="41"/>
      <c r="V792" s="41"/>
      <c r="W792" s="41"/>
      <c r="X792" s="41"/>
      <c r="Y792" s="41"/>
      <c r="Z792" s="41"/>
    </row>
    <row r="793" ht="14.25" customHeight="1">
      <c r="A793" s="20">
        <v>792.0</v>
      </c>
      <c r="B793" s="20">
        <v>202.0</v>
      </c>
      <c r="C793" s="20">
        <v>298.0</v>
      </c>
      <c r="D793" s="20">
        <v>4.0</v>
      </c>
      <c r="E793" s="20">
        <f t="shared" si="1"/>
        <v>1192</v>
      </c>
      <c r="F793" s="49">
        <v>44979.0</v>
      </c>
      <c r="G793" s="20" t="s">
        <v>49</v>
      </c>
      <c r="H793" s="20">
        <v>265.0</v>
      </c>
      <c r="I793" s="20" t="str">
        <f>VLOOKUP(B793,'товар'!$A$1:$C$433,2,FALSE)</f>
        <v>Овощи</v>
      </c>
      <c r="J793" s="50">
        <f t="shared" si="2"/>
        <v>250.4878049</v>
      </c>
      <c r="K793" s="51">
        <f t="shared" si="3"/>
        <v>0.1896786758</v>
      </c>
      <c r="L793" s="20" t="str">
        <f>VLOOKUP(B793,'товар'!$A$1:$C$433,3,FALSE)</f>
        <v>Овощной ряд</v>
      </c>
      <c r="M793" s="52">
        <f t="shared" si="4"/>
        <v>303.8235294</v>
      </c>
      <c r="N793" s="53">
        <f>VLOOKUP(H793,'клиенты'!$A$1:$F$435,5,FALSE)</f>
        <v>44756</v>
      </c>
      <c r="O793" s="20">
        <f t="shared" si="5"/>
        <v>223</v>
      </c>
      <c r="P793" s="20" t="str">
        <f>VLOOKUP(H793,'клиенты'!$A$2:$J$435,10,FALSE)</f>
        <v>Узбекистан</v>
      </c>
      <c r="Q793" s="54">
        <f t="shared" si="6"/>
        <v>46078.45901</v>
      </c>
      <c r="R793" s="55">
        <f t="shared" si="7"/>
        <v>44.08196706</v>
      </c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41">
        <v>793.0</v>
      </c>
      <c r="B794" s="41">
        <v>376.0</v>
      </c>
      <c r="C794" s="41">
        <v>441.0</v>
      </c>
      <c r="D794" s="41">
        <v>2.0</v>
      </c>
      <c r="E794" s="41">
        <f t="shared" si="1"/>
        <v>882</v>
      </c>
      <c r="F794" s="42">
        <v>45364.0</v>
      </c>
      <c r="G794" s="41" t="s">
        <v>36</v>
      </c>
      <c r="H794" s="41">
        <v>272.0</v>
      </c>
      <c r="I794" s="41" t="str">
        <f>VLOOKUP(B794,'товар'!$A$1:$C$433,2,FALSE)</f>
        <v>Конфеты</v>
      </c>
      <c r="J794" s="43">
        <f t="shared" si="2"/>
        <v>267.8548387</v>
      </c>
      <c r="K794" s="44">
        <f t="shared" si="3"/>
        <v>0.6464141627</v>
      </c>
      <c r="L794" s="41" t="str">
        <f>VLOOKUP(B794,'товар'!$A$1:$C$433,3,FALSE)</f>
        <v>Красный Октябрь</v>
      </c>
      <c r="M794" s="45">
        <f t="shared" si="4"/>
        <v>273.625</v>
      </c>
      <c r="N794" s="46">
        <f>VLOOKUP(H794,'клиенты'!$A$1:$F$435,5,FALSE)</f>
        <v>44668</v>
      </c>
      <c r="O794" s="41">
        <f t="shared" si="5"/>
        <v>696</v>
      </c>
      <c r="P794" s="41" t="str">
        <f>VLOOKUP(H794,'клиенты'!$A$2:$J$435,10,FALSE)</f>
        <v>Таджикистан</v>
      </c>
      <c r="Q794" s="47">
        <f t="shared" si="6"/>
        <v>46078.45901</v>
      </c>
      <c r="R794" s="48">
        <f t="shared" si="7"/>
        <v>47.01530039</v>
      </c>
      <c r="S794" s="41"/>
      <c r="T794" s="41"/>
      <c r="U794" s="41"/>
      <c r="V794" s="41"/>
      <c r="W794" s="41"/>
      <c r="X794" s="41"/>
      <c r="Y794" s="41"/>
      <c r="Z794" s="41"/>
    </row>
    <row r="795" ht="14.25" customHeight="1">
      <c r="A795" s="20">
        <v>794.0</v>
      </c>
      <c r="B795" s="20">
        <v>371.0</v>
      </c>
      <c r="C795" s="20">
        <v>126.0</v>
      </c>
      <c r="D795" s="20">
        <v>5.0</v>
      </c>
      <c r="E795" s="20">
        <f t="shared" si="1"/>
        <v>630</v>
      </c>
      <c r="F795" s="49">
        <v>45230.0</v>
      </c>
      <c r="G795" s="20" t="s">
        <v>43</v>
      </c>
      <c r="H795" s="20">
        <v>371.0</v>
      </c>
      <c r="I795" s="20" t="str">
        <f>VLOOKUP(B795,'товар'!$A$1:$C$433,2,FALSE)</f>
        <v>Сахар</v>
      </c>
      <c r="J795" s="50">
        <f t="shared" si="2"/>
        <v>252.7627119</v>
      </c>
      <c r="K795" s="51">
        <f t="shared" si="3"/>
        <v>-0.5015087508</v>
      </c>
      <c r="L795" s="20" t="str">
        <f>VLOOKUP(B795,'товар'!$A$1:$C$433,3,FALSE)</f>
        <v>Русский сахар</v>
      </c>
      <c r="M795" s="52">
        <f t="shared" si="4"/>
        <v>293.4117647</v>
      </c>
      <c r="N795" s="53">
        <f>VLOOKUP(H795,'клиенты'!$A$1:$F$435,5,FALSE)</f>
        <v>44844</v>
      </c>
      <c r="O795" s="20">
        <f t="shared" si="5"/>
        <v>386</v>
      </c>
      <c r="P795" s="20" t="str">
        <f>VLOOKUP(H795,'клиенты'!$A$2:$J$435,10,FALSE)</f>
        <v>Украина</v>
      </c>
      <c r="Q795" s="54">
        <f t="shared" si="6"/>
        <v>46078.45901</v>
      </c>
      <c r="R795" s="55">
        <f t="shared" si="7"/>
        <v>41.14863373</v>
      </c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41">
        <v>795.0</v>
      </c>
      <c r="B796" s="41">
        <v>308.0</v>
      </c>
      <c r="C796" s="41">
        <v>416.0</v>
      </c>
      <c r="D796" s="41">
        <v>4.0</v>
      </c>
      <c r="E796" s="41">
        <f t="shared" si="1"/>
        <v>1664</v>
      </c>
      <c r="F796" s="42">
        <v>45217.0</v>
      </c>
      <c r="G796" s="41" t="s">
        <v>42</v>
      </c>
      <c r="H796" s="41">
        <v>360.0</v>
      </c>
      <c r="I796" s="41" t="str">
        <f>VLOOKUP(B796,'товар'!$A$1:$C$433,2,FALSE)</f>
        <v>Конфеты</v>
      </c>
      <c r="J796" s="43">
        <f t="shared" si="2"/>
        <v>267.8548387</v>
      </c>
      <c r="K796" s="44">
        <f t="shared" si="3"/>
        <v>0.5530800265</v>
      </c>
      <c r="L796" s="41" t="str">
        <f>VLOOKUP(B796,'товар'!$A$1:$C$433,3,FALSE)</f>
        <v>Бабаевский</v>
      </c>
      <c r="M796" s="45">
        <f t="shared" si="4"/>
        <v>250.2592593</v>
      </c>
      <c r="N796" s="46">
        <f>VLOOKUP(H796,'клиенты'!$A$1:$F$435,5,FALSE)</f>
        <v>44728</v>
      </c>
      <c r="O796" s="41">
        <f t="shared" si="5"/>
        <v>489</v>
      </c>
      <c r="P796" s="41" t="str">
        <f>VLOOKUP(H796,'клиенты'!$A$2:$J$435,10,FALSE)</f>
        <v>Беларусь</v>
      </c>
      <c r="Q796" s="47">
        <f t="shared" si="6"/>
        <v>46078.45901</v>
      </c>
      <c r="R796" s="48">
        <f t="shared" si="7"/>
        <v>45.01530039</v>
      </c>
      <c r="S796" s="41"/>
      <c r="T796" s="41"/>
      <c r="U796" s="41"/>
      <c r="V796" s="41"/>
      <c r="W796" s="41"/>
      <c r="X796" s="41"/>
      <c r="Y796" s="41"/>
      <c r="Z796" s="41"/>
    </row>
    <row r="797" ht="14.25" customHeight="1">
      <c r="A797" s="20">
        <v>796.0</v>
      </c>
      <c r="B797" s="20">
        <v>146.0</v>
      </c>
      <c r="C797" s="20">
        <v>387.0</v>
      </c>
      <c r="D797" s="20">
        <v>4.0</v>
      </c>
      <c r="E797" s="20">
        <f t="shared" si="1"/>
        <v>1548</v>
      </c>
      <c r="F797" s="49">
        <v>45027.0</v>
      </c>
      <c r="G797" s="20" t="s">
        <v>37</v>
      </c>
      <c r="H797" s="20">
        <v>368.0</v>
      </c>
      <c r="I797" s="20" t="str">
        <f>VLOOKUP(B797,'товар'!$A$1:$C$433,2,FALSE)</f>
        <v>Сок</v>
      </c>
      <c r="J797" s="50">
        <f t="shared" si="2"/>
        <v>268.6034483</v>
      </c>
      <c r="K797" s="51">
        <f t="shared" si="3"/>
        <v>0.440785673</v>
      </c>
      <c r="L797" s="20" t="str">
        <f>VLOOKUP(B797,'товар'!$A$1:$C$433,3,FALSE)</f>
        <v>Добрый</v>
      </c>
      <c r="M797" s="52">
        <f t="shared" si="4"/>
        <v>242.8181818</v>
      </c>
      <c r="N797" s="53">
        <f>VLOOKUP(H797,'клиенты'!$A$1:$F$435,5,FALSE)</f>
        <v>44872</v>
      </c>
      <c r="O797" s="20">
        <f t="shared" si="5"/>
        <v>155</v>
      </c>
      <c r="P797" s="20" t="str">
        <f>VLOOKUP(H797,'клиенты'!$A$2:$J$435,10,FALSE)</f>
        <v>Узбекистан</v>
      </c>
      <c r="Q797" s="54">
        <f t="shared" si="6"/>
        <v>46078.45901</v>
      </c>
      <c r="R797" s="55">
        <f t="shared" si="7"/>
        <v>40.21530039</v>
      </c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41">
        <v>797.0</v>
      </c>
      <c r="B798" s="41">
        <v>77.0</v>
      </c>
      <c r="C798" s="41">
        <v>151.0</v>
      </c>
      <c r="D798" s="41">
        <v>2.0</v>
      </c>
      <c r="E798" s="41">
        <f t="shared" si="1"/>
        <v>302</v>
      </c>
      <c r="F798" s="42">
        <v>45067.0</v>
      </c>
      <c r="G798" s="41" t="s">
        <v>40</v>
      </c>
      <c r="H798" s="41">
        <v>481.0</v>
      </c>
      <c r="I798" s="41" t="str">
        <f>VLOOKUP(B798,'товар'!$A$1:$C$433,2,FALSE)</f>
        <v>Макароны</v>
      </c>
      <c r="J798" s="43">
        <f t="shared" si="2"/>
        <v>265.4767442</v>
      </c>
      <c r="K798" s="44">
        <f t="shared" si="3"/>
        <v>-0.4312119487</v>
      </c>
      <c r="L798" s="41" t="str">
        <f>VLOOKUP(B798,'товар'!$A$1:$C$433,3,FALSE)</f>
        <v>Паста Зара</v>
      </c>
      <c r="M798" s="45">
        <f t="shared" si="4"/>
        <v>276.6756757</v>
      </c>
      <c r="N798" s="46">
        <f>VLOOKUP(H798,'клиенты'!$A$1:$F$435,5,FALSE)</f>
        <v>44756</v>
      </c>
      <c r="O798" s="41">
        <f t="shared" si="5"/>
        <v>311</v>
      </c>
      <c r="P798" s="41" t="str">
        <f>VLOOKUP(H798,'клиенты'!$A$2:$J$435,10,FALSE)</f>
        <v>Беларусь</v>
      </c>
      <c r="Q798" s="47">
        <f t="shared" si="6"/>
        <v>46078.45901</v>
      </c>
      <c r="R798" s="48">
        <f t="shared" si="7"/>
        <v>44.08196706</v>
      </c>
      <c r="S798" s="41"/>
      <c r="T798" s="41"/>
      <c r="U798" s="41"/>
      <c r="V798" s="41"/>
      <c r="W798" s="41"/>
      <c r="X798" s="41"/>
      <c r="Y798" s="41"/>
      <c r="Z798" s="41"/>
    </row>
    <row r="799" ht="14.25" customHeight="1">
      <c r="A799" s="20">
        <v>798.0</v>
      </c>
      <c r="B799" s="20">
        <v>407.0</v>
      </c>
      <c r="C799" s="20">
        <v>157.0</v>
      </c>
      <c r="D799" s="20">
        <v>3.0</v>
      </c>
      <c r="E799" s="20">
        <f t="shared" si="1"/>
        <v>471</v>
      </c>
      <c r="F799" s="49">
        <v>45275.0</v>
      </c>
      <c r="G799" s="20" t="s">
        <v>46</v>
      </c>
      <c r="H799" s="20">
        <v>354.0</v>
      </c>
      <c r="I799" s="20" t="str">
        <f>VLOOKUP(B799,'товар'!$A$1:$C$433,2,FALSE)</f>
        <v>Конфеты</v>
      </c>
      <c r="J799" s="50">
        <f t="shared" si="2"/>
        <v>267.8548387</v>
      </c>
      <c r="K799" s="51">
        <f t="shared" si="3"/>
        <v>-0.4138616246</v>
      </c>
      <c r="L799" s="20" t="str">
        <f>VLOOKUP(B799,'товар'!$A$1:$C$433,3,FALSE)</f>
        <v>Славянка</v>
      </c>
      <c r="M799" s="52">
        <f t="shared" si="4"/>
        <v>268</v>
      </c>
      <c r="N799" s="53">
        <f>VLOOKUP(H799,'клиенты'!$A$1:$F$435,5,FALSE)</f>
        <v>44811</v>
      </c>
      <c r="O799" s="20">
        <f t="shared" si="5"/>
        <v>464</v>
      </c>
      <c r="P799" s="20" t="str">
        <f>VLOOKUP(H799,'клиенты'!$A$2:$J$435,10,FALSE)</f>
        <v>Узбекистан</v>
      </c>
      <c r="Q799" s="54">
        <f t="shared" si="6"/>
        <v>46078.45901</v>
      </c>
      <c r="R799" s="55">
        <f t="shared" si="7"/>
        <v>42.24863373</v>
      </c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41">
        <v>799.0</v>
      </c>
      <c r="B800" s="41">
        <v>357.0</v>
      </c>
      <c r="C800" s="41">
        <v>55.0</v>
      </c>
      <c r="D800" s="41">
        <v>5.0</v>
      </c>
      <c r="E800" s="41">
        <f t="shared" si="1"/>
        <v>275</v>
      </c>
      <c r="F800" s="42">
        <v>45302.0</v>
      </c>
      <c r="G800" s="41" t="s">
        <v>49</v>
      </c>
      <c r="H800" s="41">
        <v>8.0</v>
      </c>
      <c r="I800" s="41" t="str">
        <f>VLOOKUP(B800,'товар'!$A$1:$C$433,2,FALSE)</f>
        <v>Мясо</v>
      </c>
      <c r="J800" s="43">
        <f t="shared" si="2"/>
        <v>271.7454545</v>
      </c>
      <c r="K800" s="44">
        <f t="shared" si="3"/>
        <v>-0.7976047103</v>
      </c>
      <c r="L800" s="41" t="str">
        <f>VLOOKUP(B800,'товар'!$A$1:$C$433,3,FALSE)</f>
        <v>Снежана</v>
      </c>
      <c r="M800" s="45">
        <f t="shared" si="4"/>
        <v>272.3529412</v>
      </c>
      <c r="N800" s="46">
        <f>VLOOKUP(H800,'клиенты'!$A$1:$F$435,5,FALSE)</f>
        <v>44883</v>
      </c>
      <c r="O800" s="41">
        <f t="shared" si="5"/>
        <v>419</v>
      </c>
      <c r="P800" s="41" t="str">
        <f>VLOOKUP(H800,'клиенты'!$A$2:$J$435,10,FALSE)</f>
        <v>Беларусь</v>
      </c>
      <c r="Q800" s="47">
        <f t="shared" si="6"/>
        <v>46078.45901</v>
      </c>
      <c r="R800" s="48">
        <f t="shared" si="7"/>
        <v>39.84863373</v>
      </c>
      <c r="S800" s="41"/>
      <c r="T800" s="41"/>
      <c r="U800" s="41"/>
      <c r="V800" s="41"/>
      <c r="W800" s="41"/>
      <c r="X800" s="41"/>
      <c r="Y800" s="41"/>
      <c r="Z800" s="41"/>
    </row>
    <row r="801" ht="14.25" customHeight="1">
      <c r="A801" s="20">
        <v>800.0</v>
      </c>
      <c r="B801" s="20">
        <v>409.0</v>
      </c>
      <c r="C801" s="20">
        <v>235.0</v>
      </c>
      <c r="D801" s="20">
        <v>5.0</v>
      </c>
      <c r="E801" s="20">
        <f t="shared" si="1"/>
        <v>1175</v>
      </c>
      <c r="F801" s="49">
        <v>44960.0</v>
      </c>
      <c r="G801" s="20" t="s">
        <v>51</v>
      </c>
      <c r="H801" s="20">
        <v>1.0</v>
      </c>
      <c r="I801" s="20" t="str">
        <f>VLOOKUP(B801,'товар'!$A$1:$C$433,2,FALSE)</f>
        <v>Фрукты</v>
      </c>
      <c r="J801" s="50">
        <f t="shared" si="2"/>
        <v>274.1627907</v>
      </c>
      <c r="K801" s="51">
        <f t="shared" si="3"/>
        <v>-0.142845025</v>
      </c>
      <c r="L801" s="20" t="str">
        <f>VLOOKUP(B801,'товар'!$A$1:$C$433,3,FALSE)</f>
        <v>Фруктовый Рай</v>
      </c>
      <c r="M801" s="52">
        <f t="shared" si="4"/>
        <v>258.3076923</v>
      </c>
      <c r="N801" s="53">
        <f>VLOOKUP(H801,'клиенты'!$A$1:$F$435,5,FALSE)</f>
        <v>44585</v>
      </c>
      <c r="O801" s="20">
        <f t="shared" si="5"/>
        <v>375</v>
      </c>
      <c r="P801" s="20" t="str">
        <f>VLOOKUP(H801,'клиенты'!$A$2:$J$435,10,FALSE)</f>
        <v>Россия</v>
      </c>
      <c r="Q801" s="54">
        <f t="shared" si="6"/>
        <v>46078.45901</v>
      </c>
      <c r="R801" s="55">
        <f t="shared" si="7"/>
        <v>49.78196706</v>
      </c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41">
        <v>801.0</v>
      </c>
      <c r="B802" s="41">
        <v>148.0</v>
      </c>
      <c r="C802" s="41">
        <v>474.0</v>
      </c>
      <c r="D802" s="41">
        <v>4.0</v>
      </c>
      <c r="E802" s="41">
        <f t="shared" si="1"/>
        <v>1896</v>
      </c>
      <c r="F802" s="42">
        <v>45074.0</v>
      </c>
      <c r="G802" s="41" t="s">
        <v>39</v>
      </c>
      <c r="H802" s="41">
        <v>333.0</v>
      </c>
      <c r="I802" s="41" t="str">
        <f>VLOOKUP(B802,'товар'!$A$1:$C$433,2,FALSE)</f>
        <v>Сок</v>
      </c>
      <c r="J802" s="43">
        <f t="shared" si="2"/>
        <v>268.6034483</v>
      </c>
      <c r="K802" s="44">
        <f t="shared" si="3"/>
        <v>0.7646832274</v>
      </c>
      <c r="L802" s="41" t="str">
        <f>VLOOKUP(B802,'товар'!$A$1:$C$433,3,FALSE)</f>
        <v>Фруктовый сад</v>
      </c>
      <c r="M802" s="45">
        <f t="shared" si="4"/>
        <v>281.96875</v>
      </c>
      <c r="N802" s="46">
        <f>VLOOKUP(H802,'клиенты'!$A$1:$F$435,5,FALSE)</f>
        <v>44857</v>
      </c>
      <c r="O802" s="41">
        <f t="shared" si="5"/>
        <v>217</v>
      </c>
      <c r="P802" s="41" t="str">
        <f>VLOOKUP(H802,'клиенты'!$A$2:$J$435,10,FALSE)</f>
        <v>Россия</v>
      </c>
      <c r="Q802" s="47">
        <f t="shared" si="6"/>
        <v>46078.45901</v>
      </c>
      <c r="R802" s="48">
        <f t="shared" si="7"/>
        <v>40.71530039</v>
      </c>
      <c r="S802" s="41"/>
      <c r="T802" s="41"/>
      <c r="U802" s="41"/>
      <c r="V802" s="41"/>
      <c r="W802" s="41"/>
      <c r="X802" s="41"/>
      <c r="Y802" s="41"/>
      <c r="Z802" s="41"/>
    </row>
    <row r="803" ht="14.25" customHeight="1">
      <c r="A803" s="20">
        <v>802.0</v>
      </c>
      <c r="B803" s="20">
        <v>63.0</v>
      </c>
      <c r="C803" s="20">
        <v>479.0</v>
      </c>
      <c r="D803" s="20">
        <v>4.0</v>
      </c>
      <c r="E803" s="20">
        <f t="shared" si="1"/>
        <v>1916</v>
      </c>
      <c r="F803" s="49">
        <v>45235.0</v>
      </c>
      <c r="G803" s="20" t="s">
        <v>52</v>
      </c>
      <c r="H803" s="20">
        <v>396.0</v>
      </c>
      <c r="I803" s="20" t="str">
        <f>VLOOKUP(B803,'товар'!$A$1:$C$433,2,FALSE)</f>
        <v>Рыба</v>
      </c>
      <c r="J803" s="50">
        <f t="shared" si="2"/>
        <v>258.5128205</v>
      </c>
      <c r="K803" s="51">
        <f t="shared" si="3"/>
        <v>0.8529061694</v>
      </c>
      <c r="L803" s="20" t="str">
        <f>VLOOKUP(B803,'товар'!$A$1:$C$433,3,FALSE)</f>
        <v>Балтийский берег</v>
      </c>
      <c r="M803" s="52">
        <f t="shared" si="4"/>
        <v>289.8888889</v>
      </c>
      <c r="N803" s="53">
        <f>VLOOKUP(H803,'клиенты'!$A$1:$F$435,5,FALSE)</f>
        <v>44871</v>
      </c>
      <c r="O803" s="20">
        <f t="shared" si="5"/>
        <v>364</v>
      </c>
      <c r="P803" s="20" t="str">
        <f>VLOOKUP(H803,'клиенты'!$A$2:$J$435,10,FALSE)</f>
        <v>Украина</v>
      </c>
      <c r="Q803" s="54">
        <f t="shared" si="6"/>
        <v>46078.45901</v>
      </c>
      <c r="R803" s="55">
        <f t="shared" si="7"/>
        <v>40.24863373</v>
      </c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41">
        <v>803.0</v>
      </c>
      <c r="B804" s="41">
        <v>410.0</v>
      </c>
      <c r="C804" s="41">
        <v>320.0</v>
      </c>
      <c r="D804" s="41">
        <v>4.0</v>
      </c>
      <c r="E804" s="41">
        <f t="shared" si="1"/>
        <v>1280</v>
      </c>
      <c r="F804" s="42">
        <v>45045.0</v>
      </c>
      <c r="G804" s="41" t="s">
        <v>51</v>
      </c>
      <c r="H804" s="41">
        <v>401.0</v>
      </c>
      <c r="I804" s="41" t="str">
        <f>VLOOKUP(B804,'товар'!$A$1:$C$433,2,FALSE)</f>
        <v>Чипсы</v>
      </c>
      <c r="J804" s="43">
        <f t="shared" si="2"/>
        <v>273.7254902</v>
      </c>
      <c r="K804" s="44">
        <f t="shared" si="3"/>
        <v>0.1690544413</v>
      </c>
      <c r="L804" s="41" t="str">
        <f>VLOOKUP(B804,'товар'!$A$1:$C$433,3,FALSE)</f>
        <v>Lay's</v>
      </c>
      <c r="M804" s="45">
        <f t="shared" si="4"/>
        <v>320.5714286</v>
      </c>
      <c r="N804" s="46">
        <f>VLOOKUP(H804,'клиенты'!$A$1:$F$435,5,FALSE)</f>
        <v>44856</v>
      </c>
      <c r="O804" s="41">
        <f t="shared" si="5"/>
        <v>189</v>
      </c>
      <c r="P804" s="41" t="str">
        <f>VLOOKUP(H804,'клиенты'!$A$2:$J$435,10,FALSE)</f>
        <v>Россия</v>
      </c>
      <c r="Q804" s="47">
        <f t="shared" si="6"/>
        <v>46078.45901</v>
      </c>
      <c r="R804" s="48">
        <f t="shared" si="7"/>
        <v>40.74863373</v>
      </c>
      <c r="S804" s="41"/>
      <c r="T804" s="41"/>
      <c r="U804" s="41"/>
      <c r="V804" s="41"/>
      <c r="W804" s="41"/>
      <c r="X804" s="41"/>
      <c r="Y804" s="41"/>
      <c r="Z804" s="41"/>
    </row>
    <row r="805" ht="14.25" customHeight="1">
      <c r="A805" s="20">
        <v>804.0</v>
      </c>
      <c r="B805" s="20">
        <v>223.0</v>
      </c>
      <c r="C805" s="20">
        <v>477.0</v>
      </c>
      <c r="D805" s="20">
        <v>4.0</v>
      </c>
      <c r="E805" s="20">
        <f t="shared" si="1"/>
        <v>1908</v>
      </c>
      <c r="F805" s="49">
        <v>45064.0</v>
      </c>
      <c r="G805" s="20" t="s">
        <v>41</v>
      </c>
      <c r="H805" s="20">
        <v>121.0</v>
      </c>
      <c r="I805" s="20" t="str">
        <f>VLOOKUP(B805,'товар'!$A$1:$C$433,2,FALSE)</f>
        <v>Чай</v>
      </c>
      <c r="J805" s="50">
        <f t="shared" si="2"/>
        <v>271.1818182</v>
      </c>
      <c r="K805" s="51">
        <f t="shared" si="3"/>
        <v>0.7589674824</v>
      </c>
      <c r="L805" s="20" t="str">
        <f>VLOOKUP(B805,'товар'!$A$1:$C$433,3,FALSE)</f>
        <v>Greenfield</v>
      </c>
      <c r="M805" s="52">
        <f t="shared" si="4"/>
        <v>291.4545455</v>
      </c>
      <c r="N805" s="53">
        <f>VLOOKUP(H805,'клиенты'!$A$1:$F$435,5,FALSE)</f>
        <v>44763</v>
      </c>
      <c r="O805" s="20">
        <f t="shared" si="5"/>
        <v>301</v>
      </c>
      <c r="P805" s="20" t="str">
        <f>VLOOKUP(H805,'клиенты'!$A$2:$J$435,10,FALSE)</f>
        <v>Россия</v>
      </c>
      <c r="Q805" s="54">
        <f t="shared" si="6"/>
        <v>46078.45901</v>
      </c>
      <c r="R805" s="55">
        <f t="shared" si="7"/>
        <v>43.84863373</v>
      </c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41">
        <v>805.0</v>
      </c>
      <c r="B806" s="41">
        <v>35.0</v>
      </c>
      <c r="C806" s="41">
        <v>277.0</v>
      </c>
      <c r="D806" s="41">
        <v>4.0</v>
      </c>
      <c r="E806" s="41">
        <f t="shared" si="1"/>
        <v>1108</v>
      </c>
      <c r="F806" s="42">
        <v>45422.0</v>
      </c>
      <c r="G806" s="41" t="s">
        <v>37</v>
      </c>
      <c r="H806" s="41">
        <v>108.0</v>
      </c>
      <c r="I806" s="41" t="str">
        <f>VLOOKUP(B806,'товар'!$A$1:$C$433,2,FALSE)</f>
        <v>Крупа</v>
      </c>
      <c r="J806" s="43">
        <f t="shared" si="2"/>
        <v>255.1162791</v>
      </c>
      <c r="K806" s="44">
        <f t="shared" si="3"/>
        <v>0.08577939836</v>
      </c>
      <c r="L806" s="41" t="str">
        <f>VLOOKUP(B806,'товар'!$A$1:$C$433,3,FALSE)</f>
        <v>Мистраль</v>
      </c>
      <c r="M806" s="45">
        <f t="shared" si="4"/>
        <v>250.3076923</v>
      </c>
      <c r="N806" s="46">
        <f>VLOOKUP(H806,'клиенты'!$A$1:$F$435,5,FALSE)</f>
        <v>44835</v>
      </c>
      <c r="O806" s="41">
        <f t="shared" si="5"/>
        <v>587</v>
      </c>
      <c r="P806" s="41" t="str">
        <f>VLOOKUP(H806,'клиенты'!$A$2:$J$435,10,FALSE)</f>
        <v>Узбекистан</v>
      </c>
      <c r="Q806" s="47">
        <f t="shared" si="6"/>
        <v>46078.45901</v>
      </c>
      <c r="R806" s="48">
        <f t="shared" si="7"/>
        <v>41.44863373</v>
      </c>
      <c r="S806" s="41"/>
      <c r="T806" s="41"/>
      <c r="U806" s="41"/>
      <c r="V806" s="41"/>
      <c r="W806" s="41"/>
      <c r="X806" s="41"/>
      <c r="Y806" s="41"/>
      <c r="Z806" s="41"/>
    </row>
    <row r="807" ht="14.25" customHeight="1">
      <c r="A807" s="20">
        <v>806.0</v>
      </c>
      <c r="B807" s="20">
        <v>398.0</v>
      </c>
      <c r="C807" s="20">
        <v>127.0</v>
      </c>
      <c r="D807" s="20">
        <v>5.0</v>
      </c>
      <c r="E807" s="20">
        <f t="shared" si="1"/>
        <v>635</v>
      </c>
      <c r="F807" s="49">
        <v>45253.0</v>
      </c>
      <c r="G807" s="20" t="s">
        <v>41</v>
      </c>
      <c r="H807" s="20">
        <v>191.0</v>
      </c>
      <c r="I807" s="20" t="str">
        <f>VLOOKUP(B807,'товар'!$A$1:$C$433,2,FALSE)</f>
        <v>Сок</v>
      </c>
      <c r="J807" s="50">
        <f t="shared" si="2"/>
        <v>268.6034483</v>
      </c>
      <c r="K807" s="51">
        <f t="shared" si="3"/>
        <v>-0.5271840298</v>
      </c>
      <c r="L807" s="20" t="str">
        <f>VLOOKUP(B807,'товар'!$A$1:$C$433,3,FALSE)</f>
        <v>Фруктовый сад</v>
      </c>
      <c r="M807" s="52">
        <f t="shared" si="4"/>
        <v>281.96875</v>
      </c>
      <c r="N807" s="53">
        <f>VLOOKUP(H807,'клиенты'!$A$1:$F$435,5,FALSE)</f>
        <v>44866</v>
      </c>
      <c r="O807" s="20">
        <f t="shared" si="5"/>
        <v>387</v>
      </c>
      <c r="P807" s="20" t="str">
        <f>VLOOKUP(H807,'клиенты'!$A$2:$J$435,10,FALSE)</f>
        <v>Украина</v>
      </c>
      <c r="Q807" s="54">
        <f t="shared" si="6"/>
        <v>46078.45901</v>
      </c>
      <c r="R807" s="55">
        <f t="shared" si="7"/>
        <v>40.41530039</v>
      </c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41">
        <v>807.0</v>
      </c>
      <c r="B808" s="41">
        <v>132.0</v>
      </c>
      <c r="C808" s="41">
        <v>154.0</v>
      </c>
      <c r="D808" s="41">
        <v>3.0</v>
      </c>
      <c r="E808" s="41">
        <f t="shared" si="1"/>
        <v>462</v>
      </c>
      <c r="F808" s="42">
        <v>45294.0</v>
      </c>
      <c r="G808" s="41" t="s">
        <v>39</v>
      </c>
      <c r="H808" s="41">
        <v>443.0</v>
      </c>
      <c r="I808" s="41" t="str">
        <f>VLOOKUP(B808,'товар'!$A$1:$C$433,2,FALSE)</f>
        <v>Рыба</v>
      </c>
      <c r="J808" s="43">
        <f t="shared" si="2"/>
        <v>258.5128205</v>
      </c>
      <c r="K808" s="44">
        <f t="shared" si="3"/>
        <v>-0.4042848641</v>
      </c>
      <c r="L808" s="41" t="str">
        <f>VLOOKUP(B808,'товар'!$A$1:$C$433,3,FALSE)</f>
        <v>Меридиан</v>
      </c>
      <c r="M808" s="45">
        <f t="shared" si="4"/>
        <v>260.6470588</v>
      </c>
      <c r="N808" s="46">
        <f>VLOOKUP(H808,'клиенты'!$A$1:$F$435,5,FALSE)</f>
        <v>44649</v>
      </c>
      <c r="O808" s="41">
        <f t="shared" si="5"/>
        <v>645</v>
      </c>
      <c r="P808" s="41" t="str">
        <f>VLOOKUP(H808,'клиенты'!$A$2:$J$435,10,FALSE)</f>
        <v>Россия</v>
      </c>
      <c r="Q808" s="47">
        <f t="shared" si="6"/>
        <v>46078.45901</v>
      </c>
      <c r="R808" s="48">
        <f t="shared" si="7"/>
        <v>47.64863373</v>
      </c>
      <c r="S808" s="41"/>
      <c r="T808" s="41"/>
      <c r="U808" s="41"/>
      <c r="V808" s="41"/>
      <c r="W808" s="41"/>
      <c r="X808" s="41"/>
      <c r="Y808" s="41"/>
      <c r="Z808" s="41"/>
    </row>
    <row r="809" ht="14.25" customHeight="1">
      <c r="A809" s="20">
        <v>808.0</v>
      </c>
      <c r="B809" s="20">
        <v>415.0</v>
      </c>
      <c r="C809" s="20">
        <v>84.0</v>
      </c>
      <c r="D809" s="20">
        <v>5.0</v>
      </c>
      <c r="E809" s="20">
        <f t="shared" si="1"/>
        <v>420</v>
      </c>
      <c r="F809" s="49">
        <v>45156.0</v>
      </c>
      <c r="G809" s="20" t="s">
        <v>47</v>
      </c>
      <c r="H809" s="20">
        <v>191.0</v>
      </c>
      <c r="I809" s="20" t="str">
        <f>VLOOKUP(B809,'товар'!$A$1:$C$433,2,FALSE)</f>
        <v>Чипсы</v>
      </c>
      <c r="J809" s="50">
        <f t="shared" si="2"/>
        <v>273.7254902</v>
      </c>
      <c r="K809" s="51">
        <f t="shared" si="3"/>
        <v>-0.6931232092</v>
      </c>
      <c r="L809" s="20" t="str">
        <f>VLOOKUP(B809,'товар'!$A$1:$C$433,3,FALSE)</f>
        <v>Pringles</v>
      </c>
      <c r="M809" s="52">
        <f t="shared" si="4"/>
        <v>280.2380952</v>
      </c>
      <c r="N809" s="53">
        <f>VLOOKUP(H809,'клиенты'!$A$1:$F$435,5,FALSE)</f>
        <v>44866</v>
      </c>
      <c r="O809" s="20">
        <f t="shared" si="5"/>
        <v>290</v>
      </c>
      <c r="P809" s="20" t="str">
        <f>VLOOKUP(H809,'клиенты'!$A$2:$J$435,10,FALSE)</f>
        <v>Украина</v>
      </c>
      <c r="Q809" s="54">
        <f t="shared" si="6"/>
        <v>46078.45901</v>
      </c>
      <c r="R809" s="55">
        <f t="shared" si="7"/>
        <v>40.41530039</v>
      </c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41">
        <v>809.0</v>
      </c>
      <c r="B810" s="41">
        <v>384.0</v>
      </c>
      <c r="C810" s="41">
        <v>423.0</v>
      </c>
      <c r="D810" s="41">
        <v>5.0</v>
      </c>
      <c r="E810" s="41">
        <f t="shared" si="1"/>
        <v>2115</v>
      </c>
      <c r="F810" s="42">
        <v>45346.0</v>
      </c>
      <c r="G810" s="41" t="s">
        <v>36</v>
      </c>
      <c r="H810" s="41">
        <v>249.0</v>
      </c>
      <c r="I810" s="41" t="str">
        <f>VLOOKUP(B810,'товар'!$A$1:$C$433,2,FALSE)</f>
        <v>Сахар</v>
      </c>
      <c r="J810" s="43">
        <f t="shared" si="2"/>
        <v>252.7627119</v>
      </c>
      <c r="K810" s="44">
        <f t="shared" si="3"/>
        <v>0.6735063368</v>
      </c>
      <c r="L810" s="41" t="str">
        <f>VLOOKUP(B810,'товар'!$A$1:$C$433,3,FALSE)</f>
        <v>Сладов</v>
      </c>
      <c r="M810" s="45">
        <f t="shared" si="4"/>
        <v>240.2666667</v>
      </c>
      <c r="N810" s="46">
        <f>VLOOKUP(H810,'клиенты'!$A$1:$F$435,5,FALSE)</f>
        <v>44781</v>
      </c>
      <c r="O810" s="41">
        <f t="shared" si="5"/>
        <v>565</v>
      </c>
      <c r="P810" s="41" t="str">
        <f>VLOOKUP(H810,'клиенты'!$A$2:$J$435,10,FALSE)</f>
        <v>Россия</v>
      </c>
      <c r="Q810" s="47">
        <f t="shared" si="6"/>
        <v>46078.45901</v>
      </c>
      <c r="R810" s="48">
        <f t="shared" si="7"/>
        <v>43.24863373</v>
      </c>
      <c r="S810" s="41"/>
      <c r="T810" s="41"/>
      <c r="U810" s="41"/>
      <c r="V810" s="41"/>
      <c r="W810" s="41"/>
      <c r="X810" s="41"/>
      <c r="Y810" s="41"/>
      <c r="Z810" s="41"/>
    </row>
    <row r="811" ht="14.25" customHeight="1">
      <c r="A811" s="20">
        <v>810.0</v>
      </c>
      <c r="B811" s="20">
        <v>311.0</v>
      </c>
      <c r="C811" s="20">
        <v>470.0</v>
      </c>
      <c r="D811" s="20">
        <v>2.0</v>
      </c>
      <c r="E811" s="20">
        <f t="shared" si="1"/>
        <v>940</v>
      </c>
      <c r="F811" s="49">
        <v>45304.0</v>
      </c>
      <c r="G811" s="20" t="s">
        <v>39</v>
      </c>
      <c r="H811" s="20">
        <v>418.0</v>
      </c>
      <c r="I811" s="20" t="str">
        <f>VLOOKUP(B811,'товар'!$A$1:$C$433,2,FALSE)</f>
        <v>Макароны</v>
      </c>
      <c r="J811" s="50">
        <f t="shared" si="2"/>
        <v>265.4767442</v>
      </c>
      <c r="K811" s="51">
        <f t="shared" si="3"/>
        <v>0.7703998949</v>
      </c>
      <c r="L811" s="20" t="str">
        <f>VLOOKUP(B811,'товар'!$A$1:$C$433,3,FALSE)</f>
        <v>Паста Зара</v>
      </c>
      <c r="M811" s="52">
        <f t="shared" si="4"/>
        <v>276.6756757</v>
      </c>
      <c r="N811" s="53">
        <f>VLOOKUP(H811,'клиенты'!$A$1:$F$435,5,FALSE)</f>
        <v>44700</v>
      </c>
      <c r="O811" s="20">
        <f t="shared" si="5"/>
        <v>604</v>
      </c>
      <c r="P811" s="20" t="str">
        <f>VLOOKUP(H811,'клиенты'!$A$2:$J$435,10,FALSE)</f>
        <v>Беларусь</v>
      </c>
      <c r="Q811" s="54">
        <f t="shared" si="6"/>
        <v>46078.45901</v>
      </c>
      <c r="R811" s="55">
        <f t="shared" si="7"/>
        <v>45.94863373</v>
      </c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41">
        <v>811.0</v>
      </c>
      <c r="B812" s="41">
        <v>328.0</v>
      </c>
      <c r="C812" s="41">
        <v>59.0</v>
      </c>
      <c r="D812" s="41">
        <v>1.0</v>
      </c>
      <c r="E812" s="41">
        <f t="shared" si="1"/>
        <v>59</v>
      </c>
      <c r="F812" s="42">
        <v>44991.0</v>
      </c>
      <c r="G812" s="41" t="s">
        <v>50</v>
      </c>
      <c r="H812" s="41">
        <v>126.0</v>
      </c>
      <c r="I812" s="41" t="str">
        <f>VLOOKUP(B812,'товар'!$A$1:$C$433,2,FALSE)</f>
        <v>Чипсы</v>
      </c>
      <c r="J812" s="43">
        <f t="shared" si="2"/>
        <v>273.7254902</v>
      </c>
      <c r="K812" s="44">
        <f t="shared" si="3"/>
        <v>-0.7844555874</v>
      </c>
      <c r="L812" s="41" t="str">
        <f>VLOOKUP(B812,'товар'!$A$1:$C$433,3,FALSE)</f>
        <v>Русская картошка</v>
      </c>
      <c r="M812" s="45">
        <f t="shared" si="4"/>
        <v>241.8333333</v>
      </c>
      <c r="N812" s="46">
        <f>VLOOKUP(H812,'клиенты'!$A$1:$F$435,5,FALSE)</f>
        <v>44822</v>
      </c>
      <c r="O812" s="41">
        <f t="shared" si="5"/>
        <v>169</v>
      </c>
      <c r="P812" s="41" t="str">
        <f>VLOOKUP(H812,'клиенты'!$A$2:$J$435,10,FALSE)</f>
        <v>Узбекистан</v>
      </c>
      <c r="Q812" s="47">
        <f t="shared" si="6"/>
        <v>46078.45901</v>
      </c>
      <c r="R812" s="48">
        <f t="shared" si="7"/>
        <v>41.88196706</v>
      </c>
      <c r="S812" s="41"/>
      <c r="T812" s="41"/>
      <c r="U812" s="41"/>
      <c r="V812" s="41"/>
      <c r="W812" s="41"/>
      <c r="X812" s="41"/>
      <c r="Y812" s="41"/>
      <c r="Z812" s="41"/>
    </row>
    <row r="813" ht="14.25" customHeight="1">
      <c r="A813" s="20">
        <v>812.0</v>
      </c>
      <c r="B813" s="20">
        <v>74.0</v>
      </c>
      <c r="C813" s="20">
        <v>332.0</v>
      </c>
      <c r="D813" s="20">
        <v>3.0</v>
      </c>
      <c r="E813" s="20">
        <f t="shared" si="1"/>
        <v>996</v>
      </c>
      <c r="F813" s="49">
        <v>45000.0</v>
      </c>
      <c r="G813" s="20" t="s">
        <v>49</v>
      </c>
      <c r="H813" s="20">
        <v>497.0</v>
      </c>
      <c r="I813" s="20" t="str">
        <f>VLOOKUP(B813,'товар'!$A$1:$C$433,2,FALSE)</f>
        <v>Колбаса</v>
      </c>
      <c r="J813" s="50">
        <f t="shared" si="2"/>
        <v>286.9230769</v>
      </c>
      <c r="K813" s="51">
        <f t="shared" si="3"/>
        <v>0.1571045576</v>
      </c>
      <c r="L813" s="20" t="str">
        <f>VLOOKUP(B813,'товар'!$A$1:$C$433,3,FALSE)</f>
        <v>Черкизово</v>
      </c>
      <c r="M813" s="52">
        <f t="shared" si="4"/>
        <v>320.25</v>
      </c>
      <c r="N813" s="53">
        <f>VLOOKUP(H813,'клиенты'!$A$1:$F$435,5,FALSE)</f>
        <v>44826</v>
      </c>
      <c r="O813" s="20">
        <f t="shared" si="5"/>
        <v>174</v>
      </c>
      <c r="P813" s="20" t="str">
        <f>VLOOKUP(H813,'клиенты'!$A$2:$J$435,10,FALSE)</f>
        <v>Узбекистан</v>
      </c>
      <c r="Q813" s="54">
        <f t="shared" si="6"/>
        <v>46078.45901</v>
      </c>
      <c r="R813" s="55">
        <f t="shared" si="7"/>
        <v>41.74863373</v>
      </c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41">
        <v>813.0</v>
      </c>
      <c r="B814" s="41">
        <v>152.0</v>
      </c>
      <c r="C814" s="41">
        <v>94.0</v>
      </c>
      <c r="D814" s="41">
        <v>5.0</v>
      </c>
      <c r="E814" s="41">
        <f t="shared" si="1"/>
        <v>470</v>
      </c>
      <c r="F814" s="42">
        <v>44942.0</v>
      </c>
      <c r="G814" s="41" t="s">
        <v>49</v>
      </c>
      <c r="H814" s="41">
        <v>332.0</v>
      </c>
      <c r="I814" s="41" t="str">
        <f>VLOOKUP(B814,'товар'!$A$1:$C$433,2,FALSE)</f>
        <v>Печенье</v>
      </c>
      <c r="J814" s="43">
        <f t="shared" si="2"/>
        <v>283.4680851</v>
      </c>
      <c r="K814" s="44">
        <f t="shared" si="3"/>
        <v>-0.6683930046</v>
      </c>
      <c r="L814" s="41" t="str">
        <f>VLOOKUP(B814,'товар'!$A$1:$C$433,3,FALSE)</f>
        <v>Белогорье</v>
      </c>
      <c r="M814" s="45">
        <f t="shared" si="4"/>
        <v>249.5</v>
      </c>
      <c r="N814" s="46">
        <f>VLOOKUP(H814,'клиенты'!$A$1:$F$435,5,FALSE)</f>
        <v>44858</v>
      </c>
      <c r="O814" s="41">
        <f t="shared" si="5"/>
        <v>84</v>
      </c>
      <c r="P814" s="41" t="str">
        <f>VLOOKUP(H814,'клиенты'!$A$2:$J$435,10,FALSE)</f>
        <v>Узбекистан</v>
      </c>
      <c r="Q814" s="47">
        <f t="shared" si="6"/>
        <v>46078.45901</v>
      </c>
      <c r="R814" s="48">
        <f t="shared" si="7"/>
        <v>40.68196706</v>
      </c>
      <c r="S814" s="41"/>
      <c r="T814" s="41"/>
      <c r="U814" s="41"/>
      <c r="V814" s="41"/>
      <c r="W814" s="41"/>
      <c r="X814" s="41"/>
      <c r="Y814" s="41"/>
      <c r="Z814" s="41"/>
    </row>
    <row r="815" ht="14.25" customHeight="1">
      <c r="A815" s="20">
        <v>814.0</v>
      </c>
      <c r="B815" s="20">
        <v>319.0</v>
      </c>
      <c r="C815" s="20">
        <v>148.0</v>
      </c>
      <c r="D815" s="20">
        <v>1.0</v>
      </c>
      <c r="E815" s="20">
        <f t="shared" si="1"/>
        <v>148</v>
      </c>
      <c r="F815" s="49">
        <v>45143.0</v>
      </c>
      <c r="G815" s="20" t="s">
        <v>42</v>
      </c>
      <c r="H815" s="20">
        <v>445.0</v>
      </c>
      <c r="I815" s="20" t="str">
        <f>VLOOKUP(B815,'товар'!$A$1:$C$433,2,FALSE)</f>
        <v>Йогурт</v>
      </c>
      <c r="J815" s="50">
        <f t="shared" si="2"/>
        <v>263.2542373</v>
      </c>
      <c r="K815" s="51">
        <f t="shared" si="3"/>
        <v>-0.4378058202</v>
      </c>
      <c r="L815" s="20" t="str">
        <f>VLOOKUP(B815,'товар'!$A$1:$C$433,3,FALSE)</f>
        <v>Эрманн</v>
      </c>
      <c r="M815" s="52">
        <f t="shared" si="4"/>
        <v>248.5</v>
      </c>
      <c r="N815" s="53">
        <f>VLOOKUP(H815,'клиенты'!$A$1:$F$435,5,FALSE)</f>
        <v>44676</v>
      </c>
      <c r="O815" s="20">
        <f t="shared" si="5"/>
        <v>467</v>
      </c>
      <c r="P815" s="20" t="str">
        <f>VLOOKUP(H815,'клиенты'!$A$2:$J$435,10,FALSE)</f>
        <v>Россия</v>
      </c>
      <c r="Q815" s="54">
        <f t="shared" si="6"/>
        <v>46078.45901</v>
      </c>
      <c r="R815" s="55">
        <f t="shared" si="7"/>
        <v>46.74863373</v>
      </c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41">
        <v>815.0</v>
      </c>
      <c r="B816" s="41">
        <v>19.0</v>
      </c>
      <c r="C816" s="41">
        <v>378.0</v>
      </c>
      <c r="D816" s="41">
        <v>2.0</v>
      </c>
      <c r="E816" s="41">
        <f t="shared" si="1"/>
        <v>756</v>
      </c>
      <c r="F816" s="42">
        <v>45358.0</v>
      </c>
      <c r="G816" s="41" t="s">
        <v>44</v>
      </c>
      <c r="H816" s="41">
        <v>167.0</v>
      </c>
      <c r="I816" s="41" t="str">
        <f>VLOOKUP(B816,'товар'!$A$1:$C$433,2,FALSE)</f>
        <v>Мясо</v>
      </c>
      <c r="J816" s="43">
        <f t="shared" si="2"/>
        <v>271.7454545</v>
      </c>
      <c r="K816" s="44">
        <f t="shared" si="3"/>
        <v>0.3910076275</v>
      </c>
      <c r="L816" s="41" t="str">
        <f>VLOOKUP(B816,'товар'!$A$1:$C$433,3,FALSE)</f>
        <v>Снежана</v>
      </c>
      <c r="M816" s="45">
        <f t="shared" si="4"/>
        <v>272.3529412</v>
      </c>
      <c r="N816" s="46">
        <f>VLOOKUP(H816,'клиенты'!$A$1:$F$435,5,FALSE)</f>
        <v>44563</v>
      </c>
      <c r="O816" s="41">
        <f t="shared" si="5"/>
        <v>795</v>
      </c>
      <c r="P816" s="41" t="str">
        <f>VLOOKUP(H816,'клиенты'!$A$2:$J$435,10,FALSE)</f>
        <v>Узбекистан</v>
      </c>
      <c r="Q816" s="47">
        <f t="shared" si="6"/>
        <v>46078.45901</v>
      </c>
      <c r="R816" s="48">
        <f t="shared" si="7"/>
        <v>50.51530039</v>
      </c>
      <c r="S816" s="41"/>
      <c r="T816" s="41"/>
      <c r="U816" s="41"/>
      <c r="V816" s="41"/>
      <c r="W816" s="41"/>
      <c r="X816" s="41"/>
      <c r="Y816" s="41"/>
      <c r="Z816" s="41"/>
    </row>
    <row r="817" ht="14.25" customHeight="1">
      <c r="A817" s="20">
        <v>816.0</v>
      </c>
      <c r="B817" s="20">
        <v>242.0</v>
      </c>
      <c r="C817" s="20">
        <v>265.0</v>
      </c>
      <c r="D817" s="20">
        <v>4.0</v>
      </c>
      <c r="E817" s="20">
        <f t="shared" si="1"/>
        <v>1060</v>
      </c>
      <c r="F817" s="49">
        <v>44931.0</v>
      </c>
      <c r="G817" s="20" t="s">
        <v>40</v>
      </c>
      <c r="H817" s="20">
        <v>415.0</v>
      </c>
      <c r="I817" s="20" t="str">
        <f>VLOOKUP(B817,'товар'!$A$1:$C$433,2,FALSE)</f>
        <v>Овощи</v>
      </c>
      <c r="J817" s="50">
        <f t="shared" si="2"/>
        <v>250.4878049</v>
      </c>
      <c r="K817" s="51">
        <f t="shared" si="3"/>
        <v>0.05793573515</v>
      </c>
      <c r="L817" s="20" t="str">
        <f>VLOOKUP(B817,'товар'!$A$1:$C$433,3,FALSE)</f>
        <v>Овощной ряд</v>
      </c>
      <c r="M817" s="52">
        <f t="shared" si="4"/>
        <v>303.8235294</v>
      </c>
      <c r="N817" s="53">
        <f>VLOOKUP(H817,'клиенты'!$A$1:$F$435,5,FALSE)</f>
        <v>44661</v>
      </c>
      <c r="O817" s="20">
        <f t="shared" si="5"/>
        <v>270</v>
      </c>
      <c r="P817" s="20" t="str">
        <f>VLOOKUP(H817,'клиенты'!$A$2:$J$435,10,FALSE)</f>
        <v>Украина</v>
      </c>
      <c r="Q817" s="54">
        <f t="shared" si="6"/>
        <v>46078.45901</v>
      </c>
      <c r="R817" s="55">
        <f t="shared" si="7"/>
        <v>47.24863373</v>
      </c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41">
        <v>817.0</v>
      </c>
      <c r="B818" s="41">
        <v>354.0</v>
      </c>
      <c r="C818" s="41">
        <v>431.0</v>
      </c>
      <c r="D818" s="41">
        <v>1.0</v>
      </c>
      <c r="E818" s="41">
        <f t="shared" si="1"/>
        <v>431</v>
      </c>
      <c r="F818" s="42">
        <v>45419.0</v>
      </c>
      <c r="G818" s="41" t="s">
        <v>38</v>
      </c>
      <c r="H818" s="41">
        <v>229.0</v>
      </c>
      <c r="I818" s="41" t="str">
        <f>VLOOKUP(B818,'товар'!$A$1:$C$433,2,FALSE)</f>
        <v>Чай</v>
      </c>
      <c r="J818" s="43">
        <f t="shared" si="2"/>
        <v>271.1818182</v>
      </c>
      <c r="K818" s="44">
        <f t="shared" si="3"/>
        <v>0.589339591</v>
      </c>
      <c r="L818" s="41" t="str">
        <f>VLOOKUP(B818,'товар'!$A$1:$C$433,3,FALSE)</f>
        <v>Lipton</v>
      </c>
      <c r="M818" s="45">
        <f t="shared" si="4"/>
        <v>260.1578947</v>
      </c>
      <c r="N818" s="46">
        <f>VLOOKUP(H818,'клиенты'!$A$1:$F$435,5,FALSE)</f>
        <v>44766</v>
      </c>
      <c r="O818" s="41">
        <f t="shared" si="5"/>
        <v>653</v>
      </c>
      <c r="P818" s="41" t="str">
        <f>VLOOKUP(H818,'клиенты'!$A$2:$J$435,10,FALSE)</f>
        <v>Беларусь</v>
      </c>
      <c r="Q818" s="47">
        <f t="shared" si="6"/>
        <v>46078.45901</v>
      </c>
      <c r="R818" s="48">
        <f t="shared" si="7"/>
        <v>43.74863373</v>
      </c>
      <c r="S818" s="41"/>
      <c r="T818" s="41"/>
      <c r="U818" s="41"/>
      <c r="V818" s="41"/>
      <c r="W818" s="41"/>
      <c r="X818" s="41"/>
      <c r="Y818" s="41"/>
      <c r="Z818" s="41"/>
    </row>
    <row r="819" ht="14.25" customHeight="1">
      <c r="A819" s="20">
        <v>818.0</v>
      </c>
      <c r="B819" s="20">
        <v>354.0</v>
      </c>
      <c r="C819" s="20">
        <v>382.0</v>
      </c>
      <c r="D819" s="20">
        <v>4.0</v>
      </c>
      <c r="E819" s="20">
        <f t="shared" si="1"/>
        <v>1528</v>
      </c>
      <c r="F819" s="49">
        <v>44939.0</v>
      </c>
      <c r="G819" s="20" t="s">
        <v>51</v>
      </c>
      <c r="H819" s="20">
        <v>119.0</v>
      </c>
      <c r="I819" s="20" t="str">
        <f>VLOOKUP(B819,'товар'!$A$1:$C$433,2,FALSE)</f>
        <v>Чай</v>
      </c>
      <c r="J819" s="50">
        <f t="shared" si="2"/>
        <v>271.1818182</v>
      </c>
      <c r="K819" s="51">
        <f t="shared" si="3"/>
        <v>0.4086490111</v>
      </c>
      <c r="L819" s="20" t="str">
        <f>VLOOKUP(B819,'товар'!$A$1:$C$433,3,FALSE)</f>
        <v>Lipton</v>
      </c>
      <c r="M819" s="52">
        <f t="shared" si="4"/>
        <v>260.1578947</v>
      </c>
      <c r="N819" s="53">
        <f>VLOOKUP(H819,'клиенты'!$A$1:$F$435,5,FALSE)</f>
        <v>44690</v>
      </c>
      <c r="O819" s="20">
        <f t="shared" si="5"/>
        <v>249</v>
      </c>
      <c r="P819" s="20" t="str">
        <f>VLOOKUP(H819,'клиенты'!$A$2:$J$435,10,FALSE)</f>
        <v>Россия</v>
      </c>
      <c r="Q819" s="54">
        <f t="shared" si="6"/>
        <v>46078.45901</v>
      </c>
      <c r="R819" s="55">
        <f t="shared" si="7"/>
        <v>46.28196706</v>
      </c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41">
        <v>819.0</v>
      </c>
      <c r="B820" s="41">
        <v>245.0</v>
      </c>
      <c r="C820" s="41">
        <v>281.0</v>
      </c>
      <c r="D820" s="41">
        <v>1.0</v>
      </c>
      <c r="E820" s="41">
        <f t="shared" si="1"/>
        <v>281</v>
      </c>
      <c r="F820" s="42">
        <v>45036.0</v>
      </c>
      <c r="G820" s="41" t="s">
        <v>52</v>
      </c>
      <c r="H820" s="41">
        <v>341.0</v>
      </c>
      <c r="I820" s="41" t="str">
        <f>VLOOKUP(B820,'товар'!$A$1:$C$433,2,FALSE)</f>
        <v>Сахар</v>
      </c>
      <c r="J820" s="43">
        <f t="shared" si="2"/>
        <v>252.7627119</v>
      </c>
      <c r="K820" s="44">
        <f t="shared" si="3"/>
        <v>0.1117146114</v>
      </c>
      <c r="L820" s="41" t="str">
        <f>VLOOKUP(B820,'товар'!$A$1:$C$433,3,FALSE)</f>
        <v>Продимекс</v>
      </c>
      <c r="M820" s="45">
        <f t="shared" si="4"/>
        <v>240.5</v>
      </c>
      <c r="N820" s="46">
        <f>VLOOKUP(H820,'клиенты'!$A$1:$F$435,5,FALSE)</f>
        <v>44724</v>
      </c>
      <c r="O820" s="41">
        <f t="shared" si="5"/>
        <v>312</v>
      </c>
      <c r="P820" s="41" t="str">
        <f>VLOOKUP(H820,'клиенты'!$A$2:$J$435,10,FALSE)</f>
        <v>Россия</v>
      </c>
      <c r="Q820" s="47">
        <f t="shared" si="6"/>
        <v>46078.45901</v>
      </c>
      <c r="R820" s="48">
        <f t="shared" si="7"/>
        <v>45.14863373</v>
      </c>
      <c r="S820" s="41"/>
      <c r="T820" s="41"/>
      <c r="U820" s="41"/>
      <c r="V820" s="41"/>
      <c r="W820" s="41"/>
      <c r="X820" s="41"/>
      <c r="Y820" s="41"/>
      <c r="Z820" s="41"/>
    </row>
    <row r="821" ht="14.25" customHeight="1">
      <c r="A821" s="20">
        <v>820.0</v>
      </c>
      <c r="B821" s="20">
        <v>386.0</v>
      </c>
      <c r="C821" s="20">
        <v>149.0</v>
      </c>
      <c r="D821" s="20">
        <v>5.0</v>
      </c>
      <c r="E821" s="20">
        <f t="shared" si="1"/>
        <v>745</v>
      </c>
      <c r="F821" s="49">
        <v>45103.0</v>
      </c>
      <c r="G821" s="20" t="s">
        <v>45</v>
      </c>
      <c r="H821" s="20">
        <v>407.0</v>
      </c>
      <c r="I821" s="20" t="str">
        <f>VLOOKUP(B821,'товар'!$A$1:$C$433,2,FALSE)</f>
        <v>Крупа</v>
      </c>
      <c r="J821" s="50">
        <f t="shared" si="2"/>
        <v>255.1162791</v>
      </c>
      <c r="K821" s="51">
        <f t="shared" si="3"/>
        <v>-0.415952598</v>
      </c>
      <c r="L821" s="20" t="str">
        <f>VLOOKUP(B821,'товар'!$A$1:$C$433,3,FALSE)</f>
        <v>Увелка</v>
      </c>
      <c r="M821" s="52">
        <f t="shared" si="4"/>
        <v>251.9166667</v>
      </c>
      <c r="N821" s="53">
        <f>VLOOKUP(H821,'клиенты'!$A$1:$F$435,5,FALSE)</f>
        <v>44621</v>
      </c>
      <c r="O821" s="20">
        <f t="shared" si="5"/>
        <v>482</v>
      </c>
      <c r="P821" s="20" t="str">
        <f>VLOOKUP(H821,'клиенты'!$A$2:$J$435,10,FALSE)</f>
        <v>Беларусь</v>
      </c>
      <c r="Q821" s="54">
        <f t="shared" si="6"/>
        <v>46078.45901</v>
      </c>
      <c r="R821" s="55">
        <f t="shared" si="7"/>
        <v>48.58196706</v>
      </c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41">
        <v>821.0</v>
      </c>
      <c r="B822" s="41">
        <v>434.0</v>
      </c>
      <c r="C822" s="41">
        <v>257.0</v>
      </c>
      <c r="D822" s="41">
        <v>2.0</v>
      </c>
      <c r="E822" s="41">
        <f t="shared" si="1"/>
        <v>514</v>
      </c>
      <c r="F822" s="42">
        <v>45128.0</v>
      </c>
      <c r="G822" s="41" t="s">
        <v>37</v>
      </c>
      <c r="H822" s="41">
        <v>264.0</v>
      </c>
      <c r="I822" s="41" t="str">
        <f>VLOOKUP(B822,'товар'!$A$1:$C$433,2,FALSE)</f>
        <v>Сыр</v>
      </c>
      <c r="J822" s="43">
        <f t="shared" si="2"/>
        <v>262.6349206</v>
      </c>
      <c r="K822" s="44">
        <f t="shared" si="3"/>
        <v>-0.02145533664</v>
      </c>
      <c r="L822" s="41" t="str">
        <f>VLOOKUP(B822,'товар'!$A$1:$C$433,3,FALSE)</f>
        <v>Сырная долина</v>
      </c>
      <c r="M822" s="45">
        <f t="shared" si="4"/>
        <v>271</v>
      </c>
      <c r="N822" s="46">
        <f>VLOOKUP(H822,'клиенты'!$A$1:$F$435,5,FALSE)</f>
        <v>44907</v>
      </c>
      <c r="O822" s="41">
        <f t="shared" si="5"/>
        <v>221</v>
      </c>
      <c r="P822" s="41" t="str">
        <f>VLOOKUP(H822,'клиенты'!$A$2:$J$435,10,FALSE)</f>
        <v>Беларусь</v>
      </c>
      <c r="Q822" s="47">
        <f t="shared" si="6"/>
        <v>46078.45901</v>
      </c>
      <c r="R822" s="48">
        <f t="shared" si="7"/>
        <v>39.04863373</v>
      </c>
      <c r="S822" s="41"/>
      <c r="T822" s="41"/>
      <c r="U822" s="41"/>
      <c r="V822" s="41"/>
      <c r="W822" s="41"/>
      <c r="X822" s="41"/>
      <c r="Y822" s="41"/>
      <c r="Z822" s="41"/>
    </row>
    <row r="823" ht="14.25" customHeight="1">
      <c r="A823" s="20">
        <v>822.0</v>
      </c>
      <c r="B823" s="20">
        <v>402.0</v>
      </c>
      <c r="C823" s="20">
        <v>218.0</v>
      </c>
      <c r="D823" s="20">
        <v>1.0</v>
      </c>
      <c r="E823" s="20">
        <f t="shared" si="1"/>
        <v>218</v>
      </c>
      <c r="F823" s="49">
        <v>45322.0</v>
      </c>
      <c r="G823" s="20" t="s">
        <v>42</v>
      </c>
      <c r="H823" s="20">
        <v>91.0</v>
      </c>
      <c r="I823" s="20" t="str">
        <f>VLOOKUP(B823,'товар'!$A$1:$C$433,2,FALSE)</f>
        <v>Хлеб</v>
      </c>
      <c r="J823" s="50">
        <f t="shared" si="2"/>
        <v>300.3181818</v>
      </c>
      <c r="K823" s="51">
        <f t="shared" si="3"/>
        <v>-0.2741032239</v>
      </c>
      <c r="L823" s="20" t="str">
        <f>VLOOKUP(B823,'товар'!$A$1:$C$433,3,FALSE)</f>
        <v>Каравай</v>
      </c>
      <c r="M823" s="52">
        <f t="shared" si="4"/>
        <v>331.1666667</v>
      </c>
      <c r="N823" s="53">
        <f>VLOOKUP(H823,'клиенты'!$A$1:$F$435,5,FALSE)</f>
        <v>44687</v>
      </c>
      <c r="O823" s="20">
        <f t="shared" si="5"/>
        <v>635</v>
      </c>
      <c r="P823" s="20" t="str">
        <f>VLOOKUP(H823,'клиенты'!$A$2:$J$435,10,FALSE)</f>
        <v>Россия</v>
      </c>
      <c r="Q823" s="54">
        <f t="shared" si="6"/>
        <v>46078.45901</v>
      </c>
      <c r="R823" s="55">
        <f t="shared" si="7"/>
        <v>46.38196706</v>
      </c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41">
        <v>823.0</v>
      </c>
      <c r="B824" s="41">
        <v>326.0</v>
      </c>
      <c r="C824" s="41">
        <v>198.0</v>
      </c>
      <c r="D824" s="41">
        <v>2.0</v>
      </c>
      <c r="E824" s="41">
        <f t="shared" si="1"/>
        <v>396</v>
      </c>
      <c r="F824" s="42">
        <v>45396.0</v>
      </c>
      <c r="G824" s="41" t="s">
        <v>37</v>
      </c>
      <c r="H824" s="41">
        <v>362.0</v>
      </c>
      <c r="I824" s="41" t="str">
        <f>VLOOKUP(B824,'товар'!$A$1:$C$433,2,FALSE)</f>
        <v>Крупа</v>
      </c>
      <c r="J824" s="43">
        <f t="shared" si="2"/>
        <v>255.1162791</v>
      </c>
      <c r="K824" s="44">
        <f t="shared" si="3"/>
        <v>-0.2238833181</v>
      </c>
      <c r="L824" s="41" t="str">
        <f>VLOOKUP(B824,'товар'!$A$1:$C$433,3,FALSE)</f>
        <v>Увелка</v>
      </c>
      <c r="M824" s="45">
        <f t="shared" si="4"/>
        <v>251.9166667</v>
      </c>
      <c r="N824" s="46">
        <f>VLOOKUP(H824,'клиенты'!$A$1:$F$435,5,FALSE)</f>
        <v>44916</v>
      </c>
      <c r="O824" s="41">
        <f t="shared" si="5"/>
        <v>480</v>
      </c>
      <c r="P824" s="41" t="str">
        <f>VLOOKUP(H824,'клиенты'!$A$2:$J$435,10,FALSE)</f>
        <v>Россия</v>
      </c>
      <c r="Q824" s="47">
        <f t="shared" si="6"/>
        <v>46078.45901</v>
      </c>
      <c r="R824" s="48">
        <f t="shared" si="7"/>
        <v>38.74863373</v>
      </c>
      <c r="S824" s="41"/>
      <c r="T824" s="41"/>
      <c r="U824" s="41"/>
      <c r="V824" s="41"/>
      <c r="W824" s="41"/>
      <c r="X824" s="41"/>
      <c r="Y824" s="41"/>
      <c r="Z824" s="41"/>
    </row>
    <row r="825" ht="14.25" customHeight="1">
      <c r="A825" s="20">
        <v>824.0</v>
      </c>
      <c r="B825" s="20">
        <v>491.0</v>
      </c>
      <c r="C825" s="20">
        <v>111.0</v>
      </c>
      <c r="D825" s="20">
        <v>4.0</v>
      </c>
      <c r="E825" s="20">
        <f t="shared" si="1"/>
        <v>444</v>
      </c>
      <c r="F825" s="49">
        <v>45145.0</v>
      </c>
      <c r="G825" s="20" t="s">
        <v>46</v>
      </c>
      <c r="H825" s="20">
        <v>473.0</v>
      </c>
      <c r="I825" s="20" t="str">
        <f>VLOOKUP(B825,'товар'!$A$1:$C$433,2,FALSE)</f>
        <v>Овощи</v>
      </c>
      <c r="J825" s="50">
        <f t="shared" si="2"/>
        <v>250.4878049</v>
      </c>
      <c r="K825" s="51">
        <f t="shared" si="3"/>
        <v>-0.5568646543</v>
      </c>
      <c r="L825" s="20" t="str">
        <f>VLOOKUP(B825,'товар'!$A$1:$C$433,3,FALSE)</f>
        <v>Зеленая грядка</v>
      </c>
      <c r="M825" s="52">
        <f t="shared" si="4"/>
        <v>159.2</v>
      </c>
      <c r="N825" s="53">
        <f>VLOOKUP(H825,'клиенты'!$A$1:$F$435,5,FALSE)</f>
        <v>44799</v>
      </c>
      <c r="O825" s="20">
        <f t="shared" si="5"/>
        <v>346</v>
      </c>
      <c r="P825" s="20" t="str">
        <f>VLOOKUP(H825,'клиенты'!$A$2:$J$435,10,FALSE)</f>
        <v>Россия</v>
      </c>
      <c r="Q825" s="54">
        <f t="shared" si="6"/>
        <v>46078.45901</v>
      </c>
      <c r="R825" s="55">
        <f t="shared" si="7"/>
        <v>42.64863373</v>
      </c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41">
        <v>825.0</v>
      </c>
      <c r="B826" s="41">
        <v>240.0</v>
      </c>
      <c r="C826" s="41">
        <v>306.0</v>
      </c>
      <c r="D826" s="41">
        <v>5.0</v>
      </c>
      <c r="E826" s="41">
        <f t="shared" si="1"/>
        <v>1530</v>
      </c>
      <c r="F826" s="42">
        <v>45319.0</v>
      </c>
      <c r="G826" s="41" t="s">
        <v>40</v>
      </c>
      <c r="H826" s="41">
        <v>482.0</v>
      </c>
      <c r="I826" s="41" t="str">
        <f>VLOOKUP(B826,'товар'!$A$1:$C$433,2,FALSE)</f>
        <v>Макароны</v>
      </c>
      <c r="J826" s="43">
        <f t="shared" si="2"/>
        <v>265.4767442</v>
      </c>
      <c r="K826" s="44">
        <f t="shared" si="3"/>
        <v>0.1526433358</v>
      </c>
      <c r="L826" s="41" t="str">
        <f>VLOOKUP(B826,'товар'!$A$1:$C$433,3,FALSE)</f>
        <v>Борилла</v>
      </c>
      <c r="M826" s="45">
        <f t="shared" si="4"/>
        <v>236.2758621</v>
      </c>
      <c r="N826" s="46">
        <f>VLOOKUP(H826,'клиенты'!$A$1:$F$435,5,FALSE)</f>
        <v>44679</v>
      </c>
      <c r="O826" s="41">
        <f t="shared" si="5"/>
        <v>640</v>
      </c>
      <c r="P826" s="41" t="str">
        <f>VLOOKUP(H826,'клиенты'!$A$2:$J$435,10,FALSE)</f>
        <v>Украина</v>
      </c>
      <c r="Q826" s="47">
        <f t="shared" si="6"/>
        <v>46078.45901</v>
      </c>
      <c r="R826" s="48">
        <f t="shared" si="7"/>
        <v>46.64863373</v>
      </c>
      <c r="S826" s="41"/>
      <c r="T826" s="41"/>
      <c r="U826" s="41"/>
      <c r="V826" s="41"/>
      <c r="W826" s="41"/>
      <c r="X826" s="41"/>
      <c r="Y826" s="41"/>
      <c r="Z826" s="41"/>
    </row>
    <row r="827" ht="14.25" customHeight="1">
      <c r="A827" s="20">
        <v>826.0</v>
      </c>
      <c r="B827" s="20">
        <v>352.0</v>
      </c>
      <c r="C827" s="20">
        <v>391.0</v>
      </c>
      <c r="D827" s="20">
        <v>1.0</v>
      </c>
      <c r="E827" s="20">
        <f t="shared" si="1"/>
        <v>391</v>
      </c>
      <c r="F827" s="49">
        <v>45099.0</v>
      </c>
      <c r="G827" s="20" t="s">
        <v>38</v>
      </c>
      <c r="H827" s="20">
        <v>367.0</v>
      </c>
      <c r="I827" s="20" t="str">
        <f>VLOOKUP(B827,'товар'!$A$1:$C$433,2,FALSE)</f>
        <v>Йогурт</v>
      </c>
      <c r="J827" s="50">
        <f t="shared" si="2"/>
        <v>263.2542373</v>
      </c>
      <c r="K827" s="51">
        <f t="shared" si="3"/>
        <v>0.4852562452</v>
      </c>
      <c r="L827" s="20" t="str">
        <f>VLOOKUP(B827,'товар'!$A$1:$C$433,3,FALSE)</f>
        <v>Эрманн</v>
      </c>
      <c r="M827" s="52">
        <f t="shared" si="4"/>
        <v>248.5</v>
      </c>
      <c r="N827" s="53">
        <f>VLOOKUP(H827,'клиенты'!$A$1:$F$435,5,FALSE)</f>
        <v>44867</v>
      </c>
      <c r="O827" s="20">
        <f t="shared" si="5"/>
        <v>232</v>
      </c>
      <c r="P827" s="20" t="str">
        <f>VLOOKUP(H827,'клиенты'!$A$2:$J$435,10,FALSE)</f>
        <v>Таджикистан</v>
      </c>
      <c r="Q827" s="54">
        <f t="shared" si="6"/>
        <v>46078.45901</v>
      </c>
      <c r="R827" s="55">
        <f t="shared" si="7"/>
        <v>40.38196706</v>
      </c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41">
        <v>827.0</v>
      </c>
      <c r="B828" s="41">
        <v>305.0</v>
      </c>
      <c r="C828" s="41">
        <v>252.0</v>
      </c>
      <c r="D828" s="41">
        <v>1.0</v>
      </c>
      <c r="E828" s="41">
        <f t="shared" si="1"/>
        <v>252</v>
      </c>
      <c r="F828" s="42">
        <v>45413.0</v>
      </c>
      <c r="G828" s="41" t="s">
        <v>35</v>
      </c>
      <c r="H828" s="41">
        <v>172.0</v>
      </c>
      <c r="I828" s="41" t="str">
        <f>VLOOKUP(B828,'товар'!$A$1:$C$433,2,FALSE)</f>
        <v>Печенье</v>
      </c>
      <c r="J828" s="43">
        <f t="shared" si="2"/>
        <v>283.4680851</v>
      </c>
      <c r="K828" s="44">
        <f t="shared" si="3"/>
        <v>-0.1110110336</v>
      </c>
      <c r="L828" s="41" t="str">
        <f>VLOOKUP(B828,'товар'!$A$1:$C$433,3,FALSE)</f>
        <v>Посиделкино</v>
      </c>
      <c r="M828" s="45">
        <f t="shared" si="4"/>
        <v>321.6363636</v>
      </c>
      <c r="N828" s="46">
        <f>VLOOKUP(H828,'клиенты'!$A$1:$F$435,5,FALSE)</f>
        <v>44737</v>
      </c>
      <c r="O828" s="41">
        <f t="shared" si="5"/>
        <v>676</v>
      </c>
      <c r="P828" s="41" t="str">
        <f>VLOOKUP(H828,'клиенты'!$A$2:$J$435,10,FALSE)</f>
        <v>Россия</v>
      </c>
      <c r="Q828" s="47">
        <f t="shared" si="6"/>
        <v>46078.45901</v>
      </c>
      <c r="R828" s="48">
        <f t="shared" si="7"/>
        <v>44.71530039</v>
      </c>
      <c r="S828" s="41"/>
      <c r="T828" s="41"/>
      <c r="U828" s="41"/>
      <c r="V828" s="41"/>
      <c r="W828" s="41"/>
      <c r="X828" s="41"/>
      <c r="Y828" s="41"/>
      <c r="Z828" s="41"/>
    </row>
    <row r="829" ht="14.25" customHeight="1">
      <c r="A829" s="20">
        <v>828.0</v>
      </c>
      <c r="B829" s="20">
        <v>269.0</v>
      </c>
      <c r="C829" s="20">
        <v>398.0</v>
      </c>
      <c r="D829" s="20">
        <v>4.0</v>
      </c>
      <c r="E829" s="20">
        <f t="shared" si="1"/>
        <v>1592</v>
      </c>
      <c r="F829" s="49">
        <v>45051.0</v>
      </c>
      <c r="G829" s="20" t="s">
        <v>44</v>
      </c>
      <c r="H829" s="20">
        <v>466.0</v>
      </c>
      <c r="I829" s="20" t="str">
        <f>VLOOKUP(B829,'товар'!$A$1:$C$433,2,FALSE)</f>
        <v>Сахар</v>
      </c>
      <c r="J829" s="50">
        <f t="shared" si="2"/>
        <v>252.7627119</v>
      </c>
      <c r="K829" s="51">
        <f t="shared" si="3"/>
        <v>0.5745993429</v>
      </c>
      <c r="L829" s="20" t="str">
        <f>VLOOKUP(B829,'товар'!$A$1:$C$433,3,FALSE)</f>
        <v>Русский сахар</v>
      </c>
      <c r="M829" s="52">
        <f t="shared" si="4"/>
        <v>293.4117647</v>
      </c>
      <c r="N829" s="53">
        <f>VLOOKUP(H829,'клиенты'!$A$1:$F$435,5,FALSE)</f>
        <v>44772</v>
      </c>
      <c r="O829" s="20">
        <f t="shared" si="5"/>
        <v>279</v>
      </c>
      <c r="P829" s="20" t="str">
        <f>VLOOKUP(H829,'клиенты'!$A$2:$J$435,10,FALSE)</f>
        <v>Беларусь</v>
      </c>
      <c r="Q829" s="54">
        <f t="shared" si="6"/>
        <v>46078.45901</v>
      </c>
      <c r="R829" s="55">
        <f t="shared" si="7"/>
        <v>43.54863373</v>
      </c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41">
        <v>829.0</v>
      </c>
      <c r="B830" s="41">
        <v>380.0</v>
      </c>
      <c r="C830" s="41">
        <v>100.0</v>
      </c>
      <c r="D830" s="41">
        <v>2.0</v>
      </c>
      <c r="E830" s="41">
        <f t="shared" si="1"/>
        <v>200</v>
      </c>
      <c r="F830" s="42">
        <v>45082.0</v>
      </c>
      <c r="G830" s="41" t="s">
        <v>48</v>
      </c>
      <c r="H830" s="41">
        <v>57.0</v>
      </c>
      <c r="I830" s="41" t="str">
        <f>VLOOKUP(B830,'товар'!$A$1:$C$433,2,FALSE)</f>
        <v>Конфеты</v>
      </c>
      <c r="J830" s="43">
        <f t="shared" si="2"/>
        <v>267.8548387</v>
      </c>
      <c r="K830" s="44">
        <f t="shared" si="3"/>
        <v>-0.6266634552</v>
      </c>
      <c r="L830" s="41" t="str">
        <f>VLOOKUP(B830,'товар'!$A$1:$C$433,3,FALSE)</f>
        <v>Бабаевский</v>
      </c>
      <c r="M830" s="45">
        <f t="shared" si="4"/>
        <v>250.2592593</v>
      </c>
      <c r="N830" s="46">
        <f>VLOOKUP(H830,'клиенты'!$A$1:$F$435,5,FALSE)</f>
        <v>44669</v>
      </c>
      <c r="O830" s="41">
        <f t="shared" si="5"/>
        <v>413</v>
      </c>
      <c r="P830" s="41" t="str">
        <f>VLOOKUP(H830,'клиенты'!$A$2:$J$435,10,FALSE)</f>
        <v>Россия</v>
      </c>
      <c r="Q830" s="47">
        <f t="shared" si="6"/>
        <v>46078.45901</v>
      </c>
      <c r="R830" s="48">
        <f t="shared" si="7"/>
        <v>46.98196706</v>
      </c>
      <c r="S830" s="41"/>
      <c r="T830" s="41"/>
      <c r="U830" s="41"/>
      <c r="V830" s="41"/>
      <c r="W830" s="41"/>
      <c r="X830" s="41"/>
      <c r="Y830" s="41"/>
      <c r="Z830" s="41"/>
    </row>
    <row r="831" ht="14.25" customHeight="1">
      <c r="A831" s="20">
        <v>830.0</v>
      </c>
      <c r="B831" s="20">
        <v>44.0</v>
      </c>
      <c r="C831" s="20">
        <v>310.0</v>
      </c>
      <c r="D831" s="20">
        <v>3.0</v>
      </c>
      <c r="E831" s="20">
        <f t="shared" si="1"/>
        <v>930</v>
      </c>
      <c r="F831" s="49">
        <v>44971.0</v>
      </c>
      <c r="G831" s="20" t="s">
        <v>41</v>
      </c>
      <c r="H831" s="20">
        <v>48.0</v>
      </c>
      <c r="I831" s="20" t="str">
        <f>VLOOKUP(B831,'товар'!$A$1:$C$433,2,FALSE)</f>
        <v>Молоко</v>
      </c>
      <c r="J831" s="50">
        <f t="shared" si="2"/>
        <v>294.952381</v>
      </c>
      <c r="K831" s="51">
        <f t="shared" si="3"/>
        <v>0.05101711334</v>
      </c>
      <c r="L831" s="20" t="str">
        <f>VLOOKUP(B831,'товар'!$A$1:$C$433,3,FALSE)</f>
        <v>Беллакт</v>
      </c>
      <c r="M831" s="52">
        <f t="shared" si="4"/>
        <v>322.5454545</v>
      </c>
      <c r="N831" s="53">
        <f>VLOOKUP(H831,'клиенты'!$A$1:$F$435,5,FALSE)</f>
        <v>44856</v>
      </c>
      <c r="O831" s="20">
        <f t="shared" si="5"/>
        <v>115</v>
      </c>
      <c r="P831" s="20" t="str">
        <f>VLOOKUP(H831,'клиенты'!$A$2:$J$435,10,FALSE)</f>
        <v>Узбекистан</v>
      </c>
      <c r="Q831" s="54">
        <f t="shared" si="6"/>
        <v>46078.45901</v>
      </c>
      <c r="R831" s="55">
        <f t="shared" si="7"/>
        <v>40.74863373</v>
      </c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41">
        <v>831.0</v>
      </c>
      <c r="B832" s="41">
        <v>183.0</v>
      </c>
      <c r="C832" s="41">
        <v>286.0</v>
      </c>
      <c r="D832" s="41">
        <v>2.0</v>
      </c>
      <c r="E832" s="41">
        <f t="shared" si="1"/>
        <v>572</v>
      </c>
      <c r="F832" s="42">
        <v>44983.0</v>
      </c>
      <c r="G832" s="41" t="s">
        <v>50</v>
      </c>
      <c r="H832" s="41">
        <v>11.0</v>
      </c>
      <c r="I832" s="41" t="str">
        <f>VLOOKUP(B832,'товар'!$A$1:$C$433,2,FALSE)</f>
        <v>Конфеты</v>
      </c>
      <c r="J832" s="43">
        <f t="shared" si="2"/>
        <v>267.8548387</v>
      </c>
      <c r="K832" s="44">
        <f t="shared" si="3"/>
        <v>0.06774251822</v>
      </c>
      <c r="L832" s="41" t="str">
        <f>VLOOKUP(B832,'товар'!$A$1:$C$433,3,FALSE)</f>
        <v>Бабаевский</v>
      </c>
      <c r="M832" s="45">
        <f t="shared" si="4"/>
        <v>250.2592593</v>
      </c>
      <c r="N832" s="46">
        <f>VLOOKUP(H832,'клиенты'!$A$1:$F$435,5,FALSE)</f>
        <v>44690</v>
      </c>
      <c r="O832" s="41">
        <f t="shared" si="5"/>
        <v>293</v>
      </c>
      <c r="P832" s="41" t="str">
        <f>VLOOKUP(H832,'клиенты'!$A$2:$J$435,10,FALSE)</f>
        <v>Таджикистан</v>
      </c>
      <c r="Q832" s="47">
        <f t="shared" si="6"/>
        <v>46078.45901</v>
      </c>
      <c r="R832" s="48">
        <f t="shared" si="7"/>
        <v>46.28196706</v>
      </c>
      <c r="S832" s="41"/>
      <c r="T832" s="41"/>
      <c r="U832" s="41"/>
      <c r="V832" s="41"/>
      <c r="W832" s="41"/>
      <c r="X832" s="41"/>
      <c r="Y832" s="41"/>
      <c r="Z832" s="41"/>
    </row>
    <row r="833" ht="14.25" customHeight="1">
      <c r="A833" s="20">
        <v>832.0</v>
      </c>
      <c r="B833" s="20">
        <v>65.0</v>
      </c>
      <c r="C833" s="20">
        <v>201.0</v>
      </c>
      <c r="D833" s="20">
        <v>2.0</v>
      </c>
      <c r="E833" s="20">
        <f t="shared" si="1"/>
        <v>402</v>
      </c>
      <c r="F833" s="49">
        <v>45296.0</v>
      </c>
      <c r="G833" s="20" t="s">
        <v>46</v>
      </c>
      <c r="H833" s="20">
        <v>125.0</v>
      </c>
      <c r="I833" s="20" t="str">
        <f>VLOOKUP(B833,'товар'!$A$1:$C$433,2,FALSE)</f>
        <v>Хлеб</v>
      </c>
      <c r="J833" s="50">
        <f t="shared" si="2"/>
        <v>300.3181818</v>
      </c>
      <c r="K833" s="51">
        <f t="shared" si="3"/>
        <v>-0.3307098532</v>
      </c>
      <c r="L833" s="20" t="str">
        <f>VLOOKUP(B833,'товар'!$A$1:$C$433,3,FALSE)</f>
        <v>Хлебный Дом</v>
      </c>
      <c r="M833" s="52">
        <f t="shared" si="4"/>
        <v>281.7333333</v>
      </c>
      <c r="N833" s="53">
        <f>VLOOKUP(H833,'клиенты'!$A$1:$F$435,5,FALSE)</f>
        <v>44701</v>
      </c>
      <c r="O833" s="20">
        <f t="shared" si="5"/>
        <v>595</v>
      </c>
      <c r="P833" s="20" t="str">
        <f>VLOOKUP(H833,'клиенты'!$A$2:$J$435,10,FALSE)</f>
        <v>Россия</v>
      </c>
      <c r="Q833" s="54">
        <f t="shared" si="6"/>
        <v>46078.45901</v>
      </c>
      <c r="R833" s="55">
        <f t="shared" si="7"/>
        <v>45.91530039</v>
      </c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41">
        <v>833.0</v>
      </c>
      <c r="B834" s="41">
        <v>425.0</v>
      </c>
      <c r="C834" s="41">
        <v>258.0</v>
      </c>
      <c r="D834" s="41">
        <v>4.0</v>
      </c>
      <c r="E834" s="41">
        <f t="shared" si="1"/>
        <v>1032</v>
      </c>
      <c r="F834" s="42">
        <v>45128.0</v>
      </c>
      <c r="G834" s="41" t="s">
        <v>44</v>
      </c>
      <c r="H834" s="41">
        <v>72.0</v>
      </c>
      <c r="I834" s="41" t="str">
        <f>VLOOKUP(B834,'товар'!$A$1:$C$433,2,FALSE)</f>
        <v>Соль</v>
      </c>
      <c r="J834" s="43">
        <f t="shared" si="2"/>
        <v>264.8679245</v>
      </c>
      <c r="K834" s="44">
        <f t="shared" si="3"/>
        <v>-0.0259296196</v>
      </c>
      <c r="L834" s="41" t="str">
        <f>VLOOKUP(B834,'товар'!$A$1:$C$433,3,FALSE)</f>
        <v>Экстра</v>
      </c>
      <c r="M834" s="45">
        <f t="shared" si="4"/>
        <v>320.8461538</v>
      </c>
      <c r="N834" s="46">
        <f>VLOOKUP(H834,'клиенты'!$A$1:$F$435,5,FALSE)</f>
        <v>44906</v>
      </c>
      <c r="O834" s="41">
        <f t="shared" si="5"/>
        <v>222</v>
      </c>
      <c r="P834" s="41" t="str">
        <f>VLOOKUP(H834,'клиенты'!$A$2:$J$435,10,FALSE)</f>
        <v>Таджикистан</v>
      </c>
      <c r="Q834" s="47">
        <f t="shared" si="6"/>
        <v>46078.45901</v>
      </c>
      <c r="R834" s="48">
        <f t="shared" si="7"/>
        <v>39.08196706</v>
      </c>
      <c r="S834" s="41"/>
      <c r="T834" s="41"/>
      <c r="U834" s="41"/>
      <c r="V834" s="41"/>
      <c r="W834" s="41"/>
      <c r="X834" s="41"/>
      <c r="Y834" s="41"/>
      <c r="Z834" s="41"/>
    </row>
    <row r="835" ht="14.25" customHeight="1">
      <c r="A835" s="20">
        <v>834.0</v>
      </c>
      <c r="B835" s="20">
        <v>230.0</v>
      </c>
      <c r="C835" s="20">
        <v>179.0</v>
      </c>
      <c r="D835" s="20">
        <v>4.0</v>
      </c>
      <c r="E835" s="20">
        <f t="shared" si="1"/>
        <v>716</v>
      </c>
      <c r="F835" s="49">
        <v>45395.0</v>
      </c>
      <c r="G835" s="20" t="s">
        <v>40</v>
      </c>
      <c r="H835" s="20">
        <v>68.0</v>
      </c>
      <c r="I835" s="20" t="str">
        <f>VLOOKUP(B835,'товар'!$A$1:$C$433,2,FALSE)</f>
        <v>Сок</v>
      </c>
      <c r="J835" s="50">
        <f t="shared" si="2"/>
        <v>268.6034483</v>
      </c>
      <c r="K835" s="51">
        <f t="shared" si="3"/>
        <v>-0.3335900892</v>
      </c>
      <c r="L835" s="20" t="str">
        <f>VLOOKUP(B835,'товар'!$A$1:$C$433,3,FALSE)</f>
        <v>Фруктовый сад</v>
      </c>
      <c r="M835" s="52">
        <f t="shared" si="4"/>
        <v>281.96875</v>
      </c>
      <c r="N835" s="53">
        <f>VLOOKUP(H835,'клиенты'!$A$1:$F$435,5,FALSE)</f>
        <v>44882</v>
      </c>
      <c r="O835" s="20">
        <f t="shared" si="5"/>
        <v>513</v>
      </c>
      <c r="P835" s="20" t="str">
        <f>VLOOKUP(H835,'клиенты'!$A$2:$J$435,10,FALSE)</f>
        <v>Узбекистан</v>
      </c>
      <c r="Q835" s="54">
        <f t="shared" si="6"/>
        <v>46078.45901</v>
      </c>
      <c r="R835" s="55">
        <f t="shared" si="7"/>
        <v>39.88196706</v>
      </c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41">
        <v>835.0</v>
      </c>
      <c r="B836" s="41">
        <v>497.0</v>
      </c>
      <c r="C836" s="41">
        <v>113.0</v>
      </c>
      <c r="D836" s="41">
        <v>2.0</v>
      </c>
      <c r="E836" s="41">
        <f t="shared" si="1"/>
        <v>226</v>
      </c>
      <c r="F836" s="42">
        <v>45243.0</v>
      </c>
      <c r="G836" s="41" t="s">
        <v>36</v>
      </c>
      <c r="H836" s="41">
        <v>219.0</v>
      </c>
      <c r="I836" s="41" t="str">
        <f>VLOOKUP(B836,'товар'!$A$1:$C$433,2,FALSE)</f>
        <v>Конфеты</v>
      </c>
      <c r="J836" s="43">
        <f t="shared" si="2"/>
        <v>267.8548387</v>
      </c>
      <c r="K836" s="44">
        <f t="shared" si="3"/>
        <v>-0.5781297043</v>
      </c>
      <c r="L836" s="41" t="str">
        <f>VLOOKUP(B836,'товар'!$A$1:$C$433,3,FALSE)</f>
        <v>Бабаевский</v>
      </c>
      <c r="M836" s="45">
        <f t="shared" si="4"/>
        <v>250.2592593</v>
      </c>
      <c r="N836" s="46">
        <f>VLOOKUP(H836,'клиенты'!$A$1:$F$435,5,FALSE)</f>
        <v>44585</v>
      </c>
      <c r="O836" s="41">
        <f t="shared" si="5"/>
        <v>658</v>
      </c>
      <c r="P836" s="41" t="str">
        <f>VLOOKUP(H836,'клиенты'!$A$2:$J$435,10,FALSE)</f>
        <v>Таджикистан</v>
      </c>
      <c r="Q836" s="47">
        <f t="shared" si="6"/>
        <v>46078.45901</v>
      </c>
      <c r="R836" s="48">
        <f t="shared" si="7"/>
        <v>49.78196706</v>
      </c>
      <c r="S836" s="41"/>
      <c r="T836" s="41"/>
      <c r="U836" s="41"/>
      <c r="V836" s="41"/>
      <c r="W836" s="41"/>
      <c r="X836" s="41"/>
      <c r="Y836" s="41"/>
      <c r="Z836" s="41"/>
    </row>
    <row r="837" ht="14.25" customHeight="1">
      <c r="A837" s="20">
        <v>836.0</v>
      </c>
      <c r="B837" s="20">
        <v>82.0</v>
      </c>
      <c r="C837" s="20">
        <v>73.0</v>
      </c>
      <c r="D837" s="20">
        <v>1.0</v>
      </c>
      <c r="E837" s="20">
        <f t="shared" si="1"/>
        <v>73</v>
      </c>
      <c r="F837" s="49">
        <v>45159.0</v>
      </c>
      <c r="G837" s="20" t="s">
        <v>51</v>
      </c>
      <c r="H837" s="20">
        <v>218.0</v>
      </c>
      <c r="I837" s="20" t="str">
        <f>VLOOKUP(B837,'товар'!$A$1:$C$433,2,FALSE)</f>
        <v>Сыр</v>
      </c>
      <c r="J837" s="50">
        <f t="shared" si="2"/>
        <v>262.6349206</v>
      </c>
      <c r="K837" s="51">
        <f t="shared" si="3"/>
        <v>-0.7220476248</v>
      </c>
      <c r="L837" s="20" t="str">
        <f>VLOOKUP(B837,'товар'!$A$1:$C$433,3,FALSE)</f>
        <v>Hochland</v>
      </c>
      <c r="M837" s="52">
        <f t="shared" si="4"/>
        <v>168</v>
      </c>
      <c r="N837" s="53">
        <f>VLOOKUP(H837,'клиенты'!$A$1:$F$435,5,FALSE)</f>
        <v>44721</v>
      </c>
      <c r="O837" s="20">
        <f t="shared" si="5"/>
        <v>438</v>
      </c>
      <c r="P837" s="20" t="str">
        <f>VLOOKUP(H837,'клиенты'!$A$2:$J$435,10,FALSE)</f>
        <v>Узбекистан</v>
      </c>
      <c r="Q837" s="54">
        <f t="shared" si="6"/>
        <v>46078.45901</v>
      </c>
      <c r="R837" s="55">
        <f t="shared" si="7"/>
        <v>45.24863373</v>
      </c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41">
        <v>837.0</v>
      </c>
      <c r="B838" s="41">
        <v>104.0</v>
      </c>
      <c r="C838" s="41">
        <v>420.0</v>
      </c>
      <c r="D838" s="41">
        <v>2.0</v>
      </c>
      <c r="E838" s="41">
        <f t="shared" si="1"/>
        <v>840</v>
      </c>
      <c r="F838" s="42">
        <v>45427.0</v>
      </c>
      <c r="G838" s="41" t="s">
        <v>37</v>
      </c>
      <c r="H838" s="41">
        <v>26.0</v>
      </c>
      <c r="I838" s="41" t="str">
        <f>VLOOKUP(B838,'товар'!$A$1:$C$433,2,FALSE)</f>
        <v>Йогурт</v>
      </c>
      <c r="J838" s="43">
        <f t="shared" si="2"/>
        <v>263.2542373</v>
      </c>
      <c r="K838" s="44">
        <f t="shared" si="3"/>
        <v>0.5954159155</v>
      </c>
      <c r="L838" s="41" t="str">
        <f>VLOOKUP(B838,'товар'!$A$1:$C$433,3,FALSE)</f>
        <v>Ростагроэкспорт</v>
      </c>
      <c r="M838" s="45">
        <f t="shared" si="4"/>
        <v>257.7826087</v>
      </c>
      <c r="N838" s="46">
        <f>VLOOKUP(H838,'клиенты'!$A$1:$F$435,5,FALSE)</f>
        <v>44819</v>
      </c>
      <c r="O838" s="41">
        <f t="shared" si="5"/>
        <v>608</v>
      </c>
      <c r="P838" s="41" t="str">
        <f>VLOOKUP(H838,'клиенты'!$A$2:$J$435,10,FALSE)</f>
        <v>Таджикистан</v>
      </c>
      <c r="Q838" s="47">
        <f t="shared" si="6"/>
        <v>46078.45901</v>
      </c>
      <c r="R838" s="48">
        <f t="shared" si="7"/>
        <v>41.98196706</v>
      </c>
      <c r="S838" s="41"/>
      <c r="T838" s="41"/>
      <c r="U838" s="41"/>
      <c r="V838" s="41"/>
      <c r="W838" s="41"/>
      <c r="X838" s="41"/>
      <c r="Y838" s="41"/>
      <c r="Z838" s="41"/>
    </row>
    <row r="839" ht="14.25" customHeight="1">
      <c r="A839" s="20">
        <v>838.0</v>
      </c>
      <c r="B839" s="20">
        <v>364.0</v>
      </c>
      <c r="C839" s="20">
        <v>496.0</v>
      </c>
      <c r="D839" s="20">
        <v>1.0</v>
      </c>
      <c r="E839" s="20">
        <f t="shared" si="1"/>
        <v>496</v>
      </c>
      <c r="F839" s="49">
        <v>45060.0</v>
      </c>
      <c r="G839" s="20" t="s">
        <v>37</v>
      </c>
      <c r="H839" s="20">
        <v>417.0</v>
      </c>
      <c r="I839" s="20" t="str">
        <f>VLOOKUP(B839,'товар'!$A$1:$C$433,2,FALSE)</f>
        <v>Сахар</v>
      </c>
      <c r="J839" s="50">
        <f t="shared" si="2"/>
        <v>252.7627119</v>
      </c>
      <c r="K839" s="51">
        <f t="shared" si="3"/>
        <v>0.9623147589</v>
      </c>
      <c r="L839" s="20" t="str">
        <f>VLOOKUP(B839,'товар'!$A$1:$C$433,3,FALSE)</f>
        <v>Русский сахар</v>
      </c>
      <c r="M839" s="52">
        <f t="shared" si="4"/>
        <v>293.4117647</v>
      </c>
      <c r="N839" s="53">
        <f>VLOOKUP(H839,'клиенты'!$A$1:$F$435,5,FALSE)</f>
        <v>44608</v>
      </c>
      <c r="O839" s="20">
        <f t="shared" si="5"/>
        <v>452</v>
      </c>
      <c r="P839" s="20" t="str">
        <f>VLOOKUP(H839,'клиенты'!$A$2:$J$435,10,FALSE)</f>
        <v>Таджикистан</v>
      </c>
      <c r="Q839" s="54">
        <f t="shared" si="6"/>
        <v>46078.45901</v>
      </c>
      <c r="R839" s="55">
        <f t="shared" si="7"/>
        <v>49.01530039</v>
      </c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41">
        <v>839.0</v>
      </c>
      <c r="B840" s="41">
        <v>334.0</v>
      </c>
      <c r="C840" s="41">
        <v>223.0</v>
      </c>
      <c r="D840" s="41">
        <v>2.0</v>
      </c>
      <c r="E840" s="41">
        <f t="shared" si="1"/>
        <v>446</v>
      </c>
      <c r="F840" s="42">
        <v>45234.0</v>
      </c>
      <c r="G840" s="41" t="s">
        <v>53</v>
      </c>
      <c r="H840" s="41">
        <v>216.0</v>
      </c>
      <c r="I840" s="41" t="str">
        <f>VLOOKUP(B840,'товар'!$A$1:$C$433,2,FALSE)</f>
        <v>Молоко</v>
      </c>
      <c r="J840" s="43">
        <f t="shared" si="2"/>
        <v>294.952381</v>
      </c>
      <c r="K840" s="44">
        <f t="shared" si="3"/>
        <v>-0.243945754</v>
      </c>
      <c r="L840" s="41" t="str">
        <f>VLOOKUP(B840,'товар'!$A$1:$C$433,3,FALSE)</f>
        <v>Домик в деревне</v>
      </c>
      <c r="M840" s="45">
        <f t="shared" si="4"/>
        <v>274.7777778</v>
      </c>
      <c r="N840" s="46">
        <f>VLOOKUP(H840,'клиенты'!$A$1:$F$435,5,FALSE)</f>
        <v>44655</v>
      </c>
      <c r="O840" s="41">
        <f t="shared" si="5"/>
        <v>579</v>
      </c>
      <c r="P840" s="41" t="str">
        <f>VLOOKUP(H840,'клиенты'!$A$2:$J$435,10,FALSE)</f>
        <v>Таджикистан</v>
      </c>
      <c r="Q840" s="47">
        <f t="shared" si="6"/>
        <v>46078.45901</v>
      </c>
      <c r="R840" s="48">
        <f t="shared" si="7"/>
        <v>47.44863373</v>
      </c>
      <c r="S840" s="41"/>
      <c r="T840" s="41"/>
      <c r="U840" s="41"/>
      <c r="V840" s="41"/>
      <c r="W840" s="41"/>
      <c r="X840" s="41"/>
      <c r="Y840" s="41"/>
      <c r="Z840" s="41"/>
    </row>
    <row r="841" ht="14.25" customHeight="1">
      <c r="A841" s="20">
        <v>840.0</v>
      </c>
      <c r="B841" s="20">
        <v>356.0</v>
      </c>
      <c r="C841" s="20">
        <v>97.0</v>
      </c>
      <c r="D841" s="20">
        <v>2.0</v>
      </c>
      <c r="E841" s="20">
        <f t="shared" si="1"/>
        <v>194</v>
      </c>
      <c r="F841" s="49">
        <v>45032.0</v>
      </c>
      <c r="G841" s="20" t="s">
        <v>52</v>
      </c>
      <c r="H841" s="20">
        <v>491.0</v>
      </c>
      <c r="I841" s="20" t="str">
        <f>VLOOKUP(B841,'товар'!$A$1:$C$433,2,FALSE)</f>
        <v>Печенье</v>
      </c>
      <c r="J841" s="50">
        <f t="shared" si="2"/>
        <v>283.4680851</v>
      </c>
      <c r="K841" s="51">
        <f t="shared" si="3"/>
        <v>-0.6578098026</v>
      </c>
      <c r="L841" s="20" t="str">
        <f>VLOOKUP(B841,'товар'!$A$1:$C$433,3,FALSE)</f>
        <v>Посиделкино</v>
      </c>
      <c r="M841" s="52">
        <f t="shared" si="4"/>
        <v>321.6363636</v>
      </c>
      <c r="N841" s="53">
        <f>VLOOKUP(H841,'клиенты'!$A$1:$F$435,5,FALSE)</f>
        <v>44752</v>
      </c>
      <c r="O841" s="20">
        <f t="shared" si="5"/>
        <v>280</v>
      </c>
      <c r="P841" s="20" t="str">
        <f>VLOOKUP(H841,'клиенты'!$A$2:$J$435,10,FALSE)</f>
        <v>Россия</v>
      </c>
      <c r="Q841" s="54">
        <f t="shared" si="6"/>
        <v>46078.45901</v>
      </c>
      <c r="R841" s="55">
        <f t="shared" si="7"/>
        <v>44.21530039</v>
      </c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41">
        <v>841.0</v>
      </c>
      <c r="B842" s="41">
        <v>446.0</v>
      </c>
      <c r="C842" s="41">
        <v>445.0</v>
      </c>
      <c r="D842" s="41">
        <v>5.0</v>
      </c>
      <c r="E842" s="41">
        <f t="shared" si="1"/>
        <v>2225</v>
      </c>
      <c r="F842" s="42">
        <v>44993.0</v>
      </c>
      <c r="G842" s="41" t="s">
        <v>44</v>
      </c>
      <c r="H842" s="41">
        <v>307.0</v>
      </c>
      <c r="I842" s="41" t="str">
        <f>VLOOKUP(B842,'товар'!$A$1:$C$433,2,FALSE)</f>
        <v>Чипсы</v>
      </c>
      <c r="J842" s="43">
        <f t="shared" si="2"/>
        <v>273.7254902</v>
      </c>
      <c r="K842" s="44">
        <f t="shared" si="3"/>
        <v>0.6257163324</v>
      </c>
      <c r="L842" s="41" t="str">
        <f>VLOOKUP(B842,'товар'!$A$1:$C$433,3,FALSE)</f>
        <v>Lay's</v>
      </c>
      <c r="M842" s="45">
        <f t="shared" si="4"/>
        <v>320.5714286</v>
      </c>
      <c r="N842" s="46">
        <f>VLOOKUP(H842,'клиенты'!$A$1:$F$435,5,FALSE)</f>
        <v>44764</v>
      </c>
      <c r="O842" s="41">
        <f t="shared" si="5"/>
        <v>229</v>
      </c>
      <c r="P842" s="41" t="str">
        <f>VLOOKUP(H842,'клиенты'!$A$2:$J$435,10,FALSE)</f>
        <v>Беларусь</v>
      </c>
      <c r="Q842" s="47">
        <f t="shared" si="6"/>
        <v>46078.45901</v>
      </c>
      <c r="R842" s="48">
        <f t="shared" si="7"/>
        <v>43.81530039</v>
      </c>
      <c r="S842" s="41"/>
      <c r="T842" s="41"/>
      <c r="U842" s="41"/>
      <c r="V842" s="41"/>
      <c r="W842" s="41"/>
      <c r="X842" s="41"/>
      <c r="Y842" s="41"/>
      <c r="Z842" s="41"/>
    </row>
    <row r="843" ht="14.25" customHeight="1">
      <c r="A843" s="20">
        <v>842.0</v>
      </c>
      <c r="B843" s="20">
        <v>88.0</v>
      </c>
      <c r="C843" s="20">
        <v>206.0</v>
      </c>
      <c r="D843" s="20">
        <v>4.0</v>
      </c>
      <c r="E843" s="20">
        <f t="shared" si="1"/>
        <v>824</v>
      </c>
      <c r="F843" s="49">
        <v>45237.0</v>
      </c>
      <c r="G843" s="20" t="s">
        <v>44</v>
      </c>
      <c r="H843" s="20">
        <v>492.0</v>
      </c>
      <c r="I843" s="20" t="str">
        <f>VLOOKUP(B843,'товар'!$A$1:$C$433,2,FALSE)</f>
        <v>Крупа</v>
      </c>
      <c r="J843" s="50">
        <f t="shared" si="2"/>
        <v>255.1162791</v>
      </c>
      <c r="K843" s="51">
        <f t="shared" si="3"/>
        <v>-0.1925250684</v>
      </c>
      <c r="L843" s="20" t="str">
        <f>VLOOKUP(B843,'товар'!$A$1:$C$433,3,FALSE)</f>
        <v>Мистраль</v>
      </c>
      <c r="M843" s="52">
        <f t="shared" si="4"/>
        <v>250.3076923</v>
      </c>
      <c r="N843" s="53">
        <f>VLOOKUP(H843,'клиенты'!$A$1:$F$435,5,FALSE)</f>
        <v>44688</v>
      </c>
      <c r="O843" s="20">
        <f t="shared" si="5"/>
        <v>549</v>
      </c>
      <c r="P843" s="20" t="str">
        <f>VLOOKUP(H843,'клиенты'!$A$2:$J$435,10,FALSE)</f>
        <v>Украина</v>
      </c>
      <c r="Q843" s="54">
        <f t="shared" si="6"/>
        <v>46078.45901</v>
      </c>
      <c r="R843" s="55">
        <f t="shared" si="7"/>
        <v>46.34863373</v>
      </c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41">
        <v>843.0</v>
      </c>
      <c r="B844" s="41">
        <v>347.0</v>
      </c>
      <c r="C844" s="41">
        <v>265.0</v>
      </c>
      <c r="D844" s="41">
        <v>1.0</v>
      </c>
      <c r="E844" s="41">
        <f t="shared" si="1"/>
        <v>265</v>
      </c>
      <c r="F844" s="42">
        <v>45390.0</v>
      </c>
      <c r="G844" s="41" t="s">
        <v>39</v>
      </c>
      <c r="H844" s="41">
        <v>264.0</v>
      </c>
      <c r="I844" s="41" t="str">
        <f>VLOOKUP(B844,'товар'!$A$1:$C$433,2,FALSE)</f>
        <v>Макароны</v>
      </c>
      <c r="J844" s="43">
        <f t="shared" si="2"/>
        <v>265.4767442</v>
      </c>
      <c r="K844" s="44">
        <f t="shared" si="3"/>
        <v>-0.001795803951</v>
      </c>
      <c r="L844" s="41" t="str">
        <f>VLOOKUP(B844,'товар'!$A$1:$C$433,3,FALSE)</f>
        <v>Паста Зара</v>
      </c>
      <c r="M844" s="45">
        <f t="shared" si="4"/>
        <v>276.6756757</v>
      </c>
      <c r="N844" s="46">
        <f>VLOOKUP(H844,'клиенты'!$A$1:$F$435,5,FALSE)</f>
        <v>44907</v>
      </c>
      <c r="O844" s="41">
        <f t="shared" si="5"/>
        <v>483</v>
      </c>
      <c r="P844" s="41" t="str">
        <f>VLOOKUP(H844,'клиенты'!$A$2:$J$435,10,FALSE)</f>
        <v>Беларусь</v>
      </c>
      <c r="Q844" s="47">
        <f t="shared" si="6"/>
        <v>46078.45901</v>
      </c>
      <c r="R844" s="48">
        <f t="shared" si="7"/>
        <v>39.04863373</v>
      </c>
      <c r="S844" s="41"/>
      <c r="T844" s="41"/>
      <c r="U844" s="41"/>
      <c r="V844" s="41"/>
      <c r="W844" s="41"/>
      <c r="X844" s="41"/>
      <c r="Y844" s="41"/>
      <c r="Z844" s="41"/>
    </row>
    <row r="845" ht="14.25" customHeight="1">
      <c r="A845" s="20">
        <v>844.0</v>
      </c>
      <c r="B845" s="20">
        <v>342.0</v>
      </c>
      <c r="C845" s="20">
        <v>269.0</v>
      </c>
      <c r="D845" s="20">
        <v>4.0</v>
      </c>
      <c r="E845" s="20">
        <f t="shared" si="1"/>
        <v>1076</v>
      </c>
      <c r="F845" s="49">
        <v>45093.0</v>
      </c>
      <c r="G845" s="20" t="s">
        <v>54</v>
      </c>
      <c r="H845" s="20">
        <v>190.0</v>
      </c>
      <c r="I845" s="20" t="str">
        <f>VLOOKUP(B845,'товар'!$A$1:$C$433,2,FALSE)</f>
        <v>Овощи</v>
      </c>
      <c r="J845" s="50">
        <f t="shared" si="2"/>
        <v>250.4878049</v>
      </c>
      <c r="K845" s="51">
        <f t="shared" si="3"/>
        <v>0.07390457644</v>
      </c>
      <c r="L845" s="20" t="str">
        <f>VLOOKUP(B845,'товар'!$A$1:$C$433,3,FALSE)</f>
        <v>Овощной ряд</v>
      </c>
      <c r="M845" s="52">
        <f t="shared" si="4"/>
        <v>303.8235294</v>
      </c>
      <c r="N845" s="53">
        <f>VLOOKUP(H845,'клиенты'!$A$1:$F$435,5,FALSE)</f>
        <v>44689</v>
      </c>
      <c r="O845" s="20">
        <f t="shared" si="5"/>
        <v>404</v>
      </c>
      <c r="P845" s="20" t="str">
        <f>VLOOKUP(H845,'клиенты'!$A$2:$J$435,10,FALSE)</f>
        <v>Беларусь</v>
      </c>
      <c r="Q845" s="54">
        <f t="shared" si="6"/>
        <v>46078.45901</v>
      </c>
      <c r="R845" s="55">
        <f t="shared" si="7"/>
        <v>46.31530039</v>
      </c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41">
        <v>845.0</v>
      </c>
      <c r="B846" s="41">
        <v>474.0</v>
      </c>
      <c r="C846" s="41">
        <v>405.0</v>
      </c>
      <c r="D846" s="41">
        <v>2.0</v>
      </c>
      <c r="E846" s="41">
        <f t="shared" si="1"/>
        <v>810</v>
      </c>
      <c r="F846" s="42">
        <v>45390.0</v>
      </c>
      <c r="G846" s="41" t="s">
        <v>51</v>
      </c>
      <c r="H846" s="41">
        <v>18.0</v>
      </c>
      <c r="I846" s="41" t="str">
        <f>VLOOKUP(B846,'товар'!$A$1:$C$433,2,FALSE)</f>
        <v>Молоко</v>
      </c>
      <c r="J846" s="43">
        <f t="shared" si="2"/>
        <v>294.952381</v>
      </c>
      <c r="K846" s="44">
        <f t="shared" si="3"/>
        <v>0.3731030029</v>
      </c>
      <c r="L846" s="41" t="str">
        <f>VLOOKUP(B846,'товар'!$A$1:$C$433,3,FALSE)</f>
        <v>Простоквашино</v>
      </c>
      <c r="M846" s="45">
        <f t="shared" si="4"/>
        <v>318.8181818</v>
      </c>
      <c r="N846" s="46">
        <f>VLOOKUP(H846,'клиенты'!$A$1:$F$435,5,FALSE)</f>
        <v>44578</v>
      </c>
      <c r="O846" s="41">
        <f t="shared" si="5"/>
        <v>812</v>
      </c>
      <c r="P846" s="41" t="str">
        <f>VLOOKUP(H846,'клиенты'!$A$2:$J$435,10,FALSE)</f>
        <v>Украина</v>
      </c>
      <c r="Q846" s="47">
        <f t="shared" si="6"/>
        <v>46078.45901</v>
      </c>
      <c r="R846" s="48">
        <f t="shared" si="7"/>
        <v>50.01530039</v>
      </c>
      <c r="S846" s="41"/>
      <c r="T846" s="41"/>
      <c r="U846" s="41"/>
      <c r="V846" s="41"/>
      <c r="W846" s="41"/>
      <c r="X846" s="41"/>
      <c r="Y846" s="41"/>
      <c r="Z846" s="41"/>
    </row>
    <row r="847" ht="14.25" customHeight="1">
      <c r="A847" s="20">
        <v>846.0</v>
      </c>
      <c r="B847" s="20">
        <v>69.0</v>
      </c>
      <c r="C847" s="20">
        <v>197.0</v>
      </c>
      <c r="D847" s="20">
        <v>2.0</v>
      </c>
      <c r="E847" s="20">
        <f t="shared" si="1"/>
        <v>394</v>
      </c>
      <c r="F847" s="49">
        <v>45195.0</v>
      </c>
      <c r="G847" s="20" t="s">
        <v>54</v>
      </c>
      <c r="H847" s="20">
        <v>125.0</v>
      </c>
      <c r="I847" s="20" t="str">
        <f>VLOOKUP(B847,'товар'!$A$1:$C$433,2,FALSE)</f>
        <v>Чипсы</v>
      </c>
      <c r="J847" s="50">
        <f t="shared" si="2"/>
        <v>273.7254902</v>
      </c>
      <c r="K847" s="51">
        <f t="shared" si="3"/>
        <v>-0.2803008596</v>
      </c>
      <c r="L847" s="20" t="str">
        <f>VLOOKUP(B847,'товар'!$A$1:$C$433,3,FALSE)</f>
        <v>Estrella</v>
      </c>
      <c r="M847" s="52">
        <f t="shared" si="4"/>
        <v>266.2727273</v>
      </c>
      <c r="N847" s="53">
        <f>VLOOKUP(H847,'клиенты'!$A$1:$F$435,5,FALSE)</f>
        <v>44701</v>
      </c>
      <c r="O847" s="20">
        <f t="shared" si="5"/>
        <v>494</v>
      </c>
      <c r="P847" s="20" t="str">
        <f>VLOOKUP(H847,'клиенты'!$A$2:$J$435,10,FALSE)</f>
        <v>Россия</v>
      </c>
      <c r="Q847" s="54">
        <f t="shared" si="6"/>
        <v>46078.45901</v>
      </c>
      <c r="R847" s="55">
        <f t="shared" si="7"/>
        <v>45.91530039</v>
      </c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41">
        <v>847.0</v>
      </c>
      <c r="B848" s="41">
        <v>206.0</v>
      </c>
      <c r="C848" s="41">
        <v>93.0</v>
      </c>
      <c r="D848" s="41">
        <v>2.0</v>
      </c>
      <c r="E848" s="41">
        <f t="shared" si="1"/>
        <v>186</v>
      </c>
      <c r="F848" s="42">
        <v>45154.0</v>
      </c>
      <c r="G848" s="41" t="s">
        <v>48</v>
      </c>
      <c r="H848" s="41">
        <v>155.0</v>
      </c>
      <c r="I848" s="41" t="str">
        <f>VLOOKUP(B848,'товар'!$A$1:$C$433,2,FALSE)</f>
        <v>Молоко</v>
      </c>
      <c r="J848" s="43">
        <f t="shared" si="2"/>
        <v>294.952381</v>
      </c>
      <c r="K848" s="44">
        <f t="shared" si="3"/>
        <v>-0.684694866</v>
      </c>
      <c r="L848" s="41" t="str">
        <f>VLOOKUP(B848,'товар'!$A$1:$C$433,3,FALSE)</f>
        <v>Домик в деревне</v>
      </c>
      <c r="M848" s="45">
        <f t="shared" si="4"/>
        <v>274.7777778</v>
      </c>
      <c r="N848" s="46">
        <f>VLOOKUP(H848,'клиенты'!$A$1:$F$435,5,FALSE)</f>
        <v>44564</v>
      </c>
      <c r="O848" s="41">
        <f t="shared" si="5"/>
        <v>590</v>
      </c>
      <c r="P848" s="41" t="str">
        <f>VLOOKUP(H848,'клиенты'!$A$2:$J$435,10,FALSE)</f>
        <v>Украина</v>
      </c>
      <c r="Q848" s="47">
        <f t="shared" si="6"/>
        <v>46078.45901</v>
      </c>
      <c r="R848" s="48">
        <f t="shared" si="7"/>
        <v>50.48196706</v>
      </c>
      <c r="S848" s="41"/>
      <c r="T848" s="41"/>
      <c r="U848" s="41"/>
      <c r="V848" s="41"/>
      <c r="W848" s="41"/>
      <c r="X848" s="41"/>
      <c r="Y848" s="41"/>
      <c r="Z848" s="41"/>
    </row>
    <row r="849" ht="14.25" customHeight="1">
      <c r="A849" s="20">
        <v>848.0</v>
      </c>
      <c r="B849" s="20">
        <v>319.0</v>
      </c>
      <c r="C849" s="20">
        <v>193.0</v>
      </c>
      <c r="D849" s="20">
        <v>1.0</v>
      </c>
      <c r="E849" s="20">
        <f t="shared" si="1"/>
        <v>193</v>
      </c>
      <c r="F849" s="49">
        <v>45396.0</v>
      </c>
      <c r="G849" s="20" t="s">
        <v>41</v>
      </c>
      <c r="H849" s="20">
        <v>43.0</v>
      </c>
      <c r="I849" s="20" t="str">
        <f>VLOOKUP(B849,'товар'!$A$1:$C$433,2,FALSE)</f>
        <v>Йогурт</v>
      </c>
      <c r="J849" s="50">
        <f t="shared" si="2"/>
        <v>263.2542373</v>
      </c>
      <c r="K849" s="51">
        <f t="shared" si="3"/>
        <v>-0.2668684007</v>
      </c>
      <c r="L849" s="20" t="str">
        <f>VLOOKUP(B849,'товар'!$A$1:$C$433,3,FALSE)</f>
        <v>Эрманн</v>
      </c>
      <c r="M849" s="52">
        <f t="shared" si="4"/>
        <v>248.5</v>
      </c>
      <c r="N849" s="53">
        <f>VLOOKUP(H849,'клиенты'!$A$1:$F$435,5,FALSE)</f>
        <v>44912</v>
      </c>
      <c r="O849" s="20">
        <f t="shared" si="5"/>
        <v>484</v>
      </c>
      <c r="P849" s="20" t="str">
        <f>VLOOKUP(H849,'клиенты'!$A$2:$J$435,10,FALSE)</f>
        <v>Россия</v>
      </c>
      <c r="Q849" s="54">
        <f t="shared" si="6"/>
        <v>46078.45901</v>
      </c>
      <c r="R849" s="55">
        <f t="shared" si="7"/>
        <v>38.88196706</v>
      </c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41">
        <v>849.0</v>
      </c>
      <c r="B850" s="41">
        <v>59.0</v>
      </c>
      <c r="C850" s="41">
        <v>150.0</v>
      </c>
      <c r="D850" s="41">
        <v>4.0</v>
      </c>
      <c r="E850" s="41">
        <f t="shared" si="1"/>
        <v>600</v>
      </c>
      <c r="F850" s="42">
        <v>45134.0</v>
      </c>
      <c r="G850" s="41" t="s">
        <v>48</v>
      </c>
      <c r="H850" s="41">
        <v>343.0</v>
      </c>
      <c r="I850" s="41" t="str">
        <f>VLOOKUP(B850,'товар'!$A$1:$C$433,2,FALSE)</f>
        <v>Сахар</v>
      </c>
      <c r="J850" s="43">
        <f t="shared" si="2"/>
        <v>252.7627119</v>
      </c>
      <c r="K850" s="44">
        <f t="shared" si="3"/>
        <v>-0.4065580366</v>
      </c>
      <c r="L850" s="41" t="str">
        <f>VLOOKUP(B850,'товар'!$A$1:$C$433,3,FALSE)</f>
        <v>Продимекс</v>
      </c>
      <c r="M850" s="45">
        <f t="shared" si="4"/>
        <v>240.5</v>
      </c>
      <c r="N850" s="46">
        <f>VLOOKUP(H850,'клиенты'!$A$1:$F$435,5,FALSE)</f>
        <v>44874</v>
      </c>
      <c r="O850" s="41">
        <f t="shared" si="5"/>
        <v>260</v>
      </c>
      <c r="P850" s="41" t="str">
        <f>VLOOKUP(H850,'клиенты'!$A$2:$J$435,10,FALSE)</f>
        <v>Украина</v>
      </c>
      <c r="Q850" s="47">
        <f t="shared" si="6"/>
        <v>46078.45901</v>
      </c>
      <c r="R850" s="48">
        <f t="shared" si="7"/>
        <v>40.14863373</v>
      </c>
      <c r="S850" s="41"/>
      <c r="T850" s="41"/>
      <c r="U850" s="41"/>
      <c r="V850" s="41"/>
      <c r="W850" s="41"/>
      <c r="X850" s="41"/>
      <c r="Y850" s="41"/>
      <c r="Z850" s="41"/>
    </row>
    <row r="851" ht="14.25" customHeight="1">
      <c r="A851" s="20">
        <v>850.0</v>
      </c>
      <c r="B851" s="20">
        <v>16.0</v>
      </c>
      <c r="C851" s="20">
        <v>207.0</v>
      </c>
      <c r="D851" s="20">
        <v>2.0</v>
      </c>
      <c r="E851" s="20">
        <f t="shared" si="1"/>
        <v>414</v>
      </c>
      <c r="F851" s="49">
        <v>45251.0</v>
      </c>
      <c r="G851" s="20" t="s">
        <v>52</v>
      </c>
      <c r="H851" s="20">
        <v>26.0</v>
      </c>
      <c r="I851" s="20" t="str">
        <f>VLOOKUP(B851,'товар'!$A$1:$C$433,2,FALSE)</f>
        <v>Сыр</v>
      </c>
      <c r="J851" s="50">
        <f t="shared" si="2"/>
        <v>262.6349206</v>
      </c>
      <c r="K851" s="51">
        <f t="shared" si="3"/>
        <v>-0.2118336758</v>
      </c>
      <c r="L851" s="20" t="str">
        <f>VLOOKUP(B851,'товар'!$A$1:$C$433,3,FALSE)</f>
        <v>Сырная долина</v>
      </c>
      <c r="M851" s="52">
        <f t="shared" si="4"/>
        <v>271</v>
      </c>
      <c r="N851" s="53">
        <f>VLOOKUP(H851,'клиенты'!$A$1:$F$435,5,FALSE)</f>
        <v>44819</v>
      </c>
      <c r="O851" s="20">
        <f t="shared" si="5"/>
        <v>432</v>
      </c>
      <c r="P851" s="20" t="str">
        <f>VLOOKUP(H851,'клиенты'!$A$2:$J$435,10,FALSE)</f>
        <v>Таджикистан</v>
      </c>
      <c r="Q851" s="54">
        <f t="shared" si="6"/>
        <v>46078.45901</v>
      </c>
      <c r="R851" s="55">
        <f t="shared" si="7"/>
        <v>41.98196706</v>
      </c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41">
        <v>851.0</v>
      </c>
      <c r="B852" s="41">
        <v>220.0</v>
      </c>
      <c r="C852" s="41">
        <v>305.0</v>
      </c>
      <c r="D852" s="41">
        <v>4.0</v>
      </c>
      <c r="E852" s="41">
        <f t="shared" si="1"/>
        <v>1220</v>
      </c>
      <c r="F852" s="42">
        <v>45056.0</v>
      </c>
      <c r="G852" s="41" t="s">
        <v>42</v>
      </c>
      <c r="H852" s="41">
        <v>306.0</v>
      </c>
      <c r="I852" s="41" t="str">
        <f>VLOOKUP(B852,'товар'!$A$1:$C$433,2,FALSE)</f>
        <v>Чай</v>
      </c>
      <c r="J852" s="43">
        <f t="shared" si="2"/>
        <v>271.1818182</v>
      </c>
      <c r="K852" s="44">
        <f t="shared" si="3"/>
        <v>0.1247066711</v>
      </c>
      <c r="L852" s="41" t="str">
        <f>VLOOKUP(B852,'товар'!$A$1:$C$433,3,FALSE)</f>
        <v>Тесс</v>
      </c>
      <c r="M852" s="45">
        <f t="shared" si="4"/>
        <v>281.75</v>
      </c>
      <c r="N852" s="46">
        <f>VLOOKUP(H852,'клиенты'!$A$1:$F$435,5,FALSE)</f>
        <v>44872</v>
      </c>
      <c r="O852" s="41">
        <f t="shared" si="5"/>
        <v>184</v>
      </c>
      <c r="P852" s="41" t="str">
        <f>VLOOKUP(H852,'клиенты'!$A$2:$J$435,10,FALSE)</f>
        <v>Украина</v>
      </c>
      <c r="Q852" s="47">
        <f t="shared" si="6"/>
        <v>46078.45901</v>
      </c>
      <c r="R852" s="48">
        <f t="shared" si="7"/>
        <v>40.21530039</v>
      </c>
      <c r="S852" s="41"/>
      <c r="T852" s="41"/>
      <c r="U852" s="41"/>
      <c r="V852" s="41"/>
      <c r="W852" s="41"/>
      <c r="X852" s="41"/>
      <c r="Y852" s="41"/>
      <c r="Z852" s="41"/>
    </row>
    <row r="853" ht="14.25" customHeight="1">
      <c r="A853" s="20">
        <v>852.0</v>
      </c>
      <c r="B853" s="20">
        <v>474.0</v>
      </c>
      <c r="C853" s="20">
        <v>171.0</v>
      </c>
      <c r="D853" s="20">
        <v>3.0</v>
      </c>
      <c r="E853" s="20">
        <f t="shared" si="1"/>
        <v>513</v>
      </c>
      <c r="F853" s="49">
        <v>44985.0</v>
      </c>
      <c r="G853" s="20" t="s">
        <v>52</v>
      </c>
      <c r="H853" s="20">
        <v>260.0</v>
      </c>
      <c r="I853" s="20" t="str">
        <f>VLOOKUP(B853,'товар'!$A$1:$C$433,2,FALSE)</f>
        <v>Молоко</v>
      </c>
      <c r="J853" s="50">
        <f t="shared" si="2"/>
        <v>294.952381</v>
      </c>
      <c r="K853" s="51">
        <f t="shared" si="3"/>
        <v>-0.4202453988</v>
      </c>
      <c r="L853" s="20" t="str">
        <f>VLOOKUP(B853,'товар'!$A$1:$C$433,3,FALSE)</f>
        <v>Простоквашино</v>
      </c>
      <c r="M853" s="52">
        <f t="shared" si="4"/>
        <v>318.8181818</v>
      </c>
      <c r="N853" s="53">
        <f>VLOOKUP(H853,'клиенты'!$A$1:$F$435,5,FALSE)</f>
        <v>44729</v>
      </c>
      <c r="O853" s="20">
        <f t="shared" si="5"/>
        <v>256</v>
      </c>
      <c r="P853" s="20" t="str">
        <f>VLOOKUP(H853,'клиенты'!$A$2:$J$435,10,FALSE)</f>
        <v>Украина</v>
      </c>
      <c r="Q853" s="54">
        <f t="shared" si="6"/>
        <v>46078.45901</v>
      </c>
      <c r="R853" s="55">
        <f t="shared" si="7"/>
        <v>44.98196706</v>
      </c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41">
        <v>853.0</v>
      </c>
      <c r="B854" s="41">
        <v>118.0</v>
      </c>
      <c r="C854" s="41">
        <v>466.0</v>
      </c>
      <c r="D854" s="41">
        <v>3.0</v>
      </c>
      <c r="E854" s="41">
        <f t="shared" si="1"/>
        <v>1398</v>
      </c>
      <c r="F854" s="42">
        <v>44980.0</v>
      </c>
      <c r="G854" s="41" t="s">
        <v>50</v>
      </c>
      <c r="H854" s="41">
        <v>188.0</v>
      </c>
      <c r="I854" s="41" t="str">
        <f>VLOOKUP(B854,'товар'!$A$1:$C$433,2,FALSE)</f>
        <v>Сахар</v>
      </c>
      <c r="J854" s="43">
        <f t="shared" si="2"/>
        <v>252.7627119</v>
      </c>
      <c r="K854" s="44">
        <f t="shared" si="3"/>
        <v>0.8436263663</v>
      </c>
      <c r="L854" s="41" t="str">
        <f>VLOOKUP(B854,'товар'!$A$1:$C$433,3,FALSE)</f>
        <v>Продимекс</v>
      </c>
      <c r="M854" s="45">
        <f t="shared" si="4"/>
        <v>240.5</v>
      </c>
      <c r="N854" s="46">
        <f>VLOOKUP(H854,'клиенты'!$A$1:$F$435,5,FALSE)</f>
        <v>44801</v>
      </c>
      <c r="O854" s="41">
        <f t="shared" si="5"/>
        <v>179</v>
      </c>
      <c r="P854" s="41" t="str">
        <f>VLOOKUP(H854,'клиенты'!$A$2:$J$435,10,FALSE)</f>
        <v>Таджикистан</v>
      </c>
      <c r="Q854" s="47">
        <f t="shared" si="6"/>
        <v>46078.45901</v>
      </c>
      <c r="R854" s="48">
        <f t="shared" si="7"/>
        <v>42.58196706</v>
      </c>
      <c r="S854" s="41"/>
      <c r="T854" s="41"/>
      <c r="U854" s="41"/>
      <c r="V854" s="41"/>
      <c r="W854" s="41"/>
      <c r="X854" s="41"/>
      <c r="Y854" s="41"/>
      <c r="Z854" s="41"/>
    </row>
    <row r="855" ht="14.25" customHeight="1">
      <c r="A855" s="20">
        <v>854.0</v>
      </c>
      <c r="B855" s="20">
        <v>207.0</v>
      </c>
      <c r="C855" s="20">
        <v>57.0</v>
      </c>
      <c r="D855" s="20">
        <v>2.0</v>
      </c>
      <c r="E855" s="20">
        <f t="shared" si="1"/>
        <v>114</v>
      </c>
      <c r="F855" s="49">
        <v>45344.0</v>
      </c>
      <c r="G855" s="20" t="s">
        <v>54</v>
      </c>
      <c r="H855" s="20">
        <v>152.0</v>
      </c>
      <c r="I855" s="20" t="str">
        <f>VLOOKUP(B855,'товар'!$A$1:$C$433,2,FALSE)</f>
        <v>Сахар</v>
      </c>
      <c r="J855" s="50">
        <f t="shared" si="2"/>
        <v>252.7627119</v>
      </c>
      <c r="K855" s="51">
        <f t="shared" si="3"/>
        <v>-0.7744920539</v>
      </c>
      <c r="L855" s="20" t="str">
        <f>VLOOKUP(B855,'товар'!$A$1:$C$433,3,FALSE)</f>
        <v>Агросахар</v>
      </c>
      <c r="M855" s="52">
        <f t="shared" si="4"/>
        <v>215.8571429</v>
      </c>
      <c r="N855" s="53">
        <f>VLOOKUP(H855,'клиенты'!$A$1:$F$435,5,FALSE)</f>
        <v>44791</v>
      </c>
      <c r="O855" s="20">
        <f t="shared" si="5"/>
        <v>553</v>
      </c>
      <c r="P855" s="20" t="str">
        <f>VLOOKUP(H855,'клиенты'!$A$2:$J$435,10,FALSE)</f>
        <v>Беларусь</v>
      </c>
      <c r="Q855" s="54">
        <f t="shared" si="6"/>
        <v>46078.45901</v>
      </c>
      <c r="R855" s="55">
        <f t="shared" si="7"/>
        <v>42.91530039</v>
      </c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41">
        <v>855.0</v>
      </c>
      <c r="B856" s="41">
        <v>239.0</v>
      </c>
      <c r="C856" s="41">
        <v>397.0</v>
      </c>
      <c r="D856" s="41">
        <v>2.0</v>
      </c>
      <c r="E856" s="41">
        <f t="shared" si="1"/>
        <v>794</v>
      </c>
      <c r="F856" s="42">
        <v>45398.0</v>
      </c>
      <c r="G856" s="41" t="s">
        <v>42</v>
      </c>
      <c r="H856" s="41">
        <v>65.0</v>
      </c>
      <c r="I856" s="41" t="str">
        <f>VLOOKUP(B856,'товар'!$A$1:$C$433,2,FALSE)</f>
        <v>Йогурт</v>
      </c>
      <c r="J856" s="43">
        <f t="shared" si="2"/>
        <v>263.2542373</v>
      </c>
      <c r="K856" s="44">
        <f t="shared" si="3"/>
        <v>0.5080479011</v>
      </c>
      <c r="L856" s="41" t="str">
        <f>VLOOKUP(B856,'товар'!$A$1:$C$433,3,FALSE)</f>
        <v>Эрманн</v>
      </c>
      <c r="M856" s="45">
        <f t="shared" si="4"/>
        <v>248.5</v>
      </c>
      <c r="N856" s="46">
        <f>VLOOKUP(H856,'клиенты'!$A$1:$F$435,5,FALSE)</f>
        <v>44623</v>
      </c>
      <c r="O856" s="41">
        <f t="shared" si="5"/>
        <v>775</v>
      </c>
      <c r="P856" s="41" t="str">
        <f>VLOOKUP(H856,'клиенты'!$A$2:$J$435,10,FALSE)</f>
        <v>Украина</v>
      </c>
      <c r="Q856" s="47">
        <f t="shared" si="6"/>
        <v>46078.45901</v>
      </c>
      <c r="R856" s="48">
        <f t="shared" si="7"/>
        <v>48.51530039</v>
      </c>
      <c r="S856" s="41"/>
      <c r="T856" s="41"/>
      <c r="U856" s="41"/>
      <c r="V856" s="41"/>
      <c r="W856" s="41"/>
      <c r="X856" s="41"/>
      <c r="Y856" s="41"/>
      <c r="Z856" s="41"/>
    </row>
    <row r="857" ht="14.25" customHeight="1">
      <c r="A857" s="20">
        <v>856.0</v>
      </c>
      <c r="B857" s="20">
        <v>367.0</v>
      </c>
      <c r="C857" s="20">
        <v>289.0</v>
      </c>
      <c r="D857" s="20">
        <v>1.0</v>
      </c>
      <c r="E857" s="20">
        <f t="shared" si="1"/>
        <v>289</v>
      </c>
      <c r="F857" s="49">
        <v>45041.0</v>
      </c>
      <c r="G857" s="20" t="s">
        <v>46</v>
      </c>
      <c r="H857" s="20">
        <v>281.0</v>
      </c>
      <c r="I857" s="20" t="str">
        <f>VLOOKUP(B857,'товар'!$A$1:$C$433,2,FALSE)</f>
        <v>Колбаса</v>
      </c>
      <c r="J857" s="50">
        <f t="shared" si="2"/>
        <v>286.9230769</v>
      </c>
      <c r="K857" s="51">
        <f t="shared" si="3"/>
        <v>0.007238605898</v>
      </c>
      <c r="L857" s="20" t="str">
        <f>VLOOKUP(B857,'товар'!$A$1:$C$433,3,FALSE)</f>
        <v>Окраина</v>
      </c>
      <c r="M857" s="52">
        <f t="shared" si="4"/>
        <v>273.5833333</v>
      </c>
      <c r="N857" s="53">
        <f>VLOOKUP(H857,'клиенты'!$A$1:$F$435,5,FALSE)</f>
        <v>44711</v>
      </c>
      <c r="O857" s="20">
        <f t="shared" si="5"/>
        <v>330</v>
      </c>
      <c r="P857" s="20" t="str">
        <f>VLOOKUP(H857,'клиенты'!$A$2:$J$435,10,FALSE)</f>
        <v>Узбекистан</v>
      </c>
      <c r="Q857" s="54">
        <f t="shared" si="6"/>
        <v>46078.45901</v>
      </c>
      <c r="R857" s="55">
        <f t="shared" si="7"/>
        <v>45.58196706</v>
      </c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41">
        <v>857.0</v>
      </c>
      <c r="B858" s="41">
        <v>87.0</v>
      </c>
      <c r="C858" s="41">
        <v>191.0</v>
      </c>
      <c r="D858" s="41">
        <v>3.0</v>
      </c>
      <c r="E858" s="41">
        <f t="shared" si="1"/>
        <v>573</v>
      </c>
      <c r="F858" s="42">
        <v>45125.0</v>
      </c>
      <c r="G858" s="41" t="s">
        <v>47</v>
      </c>
      <c r="H858" s="41">
        <v>430.0</v>
      </c>
      <c r="I858" s="41" t="str">
        <f>VLOOKUP(B858,'товар'!$A$1:$C$433,2,FALSE)</f>
        <v>Кофе</v>
      </c>
      <c r="J858" s="43">
        <f t="shared" si="2"/>
        <v>249.0238095</v>
      </c>
      <c r="K858" s="44">
        <f t="shared" si="3"/>
        <v>-0.2330050674</v>
      </c>
      <c r="L858" s="41" t="str">
        <f>VLOOKUP(B858,'товар'!$A$1:$C$433,3,FALSE)</f>
        <v>Jacobs</v>
      </c>
      <c r="M858" s="45">
        <f t="shared" si="4"/>
        <v>276.2105263</v>
      </c>
      <c r="N858" s="46">
        <f>VLOOKUP(H858,'клиенты'!$A$1:$F$435,5,FALSE)</f>
        <v>44799</v>
      </c>
      <c r="O858" s="41">
        <f t="shared" si="5"/>
        <v>326</v>
      </c>
      <c r="P858" s="41" t="str">
        <f>VLOOKUP(H858,'клиенты'!$A$2:$J$435,10,FALSE)</f>
        <v>Таджикистан</v>
      </c>
      <c r="Q858" s="47">
        <f t="shared" si="6"/>
        <v>46078.45901</v>
      </c>
      <c r="R858" s="48">
        <f t="shared" si="7"/>
        <v>42.64863373</v>
      </c>
      <c r="S858" s="41"/>
      <c r="T858" s="41"/>
      <c r="U858" s="41"/>
      <c r="V858" s="41"/>
      <c r="W858" s="41"/>
      <c r="X858" s="41"/>
      <c r="Y858" s="41"/>
      <c r="Z858" s="41"/>
    </row>
    <row r="859" ht="14.25" customHeight="1">
      <c r="A859" s="20">
        <v>858.0</v>
      </c>
      <c r="B859" s="20">
        <v>309.0</v>
      </c>
      <c r="C859" s="20">
        <v>244.0</v>
      </c>
      <c r="D859" s="20">
        <v>3.0</v>
      </c>
      <c r="E859" s="20">
        <f t="shared" si="1"/>
        <v>732</v>
      </c>
      <c r="F859" s="49">
        <v>45374.0</v>
      </c>
      <c r="G859" s="20" t="s">
        <v>40</v>
      </c>
      <c r="H859" s="20">
        <v>299.0</v>
      </c>
      <c r="I859" s="20" t="str">
        <f>VLOOKUP(B859,'товар'!$A$1:$C$433,2,FALSE)</f>
        <v>Конфеты</v>
      </c>
      <c r="J859" s="50">
        <f t="shared" si="2"/>
        <v>267.8548387</v>
      </c>
      <c r="K859" s="51">
        <f t="shared" si="3"/>
        <v>-0.08905883061</v>
      </c>
      <c r="L859" s="20" t="str">
        <f>VLOOKUP(B859,'товар'!$A$1:$C$433,3,FALSE)</f>
        <v>Рот Фронт</v>
      </c>
      <c r="M859" s="52">
        <f t="shared" si="4"/>
        <v>288.2380952</v>
      </c>
      <c r="N859" s="53">
        <f>VLOOKUP(H859,'клиенты'!$A$1:$F$435,5,FALSE)</f>
        <v>44666</v>
      </c>
      <c r="O859" s="20">
        <f t="shared" si="5"/>
        <v>708</v>
      </c>
      <c r="P859" s="20" t="str">
        <f>VLOOKUP(H859,'клиенты'!$A$2:$J$435,10,FALSE)</f>
        <v>Украина</v>
      </c>
      <c r="Q859" s="54">
        <f t="shared" si="6"/>
        <v>46078.45901</v>
      </c>
      <c r="R859" s="55">
        <f t="shared" si="7"/>
        <v>47.08196706</v>
      </c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41">
        <v>859.0</v>
      </c>
      <c r="B860" s="41">
        <v>271.0</v>
      </c>
      <c r="C860" s="41">
        <v>392.0</v>
      </c>
      <c r="D860" s="41">
        <v>3.0</v>
      </c>
      <c r="E860" s="41">
        <f t="shared" si="1"/>
        <v>1176</v>
      </c>
      <c r="F860" s="42">
        <v>45103.0</v>
      </c>
      <c r="G860" s="41" t="s">
        <v>39</v>
      </c>
      <c r="H860" s="41">
        <v>132.0</v>
      </c>
      <c r="I860" s="41" t="str">
        <f>VLOOKUP(B860,'товар'!$A$1:$C$433,2,FALSE)</f>
        <v>Сыр</v>
      </c>
      <c r="J860" s="43">
        <f t="shared" si="2"/>
        <v>262.6349206</v>
      </c>
      <c r="K860" s="44">
        <f t="shared" si="3"/>
        <v>0.4925661791</v>
      </c>
      <c r="L860" s="41" t="str">
        <f>VLOOKUP(B860,'товар'!$A$1:$C$433,3,FALSE)</f>
        <v>Сырная долина</v>
      </c>
      <c r="M860" s="45">
        <f t="shared" si="4"/>
        <v>271</v>
      </c>
      <c r="N860" s="46">
        <f>VLOOKUP(H860,'клиенты'!$A$1:$F$435,5,FALSE)</f>
        <v>44601</v>
      </c>
      <c r="O860" s="41">
        <f t="shared" si="5"/>
        <v>502</v>
      </c>
      <c r="P860" s="41" t="str">
        <f>VLOOKUP(H860,'клиенты'!$A$2:$J$435,10,FALSE)</f>
        <v>Украина</v>
      </c>
      <c r="Q860" s="47">
        <f t="shared" si="6"/>
        <v>46078.45901</v>
      </c>
      <c r="R860" s="48">
        <f t="shared" si="7"/>
        <v>49.24863373</v>
      </c>
      <c r="S860" s="41"/>
      <c r="T860" s="41"/>
      <c r="U860" s="41"/>
      <c r="V860" s="41"/>
      <c r="W860" s="41"/>
      <c r="X860" s="41"/>
      <c r="Y860" s="41"/>
      <c r="Z860" s="41"/>
    </row>
    <row r="861" ht="14.25" customHeight="1">
      <c r="A861" s="20">
        <v>860.0</v>
      </c>
      <c r="B861" s="20">
        <v>354.0</v>
      </c>
      <c r="C861" s="20">
        <v>493.0</v>
      </c>
      <c r="D861" s="20">
        <v>2.0</v>
      </c>
      <c r="E861" s="20">
        <f t="shared" si="1"/>
        <v>986</v>
      </c>
      <c r="F861" s="49">
        <v>45320.0</v>
      </c>
      <c r="G861" s="20" t="s">
        <v>49</v>
      </c>
      <c r="H861" s="20">
        <v>68.0</v>
      </c>
      <c r="I861" s="20" t="str">
        <f>VLOOKUP(B861,'товар'!$A$1:$C$433,2,FALSE)</f>
        <v>Чай</v>
      </c>
      <c r="J861" s="50">
        <f t="shared" si="2"/>
        <v>271.1818182</v>
      </c>
      <c r="K861" s="51">
        <f t="shared" si="3"/>
        <v>0.8179684881</v>
      </c>
      <c r="L861" s="20" t="str">
        <f>VLOOKUP(B861,'товар'!$A$1:$C$433,3,FALSE)</f>
        <v>Lipton</v>
      </c>
      <c r="M861" s="52">
        <f t="shared" si="4"/>
        <v>260.1578947</v>
      </c>
      <c r="N861" s="53">
        <f>VLOOKUP(H861,'клиенты'!$A$1:$F$435,5,FALSE)</f>
        <v>44882</v>
      </c>
      <c r="O861" s="20">
        <f t="shared" si="5"/>
        <v>438</v>
      </c>
      <c r="P861" s="20" t="str">
        <f>VLOOKUP(H861,'клиенты'!$A$2:$J$435,10,FALSE)</f>
        <v>Узбекистан</v>
      </c>
      <c r="Q861" s="54">
        <f t="shared" si="6"/>
        <v>46078.45901</v>
      </c>
      <c r="R861" s="55">
        <f t="shared" si="7"/>
        <v>39.88196706</v>
      </c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41">
        <v>861.0</v>
      </c>
      <c r="B862" s="41">
        <v>266.0</v>
      </c>
      <c r="C862" s="41">
        <v>339.0</v>
      </c>
      <c r="D862" s="41">
        <v>5.0</v>
      </c>
      <c r="E862" s="41">
        <f t="shared" si="1"/>
        <v>1695</v>
      </c>
      <c r="F862" s="42">
        <v>45358.0</v>
      </c>
      <c r="G862" s="41" t="s">
        <v>46</v>
      </c>
      <c r="H862" s="41">
        <v>42.0</v>
      </c>
      <c r="I862" s="41" t="str">
        <f>VLOOKUP(B862,'товар'!$A$1:$C$433,2,FALSE)</f>
        <v>Рыба</v>
      </c>
      <c r="J862" s="43">
        <f t="shared" si="2"/>
        <v>258.5128205</v>
      </c>
      <c r="K862" s="44">
        <f t="shared" si="3"/>
        <v>0.311346955</v>
      </c>
      <c r="L862" s="41" t="str">
        <f>VLOOKUP(B862,'товар'!$A$1:$C$433,3,FALSE)</f>
        <v>Меридиан</v>
      </c>
      <c r="M862" s="45">
        <f t="shared" si="4"/>
        <v>260.6470588</v>
      </c>
      <c r="N862" s="46">
        <f>VLOOKUP(H862,'клиенты'!$A$1:$F$435,5,FALSE)</f>
        <v>44783</v>
      </c>
      <c r="O862" s="41">
        <f t="shared" si="5"/>
        <v>575</v>
      </c>
      <c r="P862" s="41" t="str">
        <f>VLOOKUP(H862,'клиенты'!$A$2:$J$435,10,FALSE)</f>
        <v>Таджикистан</v>
      </c>
      <c r="Q862" s="47">
        <f t="shared" si="6"/>
        <v>46078.45901</v>
      </c>
      <c r="R862" s="48">
        <f t="shared" si="7"/>
        <v>43.18196706</v>
      </c>
      <c r="S862" s="41"/>
      <c r="T862" s="41"/>
      <c r="U862" s="41"/>
      <c r="V862" s="41"/>
      <c r="W862" s="41"/>
      <c r="X862" s="41"/>
      <c r="Y862" s="41"/>
      <c r="Z862" s="41"/>
    </row>
    <row r="863" ht="14.25" customHeight="1">
      <c r="A863" s="20">
        <v>862.0</v>
      </c>
      <c r="B863" s="20">
        <v>441.0</v>
      </c>
      <c r="C863" s="20">
        <v>316.0</v>
      </c>
      <c r="D863" s="20">
        <v>4.0</v>
      </c>
      <c r="E863" s="20">
        <f t="shared" si="1"/>
        <v>1264</v>
      </c>
      <c r="F863" s="49">
        <v>45410.0</v>
      </c>
      <c r="G863" s="20" t="s">
        <v>50</v>
      </c>
      <c r="H863" s="20">
        <v>488.0</v>
      </c>
      <c r="I863" s="20" t="str">
        <f>VLOOKUP(B863,'товар'!$A$1:$C$433,2,FALSE)</f>
        <v>Чай</v>
      </c>
      <c r="J863" s="50">
        <f t="shared" si="2"/>
        <v>271.1818182</v>
      </c>
      <c r="K863" s="51">
        <f t="shared" si="3"/>
        <v>0.1652698626</v>
      </c>
      <c r="L863" s="20" t="str">
        <f>VLOOKUP(B863,'товар'!$A$1:$C$433,3,FALSE)</f>
        <v>Lipton</v>
      </c>
      <c r="M863" s="52">
        <f t="shared" si="4"/>
        <v>260.1578947</v>
      </c>
      <c r="N863" s="53">
        <f>VLOOKUP(H863,'клиенты'!$A$1:$F$435,5,FALSE)</f>
        <v>44738</v>
      </c>
      <c r="O863" s="20">
        <f t="shared" si="5"/>
        <v>672</v>
      </c>
      <c r="P863" s="20" t="str">
        <f>VLOOKUP(H863,'клиенты'!$A$2:$J$435,10,FALSE)</f>
        <v>Беларусь</v>
      </c>
      <c r="Q863" s="54">
        <f t="shared" si="6"/>
        <v>46078.45901</v>
      </c>
      <c r="R863" s="55">
        <f t="shared" si="7"/>
        <v>44.68196706</v>
      </c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41">
        <v>863.0</v>
      </c>
      <c r="B864" s="41">
        <v>245.0</v>
      </c>
      <c r="C864" s="41">
        <v>284.0</v>
      </c>
      <c r="D864" s="41">
        <v>4.0</v>
      </c>
      <c r="E864" s="41">
        <f t="shared" si="1"/>
        <v>1136</v>
      </c>
      <c r="F864" s="42">
        <v>45405.0</v>
      </c>
      <c r="G864" s="41" t="s">
        <v>41</v>
      </c>
      <c r="H864" s="41">
        <v>324.0</v>
      </c>
      <c r="I864" s="41" t="str">
        <f>VLOOKUP(B864,'товар'!$A$1:$C$433,2,FALSE)</f>
        <v>Сахар</v>
      </c>
      <c r="J864" s="43">
        <f t="shared" si="2"/>
        <v>252.7627119</v>
      </c>
      <c r="K864" s="44">
        <f t="shared" si="3"/>
        <v>0.1235834507</v>
      </c>
      <c r="L864" s="41" t="str">
        <f>VLOOKUP(B864,'товар'!$A$1:$C$433,3,FALSE)</f>
        <v>Продимекс</v>
      </c>
      <c r="M864" s="45">
        <f t="shared" si="4"/>
        <v>240.5</v>
      </c>
      <c r="N864" s="46">
        <f>VLOOKUP(H864,'клиенты'!$A$1:$F$435,5,FALSE)</f>
        <v>44761</v>
      </c>
      <c r="O864" s="41">
        <f t="shared" si="5"/>
        <v>644</v>
      </c>
      <c r="P864" s="41" t="str">
        <f>VLOOKUP(H864,'клиенты'!$A$2:$J$435,10,FALSE)</f>
        <v>Узбекистан</v>
      </c>
      <c r="Q864" s="47">
        <f t="shared" si="6"/>
        <v>46078.45901</v>
      </c>
      <c r="R864" s="48">
        <f t="shared" si="7"/>
        <v>43.91530039</v>
      </c>
      <c r="S864" s="41"/>
      <c r="T864" s="41"/>
      <c r="U864" s="41"/>
      <c r="V864" s="41"/>
      <c r="W864" s="41"/>
      <c r="X864" s="41"/>
      <c r="Y864" s="41"/>
      <c r="Z864" s="41"/>
    </row>
    <row r="865" ht="14.25" customHeight="1">
      <c r="A865" s="20">
        <v>864.0</v>
      </c>
      <c r="B865" s="20">
        <v>369.0</v>
      </c>
      <c r="C865" s="20">
        <v>206.0</v>
      </c>
      <c r="D865" s="20">
        <v>4.0</v>
      </c>
      <c r="E865" s="20">
        <f t="shared" si="1"/>
        <v>824</v>
      </c>
      <c r="F865" s="49">
        <v>45132.0</v>
      </c>
      <c r="G865" s="20" t="s">
        <v>48</v>
      </c>
      <c r="H865" s="20">
        <v>346.0</v>
      </c>
      <c r="I865" s="20" t="str">
        <f>VLOOKUP(B865,'товар'!$A$1:$C$433,2,FALSE)</f>
        <v>Молоко</v>
      </c>
      <c r="J865" s="50">
        <f t="shared" si="2"/>
        <v>294.952381</v>
      </c>
      <c r="K865" s="51">
        <f t="shared" si="3"/>
        <v>-0.3015821763</v>
      </c>
      <c r="L865" s="20" t="str">
        <f>VLOOKUP(B865,'товар'!$A$1:$C$433,3,FALSE)</f>
        <v>Домик в деревне</v>
      </c>
      <c r="M865" s="52">
        <f t="shared" si="4"/>
        <v>274.7777778</v>
      </c>
      <c r="N865" s="53">
        <f>VLOOKUP(H865,'клиенты'!$A$1:$F$435,5,FALSE)</f>
        <v>44636</v>
      </c>
      <c r="O865" s="20">
        <f t="shared" si="5"/>
        <v>496</v>
      </c>
      <c r="P865" s="20" t="str">
        <f>VLOOKUP(H865,'клиенты'!$A$2:$J$435,10,FALSE)</f>
        <v>Россия</v>
      </c>
      <c r="Q865" s="54">
        <f t="shared" si="6"/>
        <v>46078.45901</v>
      </c>
      <c r="R865" s="55">
        <f t="shared" si="7"/>
        <v>48.08196706</v>
      </c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41">
        <v>865.0</v>
      </c>
      <c r="B866" s="41">
        <v>176.0</v>
      </c>
      <c r="C866" s="41">
        <v>217.0</v>
      </c>
      <c r="D866" s="41">
        <v>4.0</v>
      </c>
      <c r="E866" s="41">
        <f t="shared" si="1"/>
        <v>868</v>
      </c>
      <c r="F866" s="42">
        <v>45135.0</v>
      </c>
      <c r="G866" s="41" t="s">
        <v>53</v>
      </c>
      <c r="H866" s="41">
        <v>313.0</v>
      </c>
      <c r="I866" s="41" t="str">
        <f>VLOOKUP(B866,'товар'!$A$1:$C$433,2,FALSE)</f>
        <v>Сахар</v>
      </c>
      <c r="J866" s="43">
        <f t="shared" si="2"/>
        <v>252.7627119</v>
      </c>
      <c r="K866" s="44">
        <f t="shared" si="3"/>
        <v>-0.141487293</v>
      </c>
      <c r="L866" s="41" t="str">
        <f>VLOOKUP(B866,'товар'!$A$1:$C$433,3,FALSE)</f>
        <v>Продимекс</v>
      </c>
      <c r="M866" s="45">
        <f t="shared" si="4"/>
        <v>240.5</v>
      </c>
      <c r="N866" s="46">
        <f>VLOOKUP(H866,'клиенты'!$A$1:$F$435,5,FALSE)</f>
        <v>44896</v>
      </c>
      <c r="O866" s="41">
        <f t="shared" si="5"/>
        <v>239</v>
      </c>
      <c r="P866" s="41" t="str">
        <f>VLOOKUP(H866,'клиенты'!$A$2:$J$435,10,FALSE)</f>
        <v>Узбекистан</v>
      </c>
      <c r="Q866" s="47">
        <f t="shared" si="6"/>
        <v>46078.45901</v>
      </c>
      <c r="R866" s="48">
        <f t="shared" si="7"/>
        <v>39.41530039</v>
      </c>
      <c r="S866" s="41"/>
      <c r="T866" s="41"/>
      <c r="U866" s="41"/>
      <c r="V866" s="41"/>
      <c r="W866" s="41"/>
      <c r="X866" s="41"/>
      <c r="Y866" s="41"/>
      <c r="Z866" s="41"/>
    </row>
    <row r="867" ht="14.25" customHeight="1">
      <c r="A867" s="20">
        <v>866.0</v>
      </c>
      <c r="B867" s="20">
        <v>467.0</v>
      </c>
      <c r="C867" s="20">
        <v>72.0</v>
      </c>
      <c r="D867" s="20">
        <v>2.0</v>
      </c>
      <c r="E867" s="20">
        <f t="shared" si="1"/>
        <v>144</v>
      </c>
      <c r="F867" s="49">
        <v>45050.0</v>
      </c>
      <c r="G867" s="20" t="s">
        <v>43</v>
      </c>
      <c r="H867" s="20">
        <v>233.0</v>
      </c>
      <c r="I867" s="20" t="str">
        <f>VLOOKUP(B867,'товар'!$A$1:$C$433,2,FALSE)</f>
        <v>Макароны</v>
      </c>
      <c r="J867" s="50">
        <f t="shared" si="2"/>
        <v>265.4767442</v>
      </c>
      <c r="K867" s="51">
        <f t="shared" si="3"/>
        <v>-0.7287898033</v>
      </c>
      <c r="L867" s="20" t="str">
        <f>VLOOKUP(B867,'товар'!$A$1:$C$433,3,FALSE)</f>
        <v>Борилла</v>
      </c>
      <c r="M867" s="52">
        <f t="shared" si="4"/>
        <v>236.2758621</v>
      </c>
      <c r="N867" s="53">
        <f>VLOOKUP(H867,'клиенты'!$A$1:$F$435,5,FALSE)</f>
        <v>44616</v>
      </c>
      <c r="O867" s="20">
        <f t="shared" si="5"/>
        <v>434</v>
      </c>
      <c r="P867" s="20" t="str">
        <f>VLOOKUP(H867,'клиенты'!$A$2:$J$435,10,FALSE)</f>
        <v>Таджикистан</v>
      </c>
      <c r="Q867" s="54">
        <f t="shared" si="6"/>
        <v>46078.45901</v>
      </c>
      <c r="R867" s="55">
        <f t="shared" si="7"/>
        <v>48.74863373</v>
      </c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41">
        <v>867.0</v>
      </c>
      <c r="B868" s="41">
        <v>237.0</v>
      </c>
      <c r="C868" s="41">
        <v>121.0</v>
      </c>
      <c r="D868" s="41">
        <v>3.0</v>
      </c>
      <c r="E868" s="41">
        <f t="shared" si="1"/>
        <v>363</v>
      </c>
      <c r="F868" s="42">
        <v>45240.0</v>
      </c>
      <c r="G868" s="41" t="s">
        <v>47</v>
      </c>
      <c r="H868" s="41">
        <v>77.0</v>
      </c>
      <c r="I868" s="41" t="str">
        <f>VLOOKUP(B868,'товар'!$A$1:$C$433,2,FALSE)</f>
        <v>Конфеты</v>
      </c>
      <c r="J868" s="43">
        <f t="shared" si="2"/>
        <v>267.8548387</v>
      </c>
      <c r="K868" s="44">
        <f t="shared" si="3"/>
        <v>-0.5482627808</v>
      </c>
      <c r="L868" s="41" t="str">
        <f>VLOOKUP(B868,'товар'!$A$1:$C$433,3,FALSE)</f>
        <v>Рот Фронт</v>
      </c>
      <c r="M868" s="45">
        <f t="shared" si="4"/>
        <v>288.2380952</v>
      </c>
      <c r="N868" s="46">
        <f>VLOOKUP(H868,'клиенты'!$A$1:$F$435,5,FALSE)</f>
        <v>44644</v>
      </c>
      <c r="O868" s="41">
        <f t="shared" si="5"/>
        <v>596</v>
      </c>
      <c r="P868" s="41" t="str">
        <f>VLOOKUP(H868,'клиенты'!$A$2:$J$435,10,FALSE)</f>
        <v>Россия</v>
      </c>
      <c r="Q868" s="47">
        <f t="shared" si="6"/>
        <v>46078.45901</v>
      </c>
      <c r="R868" s="48">
        <f t="shared" si="7"/>
        <v>47.81530039</v>
      </c>
      <c r="S868" s="41"/>
      <c r="T868" s="41"/>
      <c r="U868" s="41"/>
      <c r="V868" s="41"/>
      <c r="W868" s="41"/>
      <c r="X868" s="41"/>
      <c r="Y868" s="41"/>
      <c r="Z868" s="41"/>
    </row>
    <row r="869" ht="14.25" customHeight="1">
      <c r="A869" s="20">
        <v>868.0</v>
      </c>
      <c r="B869" s="20">
        <v>300.0</v>
      </c>
      <c r="C869" s="20">
        <v>140.0</v>
      </c>
      <c r="D869" s="20">
        <v>4.0</v>
      </c>
      <c r="E869" s="20">
        <f t="shared" si="1"/>
        <v>560</v>
      </c>
      <c r="F869" s="49">
        <v>45317.0</v>
      </c>
      <c r="G869" s="20" t="s">
        <v>48</v>
      </c>
      <c r="H869" s="20">
        <v>107.0</v>
      </c>
      <c r="I869" s="20" t="str">
        <f>VLOOKUP(B869,'товар'!$A$1:$C$433,2,FALSE)</f>
        <v>Сахар</v>
      </c>
      <c r="J869" s="50">
        <f t="shared" si="2"/>
        <v>252.7627119</v>
      </c>
      <c r="K869" s="51">
        <f t="shared" si="3"/>
        <v>-0.4461208342</v>
      </c>
      <c r="L869" s="20" t="str">
        <f>VLOOKUP(B869,'товар'!$A$1:$C$433,3,FALSE)</f>
        <v>Продимекс</v>
      </c>
      <c r="M869" s="52">
        <f t="shared" si="4"/>
        <v>240.5</v>
      </c>
      <c r="N869" s="53">
        <f>VLOOKUP(H869,'клиенты'!$A$1:$F$435,5,FALSE)</f>
        <v>44744</v>
      </c>
      <c r="O869" s="20">
        <f t="shared" si="5"/>
        <v>573</v>
      </c>
      <c r="P869" s="20" t="str">
        <f>VLOOKUP(H869,'клиенты'!$A$2:$J$435,10,FALSE)</f>
        <v>Таджикистан</v>
      </c>
      <c r="Q869" s="54">
        <f t="shared" si="6"/>
        <v>46078.45901</v>
      </c>
      <c r="R869" s="55">
        <f t="shared" si="7"/>
        <v>44.48196706</v>
      </c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41">
        <v>869.0</v>
      </c>
      <c r="B870" s="41">
        <v>137.0</v>
      </c>
      <c r="C870" s="41">
        <v>295.0</v>
      </c>
      <c r="D870" s="41">
        <v>2.0</v>
      </c>
      <c r="E870" s="41">
        <f t="shared" si="1"/>
        <v>590</v>
      </c>
      <c r="F870" s="42">
        <v>45111.0</v>
      </c>
      <c r="G870" s="41" t="s">
        <v>54</v>
      </c>
      <c r="H870" s="41">
        <v>375.0</v>
      </c>
      <c r="I870" s="41" t="str">
        <f>VLOOKUP(B870,'товар'!$A$1:$C$433,2,FALSE)</f>
        <v>Фрукты</v>
      </c>
      <c r="J870" s="43">
        <f t="shared" si="2"/>
        <v>274.1627907</v>
      </c>
      <c r="K870" s="44">
        <f t="shared" si="3"/>
        <v>0.07600305369</v>
      </c>
      <c r="L870" s="41" t="str">
        <f>VLOOKUP(B870,'товар'!$A$1:$C$433,3,FALSE)</f>
        <v>Экзотик</v>
      </c>
      <c r="M870" s="45">
        <f t="shared" si="4"/>
        <v>253.6875</v>
      </c>
      <c r="N870" s="46">
        <f>VLOOKUP(H870,'клиенты'!$A$1:$F$435,5,FALSE)</f>
        <v>44674</v>
      </c>
      <c r="O870" s="41">
        <f t="shared" si="5"/>
        <v>437</v>
      </c>
      <c r="P870" s="41" t="str">
        <f>VLOOKUP(H870,'клиенты'!$A$2:$J$435,10,FALSE)</f>
        <v>Россия</v>
      </c>
      <c r="Q870" s="47">
        <f t="shared" si="6"/>
        <v>46078.45901</v>
      </c>
      <c r="R870" s="48">
        <f t="shared" si="7"/>
        <v>46.81530039</v>
      </c>
      <c r="S870" s="41"/>
      <c r="T870" s="41"/>
      <c r="U870" s="41"/>
      <c r="V870" s="41"/>
      <c r="W870" s="41"/>
      <c r="X870" s="41"/>
      <c r="Y870" s="41"/>
      <c r="Z870" s="41"/>
    </row>
    <row r="871" ht="14.25" customHeight="1">
      <c r="A871" s="20">
        <v>870.0</v>
      </c>
      <c r="B871" s="20">
        <v>194.0</v>
      </c>
      <c r="C871" s="20">
        <v>325.0</v>
      </c>
      <c r="D871" s="20">
        <v>4.0</v>
      </c>
      <c r="E871" s="20">
        <f t="shared" si="1"/>
        <v>1300</v>
      </c>
      <c r="F871" s="49">
        <v>45319.0</v>
      </c>
      <c r="G871" s="20" t="s">
        <v>38</v>
      </c>
      <c r="H871" s="20">
        <v>62.0</v>
      </c>
      <c r="I871" s="20" t="str">
        <f>VLOOKUP(B871,'товар'!$A$1:$C$433,2,FALSE)</f>
        <v>Соль</v>
      </c>
      <c r="J871" s="50">
        <f t="shared" si="2"/>
        <v>264.8679245</v>
      </c>
      <c r="K871" s="51">
        <f t="shared" si="3"/>
        <v>0.227026642</v>
      </c>
      <c r="L871" s="20" t="str">
        <f>VLOOKUP(B871,'товар'!$A$1:$C$433,3,FALSE)</f>
        <v>Салта</v>
      </c>
      <c r="M871" s="52">
        <f t="shared" si="4"/>
        <v>273.7</v>
      </c>
      <c r="N871" s="53">
        <f>VLOOKUP(H871,'клиенты'!$A$1:$F$435,5,FALSE)</f>
        <v>44671</v>
      </c>
      <c r="O871" s="20">
        <f t="shared" si="5"/>
        <v>648</v>
      </c>
      <c r="P871" s="20" t="str">
        <f>VLOOKUP(H871,'клиенты'!$A$2:$J$435,10,FALSE)</f>
        <v>Россия</v>
      </c>
      <c r="Q871" s="54">
        <f t="shared" si="6"/>
        <v>46078.45901</v>
      </c>
      <c r="R871" s="55">
        <f t="shared" si="7"/>
        <v>46.91530039</v>
      </c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41">
        <v>871.0</v>
      </c>
      <c r="B872" s="41">
        <v>215.0</v>
      </c>
      <c r="C872" s="41">
        <v>147.0</v>
      </c>
      <c r="D872" s="41">
        <v>3.0</v>
      </c>
      <c r="E872" s="41">
        <f t="shared" si="1"/>
        <v>441</v>
      </c>
      <c r="F872" s="42">
        <v>45173.0</v>
      </c>
      <c r="G872" s="41" t="s">
        <v>43</v>
      </c>
      <c r="H872" s="41">
        <v>368.0</v>
      </c>
      <c r="I872" s="41" t="str">
        <f>VLOOKUP(B872,'товар'!$A$1:$C$433,2,FALSE)</f>
        <v>Сок</v>
      </c>
      <c r="J872" s="43">
        <f t="shared" si="2"/>
        <v>268.6034483</v>
      </c>
      <c r="K872" s="44">
        <f t="shared" si="3"/>
        <v>-0.4527248219</v>
      </c>
      <c r="L872" s="41" t="str">
        <f>VLOOKUP(B872,'товар'!$A$1:$C$433,3,FALSE)</f>
        <v>Фруктовый сад</v>
      </c>
      <c r="M872" s="45">
        <f t="shared" si="4"/>
        <v>281.96875</v>
      </c>
      <c r="N872" s="46">
        <f>VLOOKUP(H872,'клиенты'!$A$1:$F$435,5,FALSE)</f>
        <v>44872</v>
      </c>
      <c r="O872" s="41">
        <f t="shared" si="5"/>
        <v>301</v>
      </c>
      <c r="P872" s="41" t="str">
        <f>VLOOKUP(H872,'клиенты'!$A$2:$J$435,10,FALSE)</f>
        <v>Узбекистан</v>
      </c>
      <c r="Q872" s="47">
        <f t="shared" si="6"/>
        <v>46078.45901</v>
      </c>
      <c r="R872" s="48">
        <f t="shared" si="7"/>
        <v>40.21530039</v>
      </c>
      <c r="S872" s="41"/>
      <c r="T872" s="41"/>
      <c r="U872" s="41"/>
      <c r="V872" s="41"/>
      <c r="W872" s="41"/>
      <c r="X872" s="41"/>
      <c r="Y872" s="41"/>
      <c r="Z872" s="41"/>
    </row>
    <row r="873" ht="14.25" customHeight="1">
      <c r="A873" s="20">
        <v>872.0</v>
      </c>
      <c r="B873" s="20">
        <v>307.0</v>
      </c>
      <c r="C873" s="20">
        <v>419.0</v>
      </c>
      <c r="D873" s="20">
        <v>1.0</v>
      </c>
      <c r="E873" s="20">
        <f t="shared" si="1"/>
        <v>419</v>
      </c>
      <c r="F873" s="49">
        <v>45189.0</v>
      </c>
      <c r="G873" s="20" t="s">
        <v>36</v>
      </c>
      <c r="H873" s="20">
        <v>64.0</v>
      </c>
      <c r="I873" s="20" t="str">
        <f>VLOOKUP(B873,'товар'!$A$1:$C$433,2,FALSE)</f>
        <v>Сыр</v>
      </c>
      <c r="J873" s="50">
        <f t="shared" si="2"/>
        <v>262.6349206</v>
      </c>
      <c r="K873" s="51">
        <f t="shared" si="3"/>
        <v>0.5953704823</v>
      </c>
      <c r="L873" s="20" t="str">
        <f>VLOOKUP(B873,'товар'!$A$1:$C$433,3,FALSE)</f>
        <v>Карат</v>
      </c>
      <c r="M873" s="52">
        <f t="shared" si="4"/>
        <v>311.3333333</v>
      </c>
      <c r="N873" s="53">
        <f>VLOOKUP(H873,'клиенты'!$A$1:$F$435,5,FALSE)</f>
        <v>44707</v>
      </c>
      <c r="O873" s="20">
        <f t="shared" si="5"/>
        <v>482</v>
      </c>
      <c r="P873" s="20" t="str">
        <f>VLOOKUP(H873,'клиенты'!$A$2:$J$435,10,FALSE)</f>
        <v>Узбекистан</v>
      </c>
      <c r="Q873" s="54">
        <f t="shared" si="6"/>
        <v>46078.45901</v>
      </c>
      <c r="R873" s="55">
        <f t="shared" si="7"/>
        <v>45.71530039</v>
      </c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41">
        <v>873.0</v>
      </c>
      <c r="B874" s="41">
        <v>424.0</v>
      </c>
      <c r="C874" s="41">
        <v>457.0</v>
      </c>
      <c r="D874" s="41">
        <v>1.0</v>
      </c>
      <c r="E874" s="41">
        <f t="shared" si="1"/>
        <v>457</v>
      </c>
      <c r="F874" s="42">
        <v>45099.0</v>
      </c>
      <c r="G874" s="41" t="s">
        <v>35</v>
      </c>
      <c r="H874" s="41">
        <v>286.0</v>
      </c>
      <c r="I874" s="41" t="str">
        <f>VLOOKUP(B874,'товар'!$A$1:$C$433,2,FALSE)</f>
        <v>Печенье</v>
      </c>
      <c r="J874" s="43">
        <f t="shared" si="2"/>
        <v>283.4680851</v>
      </c>
      <c r="K874" s="44">
        <f t="shared" si="3"/>
        <v>0.6121744352</v>
      </c>
      <c r="L874" s="41" t="str">
        <f>VLOOKUP(B874,'товар'!$A$1:$C$433,3,FALSE)</f>
        <v>КДВ</v>
      </c>
      <c r="M874" s="45">
        <f t="shared" si="4"/>
        <v>323.0769231</v>
      </c>
      <c r="N874" s="46">
        <f>VLOOKUP(H874,'клиенты'!$A$1:$F$435,5,FALSE)</f>
        <v>44563</v>
      </c>
      <c r="O874" s="41">
        <f t="shared" si="5"/>
        <v>536</v>
      </c>
      <c r="P874" s="41" t="str">
        <f>VLOOKUP(H874,'клиенты'!$A$2:$J$435,10,FALSE)</f>
        <v>Таджикистан</v>
      </c>
      <c r="Q874" s="47">
        <f t="shared" si="6"/>
        <v>46078.45901</v>
      </c>
      <c r="R874" s="48">
        <f t="shared" si="7"/>
        <v>50.51530039</v>
      </c>
      <c r="S874" s="41"/>
      <c r="T874" s="41"/>
      <c r="U874" s="41"/>
      <c r="V874" s="41"/>
      <c r="W874" s="41"/>
      <c r="X874" s="41"/>
      <c r="Y874" s="41"/>
      <c r="Z874" s="41"/>
    </row>
    <row r="875" ht="14.25" customHeight="1">
      <c r="A875" s="20">
        <v>874.0</v>
      </c>
      <c r="B875" s="20">
        <v>439.0</v>
      </c>
      <c r="C875" s="20">
        <v>392.0</v>
      </c>
      <c r="D875" s="20">
        <v>2.0</v>
      </c>
      <c r="E875" s="20">
        <f t="shared" si="1"/>
        <v>784</v>
      </c>
      <c r="F875" s="49">
        <v>45135.0</v>
      </c>
      <c r="G875" s="20" t="s">
        <v>41</v>
      </c>
      <c r="H875" s="20">
        <v>74.0</v>
      </c>
      <c r="I875" s="20" t="str">
        <f>VLOOKUP(B875,'товар'!$A$1:$C$433,2,FALSE)</f>
        <v>Сок</v>
      </c>
      <c r="J875" s="50">
        <f t="shared" si="2"/>
        <v>268.6034483</v>
      </c>
      <c r="K875" s="51">
        <f t="shared" si="3"/>
        <v>0.459400475</v>
      </c>
      <c r="L875" s="20" t="str">
        <f>VLOOKUP(B875,'товар'!$A$1:$C$433,3,FALSE)</f>
        <v>Добрый</v>
      </c>
      <c r="M875" s="52">
        <f t="shared" si="4"/>
        <v>242.8181818</v>
      </c>
      <c r="N875" s="53">
        <f>VLOOKUP(H875,'клиенты'!$A$1:$F$435,5,FALSE)</f>
        <v>44857</v>
      </c>
      <c r="O875" s="20">
        <f t="shared" si="5"/>
        <v>278</v>
      </c>
      <c r="P875" s="20" t="str">
        <f>VLOOKUP(H875,'клиенты'!$A$2:$J$435,10,FALSE)</f>
        <v>Россия</v>
      </c>
      <c r="Q875" s="54">
        <f t="shared" si="6"/>
        <v>46078.45901</v>
      </c>
      <c r="R875" s="55">
        <f t="shared" si="7"/>
        <v>40.71530039</v>
      </c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41">
        <v>875.0</v>
      </c>
      <c r="B876" s="41">
        <v>83.0</v>
      </c>
      <c r="C876" s="41">
        <v>282.0</v>
      </c>
      <c r="D876" s="41">
        <v>5.0</v>
      </c>
      <c r="E876" s="41">
        <f t="shared" si="1"/>
        <v>1410</v>
      </c>
      <c r="F876" s="42">
        <v>44970.0</v>
      </c>
      <c r="G876" s="41" t="s">
        <v>53</v>
      </c>
      <c r="H876" s="41">
        <v>6.0</v>
      </c>
      <c r="I876" s="41" t="str">
        <f>VLOOKUP(B876,'товар'!$A$1:$C$433,2,FALSE)</f>
        <v>Сок</v>
      </c>
      <c r="J876" s="43">
        <f t="shared" si="2"/>
        <v>268.6034483</v>
      </c>
      <c r="K876" s="44">
        <f t="shared" si="3"/>
        <v>0.0498748315</v>
      </c>
      <c r="L876" s="41" t="str">
        <f>VLOOKUP(B876,'товар'!$A$1:$C$433,3,FALSE)</f>
        <v>Сады Придонья</v>
      </c>
      <c r="M876" s="45">
        <f t="shared" si="4"/>
        <v>254.1818182</v>
      </c>
      <c r="N876" s="46">
        <f>VLOOKUP(H876,'клиенты'!$A$1:$F$435,5,FALSE)</f>
        <v>44710</v>
      </c>
      <c r="O876" s="41">
        <f t="shared" si="5"/>
        <v>260</v>
      </c>
      <c r="P876" s="41" t="str">
        <f>VLOOKUP(H876,'клиенты'!$A$2:$J$435,10,FALSE)</f>
        <v>Украина</v>
      </c>
      <c r="Q876" s="47">
        <f t="shared" si="6"/>
        <v>46078.45901</v>
      </c>
      <c r="R876" s="48">
        <f t="shared" si="7"/>
        <v>45.61530039</v>
      </c>
      <c r="S876" s="41"/>
      <c r="T876" s="41"/>
      <c r="U876" s="41"/>
      <c r="V876" s="41"/>
      <c r="W876" s="41"/>
      <c r="X876" s="41"/>
      <c r="Y876" s="41"/>
      <c r="Z876" s="41"/>
    </row>
    <row r="877" ht="14.25" customHeight="1">
      <c r="A877" s="20">
        <v>876.0</v>
      </c>
      <c r="B877" s="20">
        <v>329.0</v>
      </c>
      <c r="C877" s="20">
        <v>265.0</v>
      </c>
      <c r="D877" s="20">
        <v>2.0</v>
      </c>
      <c r="E877" s="20">
        <f t="shared" si="1"/>
        <v>530</v>
      </c>
      <c r="F877" s="49">
        <v>45413.0</v>
      </c>
      <c r="G877" s="20" t="s">
        <v>50</v>
      </c>
      <c r="H877" s="20">
        <v>258.0</v>
      </c>
      <c r="I877" s="20" t="str">
        <f>VLOOKUP(B877,'товар'!$A$1:$C$433,2,FALSE)</f>
        <v>Соль</v>
      </c>
      <c r="J877" s="50">
        <f t="shared" si="2"/>
        <v>264.8679245</v>
      </c>
      <c r="K877" s="51">
        <f t="shared" si="3"/>
        <v>0.0004986465308</v>
      </c>
      <c r="L877" s="20" t="str">
        <f>VLOOKUP(B877,'товар'!$A$1:$C$433,3,FALSE)</f>
        <v>Славянская</v>
      </c>
      <c r="M877" s="52">
        <f t="shared" si="4"/>
        <v>236.9166667</v>
      </c>
      <c r="N877" s="53">
        <f>VLOOKUP(H877,'клиенты'!$A$1:$F$435,5,FALSE)</f>
        <v>44717</v>
      </c>
      <c r="O877" s="20">
        <f t="shared" si="5"/>
        <v>696</v>
      </c>
      <c r="P877" s="20" t="str">
        <f>VLOOKUP(H877,'клиенты'!$A$2:$J$435,10,FALSE)</f>
        <v>Украина</v>
      </c>
      <c r="Q877" s="54">
        <f t="shared" si="6"/>
        <v>46078.45901</v>
      </c>
      <c r="R877" s="55">
        <f t="shared" si="7"/>
        <v>45.38196706</v>
      </c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41">
        <v>877.0</v>
      </c>
      <c r="B878" s="41">
        <v>91.0</v>
      </c>
      <c r="C878" s="41">
        <v>146.0</v>
      </c>
      <c r="D878" s="41">
        <v>1.0</v>
      </c>
      <c r="E878" s="41">
        <f t="shared" si="1"/>
        <v>146</v>
      </c>
      <c r="F878" s="42">
        <v>45022.0</v>
      </c>
      <c r="G878" s="41" t="s">
        <v>49</v>
      </c>
      <c r="H878" s="41">
        <v>138.0</v>
      </c>
      <c r="I878" s="41" t="str">
        <f>VLOOKUP(B878,'товар'!$A$1:$C$433,2,FALSE)</f>
        <v>Сыр</v>
      </c>
      <c r="J878" s="43">
        <f t="shared" si="2"/>
        <v>262.6349206</v>
      </c>
      <c r="K878" s="44">
        <f t="shared" si="3"/>
        <v>-0.4440952496</v>
      </c>
      <c r="L878" s="41" t="str">
        <f>VLOOKUP(B878,'товар'!$A$1:$C$433,3,FALSE)</f>
        <v>Сырная долина</v>
      </c>
      <c r="M878" s="45">
        <f t="shared" si="4"/>
        <v>271</v>
      </c>
      <c r="N878" s="46">
        <f>VLOOKUP(H878,'клиенты'!$A$1:$F$435,5,FALSE)</f>
        <v>44723</v>
      </c>
      <c r="O878" s="41">
        <f t="shared" si="5"/>
        <v>299</v>
      </c>
      <c r="P878" s="41" t="str">
        <f>VLOOKUP(H878,'клиенты'!$A$2:$J$435,10,FALSE)</f>
        <v>Украина</v>
      </c>
      <c r="Q878" s="47">
        <f t="shared" si="6"/>
        <v>46078.45901</v>
      </c>
      <c r="R878" s="48">
        <f t="shared" si="7"/>
        <v>45.18196706</v>
      </c>
      <c r="S878" s="41"/>
      <c r="T878" s="41"/>
      <c r="U878" s="41"/>
      <c r="V878" s="41"/>
      <c r="W878" s="41"/>
      <c r="X878" s="41"/>
      <c r="Y878" s="41"/>
      <c r="Z878" s="41"/>
    </row>
    <row r="879" ht="14.25" customHeight="1">
      <c r="A879" s="20">
        <v>878.0</v>
      </c>
      <c r="B879" s="20">
        <v>296.0</v>
      </c>
      <c r="C879" s="20">
        <v>58.0</v>
      </c>
      <c r="D879" s="20">
        <v>2.0</v>
      </c>
      <c r="E879" s="20">
        <f t="shared" si="1"/>
        <v>116</v>
      </c>
      <c r="F879" s="49">
        <v>45401.0</v>
      </c>
      <c r="G879" s="20" t="s">
        <v>45</v>
      </c>
      <c r="H879" s="20">
        <v>419.0</v>
      </c>
      <c r="I879" s="20" t="str">
        <f>VLOOKUP(B879,'товар'!$A$1:$C$433,2,FALSE)</f>
        <v>Крупа</v>
      </c>
      <c r="J879" s="50">
        <f t="shared" si="2"/>
        <v>255.1162791</v>
      </c>
      <c r="K879" s="51">
        <f t="shared" si="3"/>
        <v>-0.7726526892</v>
      </c>
      <c r="L879" s="20" t="str">
        <f>VLOOKUP(B879,'товар'!$A$1:$C$433,3,FALSE)</f>
        <v>Мистраль</v>
      </c>
      <c r="M879" s="52">
        <f t="shared" si="4"/>
        <v>250.3076923</v>
      </c>
      <c r="N879" s="53">
        <f>VLOOKUP(H879,'клиенты'!$A$1:$F$435,5,FALSE)</f>
        <v>44869</v>
      </c>
      <c r="O879" s="20">
        <f t="shared" si="5"/>
        <v>532</v>
      </c>
      <c r="P879" s="20" t="str">
        <f>VLOOKUP(H879,'клиенты'!$A$2:$J$435,10,FALSE)</f>
        <v>Таджикистан</v>
      </c>
      <c r="Q879" s="54">
        <f t="shared" si="6"/>
        <v>46078.45901</v>
      </c>
      <c r="R879" s="55">
        <f t="shared" si="7"/>
        <v>40.31530039</v>
      </c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41">
        <v>879.0</v>
      </c>
      <c r="B880" s="41">
        <v>437.0</v>
      </c>
      <c r="C880" s="41">
        <v>379.0</v>
      </c>
      <c r="D880" s="41">
        <v>2.0</v>
      </c>
      <c r="E880" s="41">
        <f t="shared" si="1"/>
        <v>758</v>
      </c>
      <c r="F880" s="42">
        <v>45381.0</v>
      </c>
      <c r="G880" s="41" t="s">
        <v>36</v>
      </c>
      <c r="H880" s="41">
        <v>148.0</v>
      </c>
      <c r="I880" s="41" t="str">
        <f>VLOOKUP(B880,'товар'!$A$1:$C$433,2,FALSE)</f>
        <v>Чай</v>
      </c>
      <c r="J880" s="43">
        <f t="shared" si="2"/>
        <v>271.1818182</v>
      </c>
      <c r="K880" s="44">
        <f t="shared" si="3"/>
        <v>0.3975863225</v>
      </c>
      <c r="L880" s="41" t="str">
        <f>VLOOKUP(B880,'товар'!$A$1:$C$433,3,FALSE)</f>
        <v>Тесс</v>
      </c>
      <c r="M880" s="45">
        <f t="shared" si="4"/>
        <v>281.75</v>
      </c>
      <c r="N880" s="46">
        <f>VLOOKUP(H880,'клиенты'!$A$1:$F$435,5,FALSE)</f>
        <v>44700</v>
      </c>
      <c r="O880" s="41">
        <f t="shared" si="5"/>
        <v>681</v>
      </c>
      <c r="P880" s="41" t="str">
        <f>VLOOKUP(H880,'клиенты'!$A$2:$J$435,10,FALSE)</f>
        <v>Россия</v>
      </c>
      <c r="Q880" s="47">
        <f t="shared" si="6"/>
        <v>46078.45901</v>
      </c>
      <c r="R880" s="48">
        <f t="shared" si="7"/>
        <v>45.94863373</v>
      </c>
      <c r="S880" s="41"/>
      <c r="T880" s="41"/>
      <c r="U880" s="41"/>
      <c r="V880" s="41"/>
      <c r="W880" s="41"/>
      <c r="X880" s="41"/>
      <c r="Y880" s="41"/>
      <c r="Z880" s="41"/>
    </row>
    <row r="881" ht="14.25" customHeight="1">
      <c r="A881" s="20">
        <v>880.0</v>
      </c>
      <c r="B881" s="20">
        <v>193.0</v>
      </c>
      <c r="C881" s="20">
        <v>201.0</v>
      </c>
      <c r="D881" s="20">
        <v>4.0</v>
      </c>
      <c r="E881" s="20">
        <f t="shared" si="1"/>
        <v>804</v>
      </c>
      <c r="F881" s="49">
        <v>45203.0</v>
      </c>
      <c r="G881" s="20" t="s">
        <v>42</v>
      </c>
      <c r="H881" s="20">
        <v>105.0</v>
      </c>
      <c r="I881" s="20" t="str">
        <f>VLOOKUP(B881,'товар'!$A$1:$C$433,2,FALSE)</f>
        <v>Соль</v>
      </c>
      <c r="J881" s="50">
        <f t="shared" si="2"/>
        <v>264.8679245</v>
      </c>
      <c r="K881" s="51">
        <f t="shared" si="3"/>
        <v>-0.2411312153</v>
      </c>
      <c r="L881" s="20" t="str">
        <f>VLOOKUP(B881,'товар'!$A$1:$C$433,3,FALSE)</f>
        <v>Салта</v>
      </c>
      <c r="M881" s="52">
        <f t="shared" si="4"/>
        <v>273.7</v>
      </c>
      <c r="N881" s="53">
        <f>VLOOKUP(H881,'клиенты'!$A$1:$F$435,5,FALSE)</f>
        <v>44918</v>
      </c>
      <c r="O881" s="20">
        <f t="shared" si="5"/>
        <v>285</v>
      </c>
      <c r="P881" s="20" t="str">
        <f>VLOOKUP(H881,'клиенты'!$A$2:$J$435,10,FALSE)</f>
        <v>Узбекистан</v>
      </c>
      <c r="Q881" s="54">
        <f t="shared" si="6"/>
        <v>46078.45901</v>
      </c>
      <c r="R881" s="55">
        <f t="shared" si="7"/>
        <v>38.68196706</v>
      </c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41">
        <v>881.0</v>
      </c>
      <c r="B882" s="41">
        <v>144.0</v>
      </c>
      <c r="C882" s="41">
        <v>337.0</v>
      </c>
      <c r="D882" s="41">
        <v>3.0</v>
      </c>
      <c r="E882" s="41">
        <f t="shared" si="1"/>
        <v>1011</v>
      </c>
      <c r="F882" s="42">
        <v>45039.0</v>
      </c>
      <c r="G882" s="41" t="s">
        <v>49</v>
      </c>
      <c r="H882" s="41">
        <v>365.0</v>
      </c>
      <c r="I882" s="41" t="str">
        <f>VLOOKUP(B882,'товар'!$A$1:$C$433,2,FALSE)</f>
        <v>Макароны</v>
      </c>
      <c r="J882" s="43">
        <f t="shared" si="2"/>
        <v>265.4767442</v>
      </c>
      <c r="K882" s="44">
        <f t="shared" si="3"/>
        <v>0.2694143927</v>
      </c>
      <c r="L882" s="41" t="str">
        <f>VLOOKUP(B882,'товар'!$A$1:$C$433,3,FALSE)</f>
        <v>Роллтон</v>
      </c>
      <c r="M882" s="45">
        <f t="shared" si="4"/>
        <v>235.5555556</v>
      </c>
      <c r="N882" s="46">
        <f>VLOOKUP(H882,'клиенты'!$A$1:$F$435,5,FALSE)</f>
        <v>44841</v>
      </c>
      <c r="O882" s="41">
        <f t="shared" si="5"/>
        <v>198</v>
      </c>
      <c r="P882" s="41" t="str">
        <f>VLOOKUP(H882,'клиенты'!$A$2:$J$435,10,FALSE)</f>
        <v>Беларусь</v>
      </c>
      <c r="Q882" s="47">
        <f t="shared" si="6"/>
        <v>46078.45901</v>
      </c>
      <c r="R882" s="48">
        <f t="shared" si="7"/>
        <v>41.24863373</v>
      </c>
      <c r="S882" s="41"/>
      <c r="T882" s="41"/>
      <c r="U882" s="41"/>
      <c r="V882" s="41"/>
      <c r="W882" s="41"/>
      <c r="X882" s="41"/>
      <c r="Y882" s="41"/>
      <c r="Z882" s="41"/>
    </row>
    <row r="883" ht="14.25" customHeight="1">
      <c r="A883" s="20">
        <v>882.0</v>
      </c>
      <c r="B883" s="20">
        <v>27.0</v>
      </c>
      <c r="C883" s="20">
        <v>160.0</v>
      </c>
      <c r="D883" s="20">
        <v>1.0</v>
      </c>
      <c r="E883" s="20">
        <f t="shared" si="1"/>
        <v>160</v>
      </c>
      <c r="F883" s="49">
        <v>45276.0</v>
      </c>
      <c r="G883" s="20" t="s">
        <v>51</v>
      </c>
      <c r="H883" s="20">
        <v>416.0</v>
      </c>
      <c r="I883" s="20" t="str">
        <f>VLOOKUP(B883,'товар'!$A$1:$C$433,2,FALSE)</f>
        <v>Макароны</v>
      </c>
      <c r="J883" s="50">
        <f t="shared" si="2"/>
        <v>265.4767442</v>
      </c>
      <c r="K883" s="51">
        <f t="shared" si="3"/>
        <v>-0.3973106741</v>
      </c>
      <c r="L883" s="20" t="str">
        <f>VLOOKUP(B883,'товар'!$A$1:$C$433,3,FALSE)</f>
        <v>Паста Зара</v>
      </c>
      <c r="M883" s="52">
        <f t="shared" si="4"/>
        <v>276.6756757</v>
      </c>
      <c r="N883" s="53">
        <f>VLOOKUP(H883,'клиенты'!$A$1:$F$435,5,FALSE)</f>
        <v>44703</v>
      </c>
      <c r="O883" s="20">
        <f t="shared" si="5"/>
        <v>573</v>
      </c>
      <c r="P883" s="20" t="str">
        <f>VLOOKUP(H883,'клиенты'!$A$2:$J$435,10,FALSE)</f>
        <v>Таджикистан</v>
      </c>
      <c r="Q883" s="54">
        <f t="shared" si="6"/>
        <v>46078.45901</v>
      </c>
      <c r="R883" s="55">
        <f t="shared" si="7"/>
        <v>45.84863373</v>
      </c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41">
        <v>883.0</v>
      </c>
      <c r="B884" s="41">
        <v>375.0</v>
      </c>
      <c r="C884" s="41">
        <v>197.0</v>
      </c>
      <c r="D884" s="41">
        <v>5.0</v>
      </c>
      <c r="E884" s="41">
        <f t="shared" si="1"/>
        <v>985</v>
      </c>
      <c r="F884" s="42">
        <v>45368.0</v>
      </c>
      <c r="G884" s="41" t="s">
        <v>41</v>
      </c>
      <c r="H884" s="41">
        <v>315.0</v>
      </c>
      <c r="I884" s="41" t="str">
        <f>VLOOKUP(B884,'товар'!$A$1:$C$433,2,FALSE)</f>
        <v>Макароны</v>
      </c>
      <c r="J884" s="43">
        <f t="shared" si="2"/>
        <v>265.4767442</v>
      </c>
      <c r="K884" s="44">
        <f t="shared" si="3"/>
        <v>-0.2579387675</v>
      </c>
      <c r="L884" s="41" t="str">
        <f>VLOOKUP(B884,'товар'!$A$1:$C$433,3,FALSE)</f>
        <v>Борилла</v>
      </c>
      <c r="M884" s="45">
        <f t="shared" si="4"/>
        <v>236.2758621</v>
      </c>
      <c r="N884" s="46">
        <f>VLOOKUP(H884,'клиенты'!$A$1:$F$435,5,FALSE)</f>
        <v>44747</v>
      </c>
      <c r="O884" s="41">
        <f t="shared" si="5"/>
        <v>621</v>
      </c>
      <c r="P884" s="41" t="str">
        <f>VLOOKUP(H884,'клиенты'!$A$2:$J$435,10,FALSE)</f>
        <v>Узбекистан</v>
      </c>
      <c r="Q884" s="47">
        <f t="shared" si="6"/>
        <v>46078.45901</v>
      </c>
      <c r="R884" s="48">
        <f t="shared" si="7"/>
        <v>44.38196706</v>
      </c>
      <c r="S884" s="41"/>
      <c r="T884" s="41"/>
      <c r="U884" s="41"/>
      <c r="V884" s="41"/>
      <c r="W884" s="41"/>
      <c r="X884" s="41"/>
      <c r="Y884" s="41"/>
      <c r="Z884" s="41"/>
    </row>
    <row r="885" ht="14.25" customHeight="1">
      <c r="A885" s="20">
        <v>884.0</v>
      </c>
      <c r="B885" s="20">
        <v>453.0</v>
      </c>
      <c r="C885" s="20">
        <v>437.0</v>
      </c>
      <c r="D885" s="20">
        <v>2.0</v>
      </c>
      <c r="E885" s="20">
        <f t="shared" si="1"/>
        <v>874</v>
      </c>
      <c r="F885" s="49">
        <v>45394.0</v>
      </c>
      <c r="G885" s="20" t="s">
        <v>36</v>
      </c>
      <c r="H885" s="20">
        <v>81.0</v>
      </c>
      <c r="I885" s="20" t="str">
        <f>VLOOKUP(B885,'товар'!$A$1:$C$433,2,FALSE)</f>
        <v>Макароны</v>
      </c>
      <c r="J885" s="50">
        <f t="shared" si="2"/>
        <v>265.4767442</v>
      </c>
      <c r="K885" s="51">
        <f t="shared" si="3"/>
        <v>0.6460952214</v>
      </c>
      <c r="L885" s="20" t="str">
        <f>VLOOKUP(B885,'товар'!$A$1:$C$433,3,FALSE)</f>
        <v>Макфа</v>
      </c>
      <c r="M885" s="52">
        <f t="shared" si="4"/>
        <v>329.2727273</v>
      </c>
      <c r="N885" s="53">
        <f>VLOOKUP(H885,'клиенты'!$A$1:$F$435,5,FALSE)</f>
        <v>44825</v>
      </c>
      <c r="O885" s="20">
        <f t="shared" si="5"/>
        <v>569</v>
      </c>
      <c r="P885" s="20" t="str">
        <f>VLOOKUP(H885,'клиенты'!$A$2:$J$435,10,FALSE)</f>
        <v>Россия</v>
      </c>
      <c r="Q885" s="54">
        <f t="shared" si="6"/>
        <v>46078.45901</v>
      </c>
      <c r="R885" s="55">
        <f t="shared" si="7"/>
        <v>41.78196706</v>
      </c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41">
        <v>885.0</v>
      </c>
      <c r="B886" s="41">
        <v>388.0</v>
      </c>
      <c r="C886" s="41">
        <v>205.0</v>
      </c>
      <c r="D886" s="41">
        <v>2.0</v>
      </c>
      <c r="E886" s="41">
        <f t="shared" si="1"/>
        <v>410</v>
      </c>
      <c r="F886" s="42">
        <v>45404.0</v>
      </c>
      <c r="G886" s="41" t="s">
        <v>54</v>
      </c>
      <c r="H886" s="41">
        <v>262.0</v>
      </c>
      <c r="I886" s="41" t="str">
        <f>VLOOKUP(B886,'товар'!$A$1:$C$433,2,FALSE)</f>
        <v>Рыба</v>
      </c>
      <c r="J886" s="43">
        <f t="shared" si="2"/>
        <v>258.5128205</v>
      </c>
      <c r="K886" s="44">
        <f t="shared" si="3"/>
        <v>-0.2070025789</v>
      </c>
      <c r="L886" s="41" t="str">
        <f>VLOOKUP(B886,'товар'!$A$1:$C$433,3,FALSE)</f>
        <v>Меридиан</v>
      </c>
      <c r="M886" s="45">
        <f t="shared" si="4"/>
        <v>260.6470588</v>
      </c>
      <c r="N886" s="46">
        <f>VLOOKUP(H886,'клиенты'!$A$1:$F$435,5,FALSE)</f>
        <v>44778</v>
      </c>
      <c r="O886" s="41">
        <f t="shared" si="5"/>
        <v>626</v>
      </c>
      <c r="P886" s="41" t="str">
        <f>VLOOKUP(H886,'клиенты'!$A$2:$J$435,10,FALSE)</f>
        <v>Таджикистан</v>
      </c>
      <c r="Q886" s="47">
        <f t="shared" si="6"/>
        <v>46078.45901</v>
      </c>
      <c r="R886" s="48">
        <f t="shared" si="7"/>
        <v>43.34863373</v>
      </c>
      <c r="S886" s="41"/>
      <c r="T886" s="41"/>
      <c r="U886" s="41"/>
      <c r="V886" s="41"/>
      <c r="W886" s="41"/>
      <c r="X886" s="41"/>
      <c r="Y886" s="41"/>
      <c r="Z886" s="41"/>
    </row>
    <row r="887" ht="14.25" customHeight="1">
      <c r="A887" s="20">
        <v>886.0</v>
      </c>
      <c r="B887" s="20">
        <v>312.0</v>
      </c>
      <c r="C887" s="20">
        <v>476.0</v>
      </c>
      <c r="D887" s="20">
        <v>2.0</v>
      </c>
      <c r="E887" s="20">
        <f t="shared" si="1"/>
        <v>952</v>
      </c>
      <c r="F887" s="49">
        <v>45113.0</v>
      </c>
      <c r="G887" s="20" t="s">
        <v>49</v>
      </c>
      <c r="H887" s="20">
        <v>239.0</v>
      </c>
      <c r="I887" s="20" t="str">
        <f>VLOOKUP(B887,'товар'!$A$1:$C$433,2,FALSE)</f>
        <v>Хлеб</v>
      </c>
      <c r="J887" s="50">
        <f t="shared" si="2"/>
        <v>300.3181818</v>
      </c>
      <c r="K887" s="51">
        <f t="shared" si="3"/>
        <v>0.5849856213</v>
      </c>
      <c r="L887" s="20" t="str">
        <f>VLOOKUP(B887,'товар'!$A$1:$C$433,3,FALSE)</f>
        <v>Каравай</v>
      </c>
      <c r="M887" s="52">
        <f t="shared" si="4"/>
        <v>331.1666667</v>
      </c>
      <c r="N887" s="53">
        <f>VLOOKUP(H887,'клиенты'!$A$1:$F$435,5,FALSE)</f>
        <v>44767</v>
      </c>
      <c r="O887" s="20">
        <f t="shared" si="5"/>
        <v>346</v>
      </c>
      <c r="P887" s="20" t="str">
        <f>VLOOKUP(H887,'клиенты'!$A$2:$J$435,10,FALSE)</f>
        <v>Узбекистан</v>
      </c>
      <c r="Q887" s="54">
        <f t="shared" si="6"/>
        <v>46078.45901</v>
      </c>
      <c r="R887" s="55">
        <f t="shared" si="7"/>
        <v>43.71530039</v>
      </c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41">
        <v>887.0</v>
      </c>
      <c r="B888" s="41">
        <v>486.0</v>
      </c>
      <c r="C888" s="41">
        <v>230.0</v>
      </c>
      <c r="D888" s="41">
        <v>2.0</v>
      </c>
      <c r="E888" s="41">
        <f t="shared" si="1"/>
        <v>460</v>
      </c>
      <c r="F888" s="42">
        <v>45207.0</v>
      </c>
      <c r="G888" s="41" t="s">
        <v>46</v>
      </c>
      <c r="H888" s="41">
        <v>358.0</v>
      </c>
      <c r="I888" s="41" t="str">
        <f>VLOOKUP(B888,'товар'!$A$1:$C$433,2,FALSE)</f>
        <v>Соль</v>
      </c>
      <c r="J888" s="43">
        <f t="shared" si="2"/>
        <v>264.8679245</v>
      </c>
      <c r="K888" s="44">
        <f t="shared" si="3"/>
        <v>-0.1316426841</v>
      </c>
      <c r="L888" s="41" t="str">
        <f>VLOOKUP(B888,'товар'!$A$1:$C$433,3,FALSE)</f>
        <v>Илецкая</v>
      </c>
      <c r="M888" s="45">
        <f t="shared" si="4"/>
        <v>238.1666667</v>
      </c>
      <c r="N888" s="46">
        <f>VLOOKUP(H888,'клиенты'!$A$1:$F$435,5,FALSE)</f>
        <v>44771</v>
      </c>
      <c r="O888" s="41">
        <f t="shared" si="5"/>
        <v>436</v>
      </c>
      <c r="P888" s="41" t="str">
        <f>VLOOKUP(H888,'клиенты'!$A$2:$J$435,10,FALSE)</f>
        <v>Украина</v>
      </c>
      <c r="Q888" s="47">
        <f t="shared" si="6"/>
        <v>46078.45901</v>
      </c>
      <c r="R888" s="48">
        <f t="shared" si="7"/>
        <v>43.58196706</v>
      </c>
      <c r="S888" s="41"/>
      <c r="T888" s="41"/>
      <c r="U888" s="41"/>
      <c r="V888" s="41"/>
      <c r="W888" s="41"/>
      <c r="X888" s="41"/>
      <c r="Y888" s="41"/>
      <c r="Z888" s="41"/>
    </row>
    <row r="889" ht="14.25" customHeight="1">
      <c r="A889" s="20">
        <v>888.0</v>
      </c>
      <c r="B889" s="20">
        <v>295.0</v>
      </c>
      <c r="C889" s="20">
        <v>219.0</v>
      </c>
      <c r="D889" s="20">
        <v>5.0</v>
      </c>
      <c r="E889" s="20">
        <f t="shared" si="1"/>
        <v>1095</v>
      </c>
      <c r="F889" s="49">
        <v>45165.0</v>
      </c>
      <c r="G889" s="20" t="s">
        <v>39</v>
      </c>
      <c r="H889" s="20">
        <v>331.0</v>
      </c>
      <c r="I889" s="20" t="str">
        <f>VLOOKUP(B889,'товар'!$A$1:$C$433,2,FALSE)</f>
        <v>Печенье</v>
      </c>
      <c r="J889" s="50">
        <f t="shared" si="2"/>
        <v>283.4680851</v>
      </c>
      <c r="K889" s="51">
        <f t="shared" si="3"/>
        <v>-0.2274262553</v>
      </c>
      <c r="L889" s="20" t="str">
        <f>VLOOKUP(B889,'товар'!$A$1:$C$433,3,FALSE)</f>
        <v>Белогорье</v>
      </c>
      <c r="M889" s="52">
        <f t="shared" si="4"/>
        <v>249.5</v>
      </c>
      <c r="N889" s="53">
        <f>VLOOKUP(H889,'клиенты'!$A$1:$F$435,5,FALSE)</f>
        <v>44813</v>
      </c>
      <c r="O889" s="20">
        <f t="shared" si="5"/>
        <v>352</v>
      </c>
      <c r="P889" s="20" t="str">
        <f>VLOOKUP(H889,'клиенты'!$A$2:$J$435,10,FALSE)</f>
        <v>Узбекистан</v>
      </c>
      <c r="Q889" s="54">
        <f t="shared" si="6"/>
        <v>46078.45901</v>
      </c>
      <c r="R889" s="55">
        <f t="shared" si="7"/>
        <v>42.18196706</v>
      </c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41">
        <v>889.0</v>
      </c>
      <c r="B890" s="41">
        <v>1.0</v>
      </c>
      <c r="C890" s="41">
        <v>206.0</v>
      </c>
      <c r="D890" s="41">
        <v>3.0</v>
      </c>
      <c r="E890" s="41">
        <f t="shared" si="1"/>
        <v>618</v>
      </c>
      <c r="F890" s="42">
        <v>44986.0</v>
      </c>
      <c r="G890" s="41" t="s">
        <v>43</v>
      </c>
      <c r="H890" s="41">
        <v>31.0</v>
      </c>
      <c r="I890" s="41" t="str">
        <f>VLOOKUP(B890,'товар'!$A$1:$C$433,2,FALSE)</f>
        <v>Крупа</v>
      </c>
      <c r="J890" s="43">
        <f t="shared" si="2"/>
        <v>255.1162791</v>
      </c>
      <c r="K890" s="44">
        <f t="shared" si="3"/>
        <v>-0.1925250684</v>
      </c>
      <c r="L890" s="41" t="str">
        <f>VLOOKUP(B890,'товар'!$A$1:$C$433,3,FALSE)</f>
        <v>Ярмарка</v>
      </c>
      <c r="M890" s="45">
        <f t="shared" si="4"/>
        <v>252.0909091</v>
      </c>
      <c r="N890" s="46">
        <f>VLOOKUP(H890,'клиенты'!$A$1:$F$435,5,FALSE)</f>
        <v>44580</v>
      </c>
      <c r="O890" s="41">
        <f t="shared" si="5"/>
        <v>406</v>
      </c>
      <c r="P890" s="41" t="str">
        <f>VLOOKUP(H890,'клиенты'!$A$2:$J$435,10,FALSE)</f>
        <v>Украина</v>
      </c>
      <c r="Q890" s="47">
        <f t="shared" si="6"/>
        <v>46078.45901</v>
      </c>
      <c r="R890" s="48">
        <f t="shared" si="7"/>
        <v>49.94863373</v>
      </c>
      <c r="S890" s="41"/>
      <c r="T890" s="41"/>
      <c r="U890" s="41"/>
      <c r="V890" s="41"/>
      <c r="W890" s="41"/>
      <c r="X890" s="41"/>
      <c r="Y890" s="41"/>
      <c r="Z890" s="41"/>
    </row>
    <row r="891" ht="14.25" customHeight="1">
      <c r="A891" s="20">
        <v>890.0</v>
      </c>
      <c r="B891" s="20">
        <v>347.0</v>
      </c>
      <c r="C891" s="20">
        <v>343.0</v>
      </c>
      <c r="D891" s="20">
        <v>3.0</v>
      </c>
      <c r="E891" s="20">
        <f t="shared" si="1"/>
        <v>1029</v>
      </c>
      <c r="F891" s="49">
        <v>44937.0</v>
      </c>
      <c r="G891" s="20" t="s">
        <v>37</v>
      </c>
      <c r="H891" s="20">
        <v>74.0</v>
      </c>
      <c r="I891" s="20" t="str">
        <f>VLOOKUP(B891,'товар'!$A$1:$C$433,2,FALSE)</f>
        <v>Макароны</v>
      </c>
      <c r="J891" s="50">
        <f t="shared" si="2"/>
        <v>265.4767442</v>
      </c>
      <c r="K891" s="51">
        <f t="shared" si="3"/>
        <v>0.2920152424</v>
      </c>
      <c r="L891" s="20" t="str">
        <f>VLOOKUP(B891,'товар'!$A$1:$C$433,3,FALSE)</f>
        <v>Паста Зара</v>
      </c>
      <c r="M891" s="52">
        <f t="shared" si="4"/>
        <v>276.6756757</v>
      </c>
      <c r="N891" s="53">
        <f>VLOOKUP(H891,'клиенты'!$A$1:$F$435,5,FALSE)</f>
        <v>44857</v>
      </c>
      <c r="O891" s="20">
        <f t="shared" si="5"/>
        <v>80</v>
      </c>
      <c r="P891" s="20" t="str">
        <f>VLOOKUP(H891,'клиенты'!$A$2:$J$435,10,FALSE)</f>
        <v>Россия</v>
      </c>
      <c r="Q891" s="54">
        <f t="shared" si="6"/>
        <v>46078.45901</v>
      </c>
      <c r="R891" s="55">
        <f t="shared" si="7"/>
        <v>40.71530039</v>
      </c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41">
        <v>891.0</v>
      </c>
      <c r="B892" s="41">
        <v>308.0</v>
      </c>
      <c r="C892" s="41">
        <v>147.0</v>
      </c>
      <c r="D892" s="41">
        <v>2.0</v>
      </c>
      <c r="E892" s="41">
        <f t="shared" si="1"/>
        <v>294</v>
      </c>
      <c r="F892" s="42">
        <v>45261.0</v>
      </c>
      <c r="G892" s="41" t="s">
        <v>39</v>
      </c>
      <c r="H892" s="41">
        <v>80.0</v>
      </c>
      <c r="I892" s="41" t="str">
        <f>VLOOKUP(B892,'товар'!$A$1:$C$433,2,FALSE)</f>
        <v>Конфеты</v>
      </c>
      <c r="J892" s="43">
        <f t="shared" si="2"/>
        <v>267.8548387</v>
      </c>
      <c r="K892" s="44">
        <f t="shared" si="3"/>
        <v>-0.4511952791</v>
      </c>
      <c r="L892" s="41" t="str">
        <f>VLOOKUP(B892,'товар'!$A$1:$C$433,3,FALSE)</f>
        <v>Бабаевский</v>
      </c>
      <c r="M892" s="45">
        <f t="shared" si="4"/>
        <v>250.2592593</v>
      </c>
      <c r="N892" s="46">
        <f>VLOOKUP(H892,'клиенты'!$A$1:$F$435,5,FALSE)</f>
        <v>44623</v>
      </c>
      <c r="O892" s="41">
        <f t="shared" si="5"/>
        <v>638</v>
      </c>
      <c r="P892" s="41" t="str">
        <f>VLOOKUP(H892,'клиенты'!$A$2:$J$435,10,FALSE)</f>
        <v>Беларусь</v>
      </c>
      <c r="Q892" s="47">
        <f t="shared" si="6"/>
        <v>46078.45901</v>
      </c>
      <c r="R892" s="48">
        <f t="shared" si="7"/>
        <v>48.51530039</v>
      </c>
      <c r="S892" s="41"/>
      <c r="T892" s="41"/>
      <c r="U892" s="41"/>
      <c r="V892" s="41"/>
      <c r="W892" s="41"/>
      <c r="X892" s="41"/>
      <c r="Y892" s="41"/>
      <c r="Z892" s="41"/>
    </row>
    <row r="893" ht="14.25" customHeight="1">
      <c r="A893" s="20">
        <v>892.0</v>
      </c>
      <c r="B893" s="20">
        <v>52.0</v>
      </c>
      <c r="C893" s="20">
        <v>423.0</v>
      </c>
      <c r="D893" s="20">
        <v>3.0</v>
      </c>
      <c r="E893" s="20">
        <f t="shared" si="1"/>
        <v>1269</v>
      </c>
      <c r="F893" s="49">
        <v>45378.0</v>
      </c>
      <c r="G893" s="20" t="s">
        <v>42</v>
      </c>
      <c r="H893" s="20">
        <v>496.0</v>
      </c>
      <c r="I893" s="20" t="str">
        <f>VLOOKUP(B893,'товар'!$A$1:$C$433,2,FALSE)</f>
        <v>Соль</v>
      </c>
      <c r="J893" s="50">
        <f t="shared" si="2"/>
        <v>264.8679245</v>
      </c>
      <c r="K893" s="51">
        <f t="shared" si="3"/>
        <v>0.5970223679</v>
      </c>
      <c r="L893" s="20" t="str">
        <f>VLOOKUP(B893,'товар'!$A$1:$C$433,3,FALSE)</f>
        <v>Илецкая</v>
      </c>
      <c r="M893" s="52">
        <f t="shared" si="4"/>
        <v>238.1666667</v>
      </c>
      <c r="N893" s="53">
        <f>VLOOKUP(H893,'клиенты'!$A$1:$F$435,5,FALSE)</f>
        <v>44867</v>
      </c>
      <c r="O893" s="20">
        <f t="shared" si="5"/>
        <v>511</v>
      </c>
      <c r="P893" s="20" t="str">
        <f>VLOOKUP(H893,'клиенты'!$A$2:$J$435,10,FALSE)</f>
        <v>Украина</v>
      </c>
      <c r="Q893" s="54">
        <f t="shared" si="6"/>
        <v>46078.45901</v>
      </c>
      <c r="R893" s="55">
        <f t="shared" si="7"/>
        <v>40.38196706</v>
      </c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41">
        <v>893.0</v>
      </c>
      <c r="B894" s="41">
        <v>75.0</v>
      </c>
      <c r="C894" s="41">
        <v>494.0</v>
      </c>
      <c r="D894" s="41">
        <v>4.0</v>
      </c>
      <c r="E894" s="41">
        <f t="shared" si="1"/>
        <v>1976</v>
      </c>
      <c r="F894" s="42">
        <v>45030.0</v>
      </c>
      <c r="G894" s="41" t="s">
        <v>52</v>
      </c>
      <c r="H894" s="41">
        <v>477.0</v>
      </c>
      <c r="I894" s="41" t="str">
        <f>VLOOKUP(B894,'товар'!$A$1:$C$433,2,FALSE)</f>
        <v>Печенье</v>
      </c>
      <c r="J894" s="43">
        <f t="shared" si="2"/>
        <v>283.4680851</v>
      </c>
      <c r="K894" s="44">
        <f t="shared" si="3"/>
        <v>0.742700593</v>
      </c>
      <c r="L894" s="41" t="str">
        <f>VLOOKUP(B894,'товар'!$A$1:$C$433,3,FALSE)</f>
        <v>Белогорье</v>
      </c>
      <c r="M894" s="45">
        <f t="shared" si="4"/>
        <v>249.5</v>
      </c>
      <c r="N894" s="46">
        <f>VLOOKUP(H894,'клиенты'!$A$1:$F$435,5,FALSE)</f>
        <v>44738</v>
      </c>
      <c r="O894" s="41">
        <f t="shared" si="5"/>
        <v>292</v>
      </c>
      <c r="P894" s="41" t="str">
        <f>VLOOKUP(H894,'клиенты'!$A$2:$J$435,10,FALSE)</f>
        <v>Узбекистан</v>
      </c>
      <c r="Q894" s="47">
        <f t="shared" si="6"/>
        <v>46078.45901</v>
      </c>
      <c r="R894" s="48">
        <f t="shared" si="7"/>
        <v>44.68196706</v>
      </c>
      <c r="S894" s="41"/>
      <c r="T894" s="41"/>
      <c r="U894" s="41"/>
      <c r="V894" s="41"/>
      <c r="W894" s="41"/>
      <c r="X894" s="41"/>
      <c r="Y894" s="41"/>
      <c r="Z894" s="41"/>
    </row>
    <row r="895" ht="14.25" customHeight="1">
      <c r="A895" s="20">
        <v>894.0</v>
      </c>
      <c r="B895" s="20">
        <v>148.0</v>
      </c>
      <c r="C895" s="20">
        <v>270.0</v>
      </c>
      <c r="D895" s="20">
        <v>2.0</v>
      </c>
      <c r="E895" s="20">
        <f t="shared" si="1"/>
        <v>540</v>
      </c>
      <c r="F895" s="49">
        <v>45206.0</v>
      </c>
      <c r="G895" s="20" t="s">
        <v>43</v>
      </c>
      <c r="H895" s="20">
        <v>196.0</v>
      </c>
      <c r="I895" s="20" t="str">
        <f>VLOOKUP(B895,'товар'!$A$1:$C$433,2,FALSE)</f>
        <v>Сок</v>
      </c>
      <c r="J895" s="50">
        <f t="shared" si="2"/>
        <v>268.6034483</v>
      </c>
      <c r="K895" s="51">
        <f t="shared" si="3"/>
        <v>0.005199306759</v>
      </c>
      <c r="L895" s="20" t="str">
        <f>VLOOKUP(B895,'товар'!$A$1:$C$433,3,FALSE)</f>
        <v>Фруктовый сад</v>
      </c>
      <c r="M895" s="52">
        <f t="shared" si="4"/>
        <v>281.96875</v>
      </c>
      <c r="N895" s="53">
        <f>VLOOKUP(H895,'клиенты'!$A$1:$F$435,5,FALSE)</f>
        <v>44835</v>
      </c>
      <c r="O895" s="20">
        <f t="shared" si="5"/>
        <v>371</v>
      </c>
      <c r="P895" s="20" t="str">
        <f>VLOOKUP(H895,'клиенты'!$A$2:$J$435,10,FALSE)</f>
        <v>Россия</v>
      </c>
      <c r="Q895" s="54">
        <f t="shared" si="6"/>
        <v>46078.45901</v>
      </c>
      <c r="R895" s="55">
        <f t="shared" si="7"/>
        <v>41.44863373</v>
      </c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41">
        <v>895.0</v>
      </c>
      <c r="B896" s="41">
        <v>481.0</v>
      </c>
      <c r="C896" s="41">
        <v>470.0</v>
      </c>
      <c r="D896" s="41">
        <v>2.0</v>
      </c>
      <c r="E896" s="41">
        <f t="shared" si="1"/>
        <v>940</v>
      </c>
      <c r="F896" s="42">
        <v>45101.0</v>
      </c>
      <c r="G896" s="41" t="s">
        <v>46</v>
      </c>
      <c r="H896" s="41">
        <v>400.0</v>
      </c>
      <c r="I896" s="41" t="str">
        <f>VLOOKUP(B896,'товар'!$A$1:$C$433,2,FALSE)</f>
        <v>Чипсы</v>
      </c>
      <c r="J896" s="43">
        <f t="shared" si="2"/>
        <v>273.7254902</v>
      </c>
      <c r="K896" s="44">
        <f t="shared" si="3"/>
        <v>0.7170487106</v>
      </c>
      <c r="L896" s="41" t="str">
        <f>VLOOKUP(B896,'товар'!$A$1:$C$433,3,FALSE)</f>
        <v>Pringles</v>
      </c>
      <c r="M896" s="45">
        <f t="shared" si="4"/>
        <v>280.2380952</v>
      </c>
      <c r="N896" s="46">
        <f>VLOOKUP(H896,'клиенты'!$A$1:$F$435,5,FALSE)</f>
        <v>44765</v>
      </c>
      <c r="O896" s="41">
        <f t="shared" si="5"/>
        <v>336</v>
      </c>
      <c r="P896" s="41" t="str">
        <f>VLOOKUP(H896,'клиенты'!$A$2:$J$435,10,FALSE)</f>
        <v>Беларусь</v>
      </c>
      <c r="Q896" s="47">
        <f t="shared" si="6"/>
        <v>46078.45901</v>
      </c>
      <c r="R896" s="48">
        <f t="shared" si="7"/>
        <v>43.78196706</v>
      </c>
      <c r="S896" s="41"/>
      <c r="T896" s="41"/>
      <c r="U896" s="41"/>
      <c r="V896" s="41"/>
      <c r="W896" s="41"/>
      <c r="X896" s="41"/>
      <c r="Y896" s="41"/>
      <c r="Z896" s="41"/>
    </row>
    <row r="897" ht="14.25" customHeight="1">
      <c r="A897" s="20">
        <v>896.0</v>
      </c>
      <c r="B897" s="20">
        <v>194.0</v>
      </c>
      <c r="C897" s="20">
        <v>278.0</v>
      </c>
      <c r="D897" s="20">
        <v>4.0</v>
      </c>
      <c r="E897" s="20">
        <f t="shared" si="1"/>
        <v>1112</v>
      </c>
      <c r="F897" s="49">
        <v>45286.0</v>
      </c>
      <c r="G897" s="20" t="s">
        <v>48</v>
      </c>
      <c r="H897" s="20">
        <v>271.0</v>
      </c>
      <c r="I897" s="20" t="str">
        <f>VLOOKUP(B897,'товар'!$A$1:$C$433,2,FALSE)</f>
        <v>Соль</v>
      </c>
      <c r="J897" s="50">
        <f t="shared" si="2"/>
        <v>264.8679245</v>
      </c>
      <c r="K897" s="51">
        <f t="shared" si="3"/>
        <v>0.04957971221</v>
      </c>
      <c r="L897" s="20" t="str">
        <f>VLOOKUP(B897,'товар'!$A$1:$C$433,3,FALSE)</f>
        <v>Салта</v>
      </c>
      <c r="M897" s="52">
        <f t="shared" si="4"/>
        <v>273.7</v>
      </c>
      <c r="N897" s="53">
        <f>VLOOKUP(H897,'клиенты'!$A$1:$F$435,5,FALSE)</f>
        <v>44892</v>
      </c>
      <c r="O897" s="20">
        <f t="shared" si="5"/>
        <v>394</v>
      </c>
      <c r="P897" s="20" t="str">
        <f>VLOOKUP(H897,'клиенты'!$A$2:$J$435,10,FALSE)</f>
        <v>Беларусь</v>
      </c>
      <c r="Q897" s="54">
        <f t="shared" si="6"/>
        <v>46078.45901</v>
      </c>
      <c r="R897" s="55">
        <f t="shared" si="7"/>
        <v>39.54863373</v>
      </c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41">
        <v>897.0</v>
      </c>
      <c r="B898" s="41">
        <v>422.0</v>
      </c>
      <c r="C898" s="41">
        <v>244.0</v>
      </c>
      <c r="D898" s="41">
        <v>3.0</v>
      </c>
      <c r="E898" s="41">
        <f t="shared" si="1"/>
        <v>732</v>
      </c>
      <c r="F898" s="42">
        <v>45370.0</v>
      </c>
      <c r="G898" s="41" t="s">
        <v>43</v>
      </c>
      <c r="H898" s="41">
        <v>265.0</v>
      </c>
      <c r="I898" s="41" t="str">
        <f>VLOOKUP(B898,'товар'!$A$1:$C$433,2,FALSE)</f>
        <v>Кофе</v>
      </c>
      <c r="J898" s="43">
        <f t="shared" si="2"/>
        <v>249.0238095</v>
      </c>
      <c r="K898" s="44">
        <f t="shared" si="3"/>
        <v>-0.02017401281</v>
      </c>
      <c r="L898" s="41" t="str">
        <f>VLOOKUP(B898,'товар'!$A$1:$C$433,3,FALSE)</f>
        <v>Nescafe</v>
      </c>
      <c r="M898" s="45">
        <f t="shared" si="4"/>
        <v>256.9</v>
      </c>
      <c r="N898" s="46">
        <f>VLOOKUP(H898,'клиенты'!$A$1:$F$435,5,FALSE)</f>
        <v>44756</v>
      </c>
      <c r="O898" s="41">
        <f t="shared" si="5"/>
        <v>614</v>
      </c>
      <c r="P898" s="41" t="str">
        <f>VLOOKUP(H898,'клиенты'!$A$2:$J$435,10,FALSE)</f>
        <v>Узбекистан</v>
      </c>
      <c r="Q898" s="47">
        <f t="shared" si="6"/>
        <v>46078.45901</v>
      </c>
      <c r="R898" s="48">
        <f t="shared" si="7"/>
        <v>44.08196706</v>
      </c>
      <c r="S898" s="41"/>
      <c r="T898" s="41"/>
      <c r="U898" s="41"/>
      <c r="V898" s="41"/>
      <c r="W898" s="41"/>
      <c r="X898" s="41"/>
      <c r="Y898" s="41"/>
      <c r="Z898" s="41"/>
    </row>
    <row r="899" ht="14.25" customHeight="1">
      <c r="A899" s="20">
        <v>898.0</v>
      </c>
      <c r="B899" s="20">
        <v>52.0</v>
      </c>
      <c r="C899" s="20">
        <v>142.0</v>
      </c>
      <c r="D899" s="20">
        <v>3.0</v>
      </c>
      <c r="E899" s="20">
        <f t="shared" si="1"/>
        <v>426</v>
      </c>
      <c r="F899" s="49">
        <v>44929.0</v>
      </c>
      <c r="G899" s="20" t="s">
        <v>35</v>
      </c>
      <c r="H899" s="20">
        <v>366.0</v>
      </c>
      <c r="I899" s="20" t="str">
        <f>VLOOKUP(B899,'товар'!$A$1:$C$433,2,FALSE)</f>
        <v>Соль</v>
      </c>
      <c r="J899" s="50">
        <f t="shared" si="2"/>
        <v>264.8679245</v>
      </c>
      <c r="K899" s="51">
        <f t="shared" si="3"/>
        <v>-0.4638837441</v>
      </c>
      <c r="L899" s="20" t="str">
        <f>VLOOKUP(B899,'товар'!$A$1:$C$433,3,FALSE)</f>
        <v>Илецкая</v>
      </c>
      <c r="M899" s="52">
        <f t="shared" si="4"/>
        <v>238.1666667</v>
      </c>
      <c r="N899" s="53">
        <f>VLOOKUP(H899,'клиенты'!$A$1:$F$435,5,FALSE)</f>
        <v>44827</v>
      </c>
      <c r="O899" s="20">
        <f t="shared" si="5"/>
        <v>102</v>
      </c>
      <c r="P899" s="20" t="str">
        <f>VLOOKUP(H899,'клиенты'!$A$2:$J$435,10,FALSE)</f>
        <v>Узбекистан</v>
      </c>
      <c r="Q899" s="54">
        <f t="shared" si="6"/>
        <v>46078.45901</v>
      </c>
      <c r="R899" s="55">
        <f t="shared" si="7"/>
        <v>41.71530039</v>
      </c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41">
        <v>899.0</v>
      </c>
      <c r="B900" s="41">
        <v>73.0</v>
      </c>
      <c r="C900" s="41">
        <v>160.0</v>
      </c>
      <c r="D900" s="41">
        <v>4.0</v>
      </c>
      <c r="E900" s="41">
        <f t="shared" si="1"/>
        <v>640</v>
      </c>
      <c r="F900" s="42">
        <v>45163.0</v>
      </c>
      <c r="G900" s="41" t="s">
        <v>53</v>
      </c>
      <c r="H900" s="41">
        <v>302.0</v>
      </c>
      <c r="I900" s="41" t="str">
        <f>VLOOKUP(B900,'товар'!$A$1:$C$433,2,FALSE)</f>
        <v>Хлеб</v>
      </c>
      <c r="J900" s="43">
        <f t="shared" si="2"/>
        <v>300.3181818</v>
      </c>
      <c r="K900" s="44">
        <f t="shared" si="3"/>
        <v>-0.4672317239</v>
      </c>
      <c r="L900" s="41" t="str">
        <f>VLOOKUP(B900,'товар'!$A$1:$C$433,3,FALSE)</f>
        <v>Дарница</v>
      </c>
      <c r="M900" s="45">
        <f t="shared" si="4"/>
        <v>264</v>
      </c>
      <c r="N900" s="46">
        <f>VLOOKUP(H900,'клиенты'!$A$1:$F$435,5,FALSE)</f>
        <v>44859</v>
      </c>
      <c r="O900" s="41">
        <f t="shared" si="5"/>
        <v>304</v>
      </c>
      <c r="P900" s="41" t="str">
        <f>VLOOKUP(H900,'клиенты'!$A$2:$J$435,10,FALSE)</f>
        <v>Россия</v>
      </c>
      <c r="Q900" s="47">
        <f t="shared" si="6"/>
        <v>46078.45901</v>
      </c>
      <c r="R900" s="48">
        <f t="shared" si="7"/>
        <v>40.64863373</v>
      </c>
      <c r="S900" s="41"/>
      <c r="T900" s="41"/>
      <c r="U900" s="41"/>
      <c r="V900" s="41"/>
      <c r="W900" s="41"/>
      <c r="X900" s="41"/>
      <c r="Y900" s="41"/>
      <c r="Z900" s="41"/>
    </row>
    <row r="901" ht="14.25" customHeight="1">
      <c r="A901" s="20">
        <v>900.0</v>
      </c>
      <c r="B901" s="20">
        <v>208.0</v>
      </c>
      <c r="C901" s="20">
        <v>476.0</v>
      </c>
      <c r="D901" s="20">
        <v>5.0</v>
      </c>
      <c r="E901" s="20">
        <f t="shared" si="1"/>
        <v>2380</v>
      </c>
      <c r="F901" s="49">
        <v>45262.0</v>
      </c>
      <c r="G901" s="20" t="s">
        <v>47</v>
      </c>
      <c r="H901" s="20">
        <v>326.0</v>
      </c>
      <c r="I901" s="20" t="str">
        <f>VLOOKUP(B901,'товар'!$A$1:$C$433,2,FALSE)</f>
        <v>Конфеты</v>
      </c>
      <c r="J901" s="50">
        <f t="shared" si="2"/>
        <v>267.8548387</v>
      </c>
      <c r="K901" s="51">
        <f t="shared" si="3"/>
        <v>0.7770819534</v>
      </c>
      <c r="L901" s="20" t="str">
        <f>VLOOKUP(B901,'товар'!$A$1:$C$433,3,FALSE)</f>
        <v>Славянка</v>
      </c>
      <c r="M901" s="52">
        <f t="shared" si="4"/>
        <v>268</v>
      </c>
      <c r="N901" s="53">
        <f>VLOOKUP(H901,'клиенты'!$A$1:$F$435,5,FALSE)</f>
        <v>44655</v>
      </c>
      <c r="O901" s="20">
        <f t="shared" si="5"/>
        <v>607</v>
      </c>
      <c r="P901" s="20" t="str">
        <f>VLOOKUP(H901,'клиенты'!$A$2:$J$435,10,FALSE)</f>
        <v>Россия</v>
      </c>
      <c r="Q901" s="54">
        <f t="shared" si="6"/>
        <v>46078.45901</v>
      </c>
      <c r="R901" s="55">
        <f t="shared" si="7"/>
        <v>47.44863373</v>
      </c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41">
        <v>901.0</v>
      </c>
      <c r="B902" s="41">
        <v>458.0</v>
      </c>
      <c r="C902" s="41">
        <v>343.0</v>
      </c>
      <c r="D902" s="41">
        <v>3.0</v>
      </c>
      <c r="E902" s="41">
        <f t="shared" si="1"/>
        <v>1029</v>
      </c>
      <c r="F902" s="42">
        <v>45005.0</v>
      </c>
      <c r="G902" s="41" t="s">
        <v>38</v>
      </c>
      <c r="H902" s="41">
        <v>282.0</v>
      </c>
      <c r="I902" s="41" t="str">
        <f>VLOOKUP(B902,'товар'!$A$1:$C$433,2,FALSE)</f>
        <v>Макароны</v>
      </c>
      <c r="J902" s="43">
        <f t="shared" si="2"/>
        <v>265.4767442</v>
      </c>
      <c r="K902" s="44">
        <f t="shared" si="3"/>
        <v>0.2920152424</v>
      </c>
      <c r="L902" s="41" t="str">
        <f>VLOOKUP(B902,'товар'!$A$1:$C$433,3,FALSE)</f>
        <v>Борилла</v>
      </c>
      <c r="M902" s="45">
        <f t="shared" si="4"/>
        <v>236.2758621</v>
      </c>
      <c r="N902" s="46">
        <f>VLOOKUP(H902,'клиенты'!$A$1:$F$435,5,FALSE)</f>
        <v>44735</v>
      </c>
      <c r="O902" s="41">
        <f t="shared" si="5"/>
        <v>270</v>
      </c>
      <c r="P902" s="41" t="str">
        <f>VLOOKUP(H902,'клиенты'!$A$2:$J$435,10,FALSE)</f>
        <v>Узбекистан</v>
      </c>
      <c r="Q902" s="47">
        <f t="shared" si="6"/>
        <v>46078.45901</v>
      </c>
      <c r="R902" s="48">
        <f t="shared" si="7"/>
        <v>44.78196706</v>
      </c>
      <c r="S902" s="41"/>
      <c r="T902" s="41"/>
      <c r="U902" s="41"/>
      <c r="V902" s="41"/>
      <c r="W902" s="41"/>
      <c r="X902" s="41"/>
      <c r="Y902" s="41"/>
      <c r="Z902" s="41"/>
    </row>
    <row r="903" ht="14.25" customHeight="1">
      <c r="A903" s="20">
        <v>902.0</v>
      </c>
      <c r="B903" s="20">
        <v>444.0</v>
      </c>
      <c r="C903" s="20">
        <v>328.0</v>
      </c>
      <c r="D903" s="20">
        <v>3.0</v>
      </c>
      <c r="E903" s="20">
        <f t="shared" si="1"/>
        <v>984</v>
      </c>
      <c r="F903" s="49">
        <v>45102.0</v>
      </c>
      <c r="G903" s="20" t="s">
        <v>40</v>
      </c>
      <c r="H903" s="20">
        <v>292.0</v>
      </c>
      <c r="I903" s="20" t="str">
        <f>VLOOKUP(B903,'товар'!$A$1:$C$433,2,FALSE)</f>
        <v>Йогурт</v>
      </c>
      <c r="J903" s="50">
        <f t="shared" si="2"/>
        <v>263.2542373</v>
      </c>
      <c r="K903" s="51">
        <f t="shared" si="3"/>
        <v>0.2459438578</v>
      </c>
      <c r="L903" s="20" t="str">
        <f>VLOOKUP(B903,'товар'!$A$1:$C$433,3,FALSE)</f>
        <v>Эрманн</v>
      </c>
      <c r="M903" s="52">
        <f t="shared" si="4"/>
        <v>248.5</v>
      </c>
      <c r="N903" s="53">
        <f>VLOOKUP(H903,'клиенты'!$A$1:$F$435,5,FALSE)</f>
        <v>44608</v>
      </c>
      <c r="O903" s="20">
        <f t="shared" si="5"/>
        <v>494</v>
      </c>
      <c r="P903" s="20" t="str">
        <f>VLOOKUP(H903,'клиенты'!$A$2:$J$435,10,FALSE)</f>
        <v>Россия</v>
      </c>
      <c r="Q903" s="54">
        <f t="shared" si="6"/>
        <v>46078.45901</v>
      </c>
      <c r="R903" s="55">
        <f t="shared" si="7"/>
        <v>49.01530039</v>
      </c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41">
        <v>903.0</v>
      </c>
      <c r="B904" s="41">
        <v>369.0</v>
      </c>
      <c r="C904" s="41">
        <v>379.0</v>
      </c>
      <c r="D904" s="41">
        <v>5.0</v>
      </c>
      <c r="E904" s="41">
        <f t="shared" si="1"/>
        <v>1895</v>
      </c>
      <c r="F904" s="42">
        <v>45189.0</v>
      </c>
      <c r="G904" s="41" t="s">
        <v>49</v>
      </c>
      <c r="H904" s="41">
        <v>267.0</v>
      </c>
      <c r="I904" s="41" t="str">
        <f>VLOOKUP(B904,'товар'!$A$1:$C$433,2,FALSE)</f>
        <v>Молоко</v>
      </c>
      <c r="J904" s="43">
        <f t="shared" si="2"/>
        <v>294.952381</v>
      </c>
      <c r="K904" s="44">
        <f t="shared" si="3"/>
        <v>0.2849531805</v>
      </c>
      <c r="L904" s="41" t="str">
        <f>VLOOKUP(B904,'товар'!$A$1:$C$433,3,FALSE)</f>
        <v>Домик в деревне</v>
      </c>
      <c r="M904" s="45">
        <f t="shared" si="4"/>
        <v>274.7777778</v>
      </c>
      <c r="N904" s="46">
        <f>VLOOKUP(H904,'клиенты'!$A$1:$F$435,5,FALSE)</f>
        <v>44910</v>
      </c>
      <c r="O904" s="41">
        <f t="shared" si="5"/>
        <v>279</v>
      </c>
      <c r="P904" s="41" t="str">
        <f>VLOOKUP(H904,'клиенты'!$A$2:$J$435,10,FALSE)</f>
        <v>Россия</v>
      </c>
      <c r="Q904" s="47">
        <f t="shared" si="6"/>
        <v>46078.45901</v>
      </c>
      <c r="R904" s="48">
        <f t="shared" si="7"/>
        <v>38.94863373</v>
      </c>
      <c r="S904" s="41"/>
      <c r="T904" s="41"/>
      <c r="U904" s="41"/>
      <c r="V904" s="41"/>
      <c r="W904" s="41"/>
      <c r="X904" s="41"/>
      <c r="Y904" s="41"/>
      <c r="Z904" s="41"/>
    </row>
    <row r="905" ht="14.25" customHeight="1">
      <c r="A905" s="20">
        <v>904.0</v>
      </c>
      <c r="B905" s="20">
        <v>6.0</v>
      </c>
      <c r="C905" s="20">
        <v>70.0</v>
      </c>
      <c r="D905" s="20">
        <v>5.0</v>
      </c>
      <c r="E905" s="20">
        <f t="shared" si="1"/>
        <v>350</v>
      </c>
      <c r="F905" s="49">
        <v>45364.0</v>
      </c>
      <c r="G905" s="20" t="s">
        <v>53</v>
      </c>
      <c r="H905" s="20">
        <v>433.0</v>
      </c>
      <c r="I905" s="20" t="str">
        <f>VLOOKUP(B905,'товар'!$A$1:$C$433,2,FALSE)</f>
        <v>Фрукты</v>
      </c>
      <c r="J905" s="50">
        <f t="shared" si="2"/>
        <v>274.1627907</v>
      </c>
      <c r="K905" s="51">
        <f t="shared" si="3"/>
        <v>-0.7446772415</v>
      </c>
      <c r="L905" s="20" t="str">
        <f>VLOOKUP(B905,'товар'!$A$1:$C$433,3,FALSE)</f>
        <v>Фрукты-Ягоды</v>
      </c>
      <c r="M905" s="52">
        <f t="shared" si="4"/>
        <v>280.6666667</v>
      </c>
      <c r="N905" s="53">
        <f>VLOOKUP(H905,'клиенты'!$A$1:$F$435,5,FALSE)</f>
        <v>44832</v>
      </c>
      <c r="O905" s="20">
        <f t="shared" si="5"/>
        <v>532</v>
      </c>
      <c r="P905" s="20" t="str">
        <f>VLOOKUP(H905,'клиенты'!$A$2:$J$435,10,FALSE)</f>
        <v>Таджикистан</v>
      </c>
      <c r="Q905" s="54">
        <f t="shared" si="6"/>
        <v>46078.45901</v>
      </c>
      <c r="R905" s="55">
        <f t="shared" si="7"/>
        <v>41.54863373</v>
      </c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41">
        <v>905.0</v>
      </c>
      <c r="B906" s="41">
        <v>318.0</v>
      </c>
      <c r="C906" s="41">
        <v>280.0</v>
      </c>
      <c r="D906" s="41">
        <v>1.0</v>
      </c>
      <c r="E906" s="41">
        <f t="shared" si="1"/>
        <v>280</v>
      </c>
      <c r="F906" s="42">
        <v>45213.0</v>
      </c>
      <c r="G906" s="41" t="s">
        <v>46</v>
      </c>
      <c r="H906" s="41">
        <v>382.0</v>
      </c>
      <c r="I906" s="41" t="str">
        <f>VLOOKUP(B906,'товар'!$A$1:$C$433,2,FALSE)</f>
        <v>Молоко</v>
      </c>
      <c r="J906" s="43">
        <f t="shared" si="2"/>
        <v>294.952381</v>
      </c>
      <c r="K906" s="44">
        <f t="shared" si="3"/>
        <v>-0.05069422021</v>
      </c>
      <c r="L906" s="41" t="str">
        <f>VLOOKUP(B906,'товар'!$A$1:$C$433,3,FALSE)</f>
        <v>Домик в деревне</v>
      </c>
      <c r="M906" s="45">
        <f t="shared" si="4"/>
        <v>274.7777778</v>
      </c>
      <c r="N906" s="46">
        <f>VLOOKUP(H906,'клиенты'!$A$1:$F$435,5,FALSE)</f>
        <v>44850</v>
      </c>
      <c r="O906" s="41">
        <f t="shared" si="5"/>
        <v>363</v>
      </c>
      <c r="P906" s="41" t="str">
        <f>VLOOKUP(H906,'клиенты'!$A$2:$J$435,10,FALSE)</f>
        <v>Беларусь</v>
      </c>
      <c r="Q906" s="47">
        <f t="shared" si="6"/>
        <v>46078.45901</v>
      </c>
      <c r="R906" s="48">
        <f t="shared" si="7"/>
        <v>40.94863373</v>
      </c>
      <c r="S906" s="41"/>
      <c r="T906" s="41"/>
      <c r="U906" s="41"/>
      <c r="V906" s="41"/>
      <c r="W906" s="41"/>
      <c r="X906" s="41"/>
      <c r="Y906" s="41"/>
      <c r="Z906" s="41"/>
    </row>
    <row r="907" ht="14.25" customHeight="1">
      <c r="A907" s="20">
        <v>906.0</v>
      </c>
      <c r="B907" s="20">
        <v>269.0</v>
      </c>
      <c r="C907" s="20">
        <v>315.0</v>
      </c>
      <c r="D907" s="20">
        <v>1.0</v>
      </c>
      <c r="E907" s="20">
        <f t="shared" si="1"/>
        <v>315</v>
      </c>
      <c r="F907" s="49">
        <v>45355.0</v>
      </c>
      <c r="G907" s="20" t="s">
        <v>37</v>
      </c>
      <c r="H907" s="20">
        <v>41.0</v>
      </c>
      <c r="I907" s="20" t="str">
        <f>VLOOKUP(B907,'товар'!$A$1:$C$433,2,FALSE)</f>
        <v>Сахар</v>
      </c>
      <c r="J907" s="50">
        <f t="shared" si="2"/>
        <v>252.7627119</v>
      </c>
      <c r="K907" s="51">
        <f t="shared" si="3"/>
        <v>0.2462281231</v>
      </c>
      <c r="L907" s="20" t="str">
        <f>VLOOKUP(B907,'товар'!$A$1:$C$433,3,FALSE)</f>
        <v>Русский сахар</v>
      </c>
      <c r="M907" s="52">
        <f t="shared" si="4"/>
        <v>293.4117647</v>
      </c>
      <c r="N907" s="53">
        <f>VLOOKUP(H907,'клиенты'!$A$1:$F$435,5,FALSE)</f>
        <v>44842</v>
      </c>
      <c r="O907" s="20">
        <f t="shared" si="5"/>
        <v>513</v>
      </c>
      <c r="P907" s="20" t="str">
        <f>VLOOKUP(H907,'клиенты'!$A$2:$J$435,10,FALSE)</f>
        <v>Россия</v>
      </c>
      <c r="Q907" s="54">
        <f t="shared" si="6"/>
        <v>46078.45901</v>
      </c>
      <c r="R907" s="55">
        <f t="shared" si="7"/>
        <v>41.21530039</v>
      </c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41">
        <v>907.0</v>
      </c>
      <c r="B908" s="41">
        <v>55.0</v>
      </c>
      <c r="C908" s="41">
        <v>353.0</v>
      </c>
      <c r="D908" s="41">
        <v>1.0</v>
      </c>
      <c r="E908" s="41">
        <f t="shared" si="1"/>
        <v>353</v>
      </c>
      <c r="F908" s="42">
        <v>45413.0</v>
      </c>
      <c r="G908" s="41" t="s">
        <v>40</v>
      </c>
      <c r="H908" s="41">
        <v>129.0</v>
      </c>
      <c r="I908" s="41" t="str">
        <f>VLOOKUP(B908,'товар'!$A$1:$C$433,2,FALSE)</f>
        <v>Крупа</v>
      </c>
      <c r="J908" s="43">
        <f t="shared" si="2"/>
        <v>255.1162791</v>
      </c>
      <c r="K908" s="44">
        <f t="shared" si="3"/>
        <v>0.3836827712</v>
      </c>
      <c r="L908" s="41" t="str">
        <f>VLOOKUP(B908,'товар'!$A$1:$C$433,3,FALSE)</f>
        <v>Националь</v>
      </c>
      <c r="M908" s="45">
        <f t="shared" si="4"/>
        <v>274.2857143</v>
      </c>
      <c r="N908" s="46">
        <f>VLOOKUP(H908,'клиенты'!$A$1:$F$435,5,FALSE)</f>
        <v>44868</v>
      </c>
      <c r="O908" s="41">
        <f t="shared" si="5"/>
        <v>545</v>
      </c>
      <c r="P908" s="41" t="str">
        <f>VLOOKUP(H908,'клиенты'!$A$2:$J$435,10,FALSE)</f>
        <v>Беларусь</v>
      </c>
      <c r="Q908" s="47">
        <f t="shared" si="6"/>
        <v>46078.45901</v>
      </c>
      <c r="R908" s="48">
        <f t="shared" si="7"/>
        <v>40.34863373</v>
      </c>
      <c r="S908" s="41"/>
      <c r="T908" s="41"/>
      <c r="U908" s="41"/>
      <c r="V908" s="41"/>
      <c r="W908" s="41"/>
      <c r="X908" s="41"/>
      <c r="Y908" s="41"/>
      <c r="Z908" s="41"/>
    </row>
    <row r="909" ht="14.25" customHeight="1">
      <c r="A909" s="20">
        <v>908.0</v>
      </c>
      <c r="B909" s="20">
        <v>327.0</v>
      </c>
      <c r="C909" s="20">
        <v>342.0</v>
      </c>
      <c r="D909" s="20">
        <v>2.0</v>
      </c>
      <c r="E909" s="20">
        <f t="shared" si="1"/>
        <v>684</v>
      </c>
      <c r="F909" s="49">
        <v>45284.0</v>
      </c>
      <c r="G909" s="20" t="s">
        <v>46</v>
      </c>
      <c r="H909" s="20">
        <v>335.0</v>
      </c>
      <c r="I909" s="20" t="str">
        <f>VLOOKUP(B909,'товар'!$A$1:$C$433,2,FALSE)</f>
        <v>Колбаса</v>
      </c>
      <c r="J909" s="50">
        <f t="shared" si="2"/>
        <v>286.9230769</v>
      </c>
      <c r="K909" s="51">
        <f t="shared" si="3"/>
        <v>0.1919571046</v>
      </c>
      <c r="L909" s="20" t="str">
        <f>VLOOKUP(B909,'товар'!$A$1:$C$433,3,FALSE)</f>
        <v>Черкизово</v>
      </c>
      <c r="M909" s="52">
        <f t="shared" si="4"/>
        <v>320.25</v>
      </c>
      <c r="N909" s="53">
        <f>VLOOKUP(H909,'клиенты'!$A$1:$F$435,5,FALSE)</f>
        <v>44619</v>
      </c>
      <c r="O909" s="20">
        <f t="shared" si="5"/>
        <v>665</v>
      </c>
      <c r="P909" s="20" t="str">
        <f>VLOOKUP(H909,'клиенты'!$A$2:$J$435,10,FALSE)</f>
        <v>Узбекистан</v>
      </c>
      <c r="Q909" s="54">
        <f t="shared" si="6"/>
        <v>46078.45901</v>
      </c>
      <c r="R909" s="55">
        <f t="shared" si="7"/>
        <v>48.64863373</v>
      </c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41">
        <v>909.0</v>
      </c>
      <c r="B910" s="41">
        <v>364.0</v>
      </c>
      <c r="C910" s="41">
        <v>299.0</v>
      </c>
      <c r="D910" s="41">
        <v>3.0</v>
      </c>
      <c r="E910" s="41">
        <f t="shared" si="1"/>
        <v>897</v>
      </c>
      <c r="F910" s="42">
        <v>44932.0</v>
      </c>
      <c r="G910" s="41" t="s">
        <v>50</v>
      </c>
      <c r="H910" s="41">
        <v>194.0</v>
      </c>
      <c r="I910" s="41" t="str">
        <f>VLOOKUP(B910,'товар'!$A$1:$C$433,2,FALSE)</f>
        <v>Сахар</v>
      </c>
      <c r="J910" s="43">
        <f t="shared" si="2"/>
        <v>252.7627119</v>
      </c>
      <c r="K910" s="44">
        <f t="shared" si="3"/>
        <v>0.182927647</v>
      </c>
      <c r="L910" s="41" t="str">
        <f>VLOOKUP(B910,'товар'!$A$1:$C$433,3,FALSE)</f>
        <v>Русский сахар</v>
      </c>
      <c r="M910" s="45">
        <f t="shared" si="4"/>
        <v>293.4117647</v>
      </c>
      <c r="N910" s="46">
        <f>VLOOKUP(H910,'клиенты'!$A$1:$F$435,5,FALSE)</f>
        <v>44924</v>
      </c>
      <c r="O910" s="41">
        <f t="shared" si="5"/>
        <v>8</v>
      </c>
      <c r="P910" s="41" t="str">
        <f>VLOOKUP(H910,'клиенты'!$A$2:$J$435,10,FALSE)</f>
        <v>Россия</v>
      </c>
      <c r="Q910" s="47">
        <f t="shared" si="6"/>
        <v>46078.45901</v>
      </c>
      <c r="R910" s="48">
        <f t="shared" si="7"/>
        <v>38.48196706</v>
      </c>
      <c r="S910" s="41"/>
      <c r="T910" s="41"/>
      <c r="U910" s="41"/>
      <c r="V910" s="41"/>
      <c r="W910" s="41"/>
      <c r="X910" s="41"/>
      <c r="Y910" s="41"/>
      <c r="Z910" s="41"/>
    </row>
    <row r="911" ht="14.25" customHeight="1">
      <c r="A911" s="20">
        <v>910.0</v>
      </c>
      <c r="B911" s="20">
        <v>378.0</v>
      </c>
      <c r="C911" s="20">
        <v>397.0</v>
      </c>
      <c r="D911" s="20">
        <v>1.0</v>
      </c>
      <c r="E911" s="20">
        <f t="shared" si="1"/>
        <v>397</v>
      </c>
      <c r="F911" s="49">
        <v>45000.0</v>
      </c>
      <c r="G911" s="20" t="s">
        <v>43</v>
      </c>
      <c r="H911" s="20">
        <v>56.0</v>
      </c>
      <c r="I911" s="20" t="str">
        <f>VLOOKUP(B911,'товар'!$A$1:$C$433,2,FALSE)</f>
        <v>Сок</v>
      </c>
      <c r="J911" s="50">
        <f t="shared" si="2"/>
        <v>268.6034483</v>
      </c>
      <c r="K911" s="51">
        <f t="shared" si="3"/>
        <v>0.478015277</v>
      </c>
      <c r="L911" s="20" t="str">
        <f>VLOOKUP(B911,'товар'!$A$1:$C$433,3,FALSE)</f>
        <v>Фруктовый сад</v>
      </c>
      <c r="M911" s="52">
        <f t="shared" si="4"/>
        <v>281.96875</v>
      </c>
      <c r="N911" s="53">
        <f>VLOOKUP(H911,'клиенты'!$A$1:$F$435,5,FALSE)</f>
        <v>44662</v>
      </c>
      <c r="O911" s="20">
        <f t="shared" si="5"/>
        <v>338</v>
      </c>
      <c r="P911" s="20" t="str">
        <f>VLOOKUP(H911,'клиенты'!$A$2:$J$435,10,FALSE)</f>
        <v>Таджикистан</v>
      </c>
      <c r="Q911" s="54">
        <f t="shared" si="6"/>
        <v>46078.45901</v>
      </c>
      <c r="R911" s="55">
        <f t="shared" si="7"/>
        <v>47.21530039</v>
      </c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41">
        <v>911.0</v>
      </c>
      <c r="B912" s="41">
        <v>462.0</v>
      </c>
      <c r="C912" s="41">
        <v>231.0</v>
      </c>
      <c r="D912" s="41">
        <v>2.0</v>
      </c>
      <c r="E912" s="41">
        <f t="shared" si="1"/>
        <v>462</v>
      </c>
      <c r="F912" s="42">
        <v>44950.0</v>
      </c>
      <c r="G912" s="41" t="s">
        <v>47</v>
      </c>
      <c r="H912" s="41">
        <v>493.0</v>
      </c>
      <c r="I912" s="41" t="str">
        <f>VLOOKUP(B912,'товар'!$A$1:$C$433,2,FALSE)</f>
        <v>Рис</v>
      </c>
      <c r="J912" s="43">
        <f t="shared" si="2"/>
        <v>258.375</v>
      </c>
      <c r="K912" s="44">
        <f t="shared" si="3"/>
        <v>-0.1059506531</v>
      </c>
      <c r="L912" s="41" t="str">
        <f>VLOOKUP(B912,'товар'!$A$1:$C$433,3,FALSE)</f>
        <v>Белый Злат</v>
      </c>
      <c r="M912" s="45">
        <f t="shared" si="4"/>
        <v>269.7058824</v>
      </c>
      <c r="N912" s="46">
        <f>VLOOKUP(H912,'клиенты'!$A$1:$F$435,5,FALSE)</f>
        <v>44855</v>
      </c>
      <c r="O912" s="41">
        <f t="shared" si="5"/>
        <v>95</v>
      </c>
      <c r="P912" s="41" t="str">
        <f>VLOOKUP(H912,'клиенты'!$A$2:$J$435,10,FALSE)</f>
        <v>Украина</v>
      </c>
      <c r="Q912" s="47">
        <f t="shared" si="6"/>
        <v>46078.45901</v>
      </c>
      <c r="R912" s="48">
        <f t="shared" si="7"/>
        <v>40.78196706</v>
      </c>
      <c r="S912" s="41"/>
      <c r="T912" s="41"/>
      <c r="U912" s="41"/>
      <c r="V912" s="41"/>
      <c r="W912" s="41"/>
      <c r="X912" s="41"/>
      <c r="Y912" s="41"/>
      <c r="Z912" s="41"/>
    </row>
    <row r="913" ht="14.25" customHeight="1">
      <c r="A913" s="20">
        <v>912.0</v>
      </c>
      <c r="B913" s="20">
        <v>89.0</v>
      </c>
      <c r="C913" s="20">
        <v>120.0</v>
      </c>
      <c r="D913" s="20">
        <v>5.0</v>
      </c>
      <c r="E913" s="20">
        <f t="shared" si="1"/>
        <v>600</v>
      </c>
      <c r="F913" s="49">
        <v>44962.0</v>
      </c>
      <c r="G913" s="20" t="s">
        <v>40</v>
      </c>
      <c r="H913" s="20">
        <v>222.0</v>
      </c>
      <c r="I913" s="20" t="str">
        <f>VLOOKUP(B913,'товар'!$A$1:$C$433,2,FALSE)</f>
        <v>Конфеты</v>
      </c>
      <c r="J913" s="50">
        <f t="shared" si="2"/>
        <v>267.8548387</v>
      </c>
      <c r="K913" s="51">
        <f t="shared" si="3"/>
        <v>-0.5519961462</v>
      </c>
      <c r="L913" s="20" t="str">
        <f>VLOOKUP(B913,'товар'!$A$1:$C$433,3,FALSE)</f>
        <v>Рот Фронт</v>
      </c>
      <c r="M913" s="52">
        <f t="shared" si="4"/>
        <v>288.2380952</v>
      </c>
      <c r="N913" s="53">
        <f>VLOOKUP(H913,'клиенты'!$A$1:$F$435,5,FALSE)</f>
        <v>44694</v>
      </c>
      <c r="O913" s="20">
        <f t="shared" si="5"/>
        <v>268</v>
      </c>
      <c r="P913" s="20" t="str">
        <f>VLOOKUP(H913,'клиенты'!$A$2:$J$435,10,FALSE)</f>
        <v>Украина</v>
      </c>
      <c r="Q913" s="54">
        <f t="shared" si="6"/>
        <v>46078.45901</v>
      </c>
      <c r="R913" s="55">
        <f t="shared" si="7"/>
        <v>46.14863373</v>
      </c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41">
        <v>913.0</v>
      </c>
      <c r="B914" s="41">
        <v>465.0</v>
      </c>
      <c r="C914" s="41">
        <v>177.0</v>
      </c>
      <c r="D914" s="41">
        <v>1.0</v>
      </c>
      <c r="E914" s="41">
        <f t="shared" si="1"/>
        <v>177</v>
      </c>
      <c r="F914" s="42">
        <v>45122.0</v>
      </c>
      <c r="G914" s="41" t="s">
        <v>51</v>
      </c>
      <c r="H914" s="41">
        <v>167.0</v>
      </c>
      <c r="I914" s="41" t="str">
        <f>VLOOKUP(B914,'товар'!$A$1:$C$433,2,FALSE)</f>
        <v>Йогурт</v>
      </c>
      <c r="J914" s="43">
        <f t="shared" si="2"/>
        <v>263.2542373</v>
      </c>
      <c r="K914" s="44">
        <f t="shared" si="3"/>
        <v>-0.3276461499</v>
      </c>
      <c r="L914" s="41" t="str">
        <f>VLOOKUP(B914,'товар'!$A$1:$C$433,3,FALSE)</f>
        <v>Ростагроэкспорт</v>
      </c>
      <c r="M914" s="45">
        <f t="shared" si="4"/>
        <v>257.7826087</v>
      </c>
      <c r="N914" s="46">
        <f>VLOOKUP(H914,'клиенты'!$A$1:$F$435,5,FALSE)</f>
        <v>44563</v>
      </c>
      <c r="O914" s="41">
        <f t="shared" si="5"/>
        <v>559</v>
      </c>
      <c r="P914" s="41" t="str">
        <f>VLOOKUP(H914,'клиенты'!$A$2:$J$435,10,FALSE)</f>
        <v>Узбекистан</v>
      </c>
      <c r="Q914" s="47">
        <f t="shared" si="6"/>
        <v>46078.45901</v>
      </c>
      <c r="R914" s="48">
        <f t="shared" si="7"/>
        <v>50.51530039</v>
      </c>
      <c r="S914" s="41"/>
      <c r="T914" s="41"/>
      <c r="U914" s="41"/>
      <c r="V914" s="41"/>
      <c r="W914" s="41"/>
      <c r="X914" s="41"/>
      <c r="Y914" s="41"/>
      <c r="Z914" s="41"/>
    </row>
    <row r="915" ht="14.25" customHeight="1">
      <c r="A915" s="20">
        <v>914.0</v>
      </c>
      <c r="B915" s="20">
        <v>208.0</v>
      </c>
      <c r="C915" s="20">
        <v>412.0</v>
      </c>
      <c r="D915" s="20">
        <v>4.0</v>
      </c>
      <c r="E915" s="20">
        <f t="shared" si="1"/>
        <v>1648</v>
      </c>
      <c r="F915" s="49">
        <v>45319.0</v>
      </c>
      <c r="G915" s="20" t="s">
        <v>42</v>
      </c>
      <c r="H915" s="20">
        <v>212.0</v>
      </c>
      <c r="I915" s="20" t="str">
        <f>VLOOKUP(B915,'товар'!$A$1:$C$433,2,FALSE)</f>
        <v>Конфеты</v>
      </c>
      <c r="J915" s="50">
        <f t="shared" si="2"/>
        <v>267.8548387</v>
      </c>
      <c r="K915" s="51">
        <f t="shared" si="3"/>
        <v>0.5381465647</v>
      </c>
      <c r="L915" s="20" t="str">
        <f>VLOOKUP(B915,'товар'!$A$1:$C$433,3,FALSE)</f>
        <v>Славянка</v>
      </c>
      <c r="M915" s="52">
        <f t="shared" si="4"/>
        <v>268</v>
      </c>
      <c r="N915" s="53">
        <f>VLOOKUP(H915,'клиенты'!$A$1:$F$435,5,FALSE)</f>
        <v>44815</v>
      </c>
      <c r="O915" s="20">
        <f t="shared" si="5"/>
        <v>504</v>
      </c>
      <c r="P915" s="20" t="str">
        <f>VLOOKUP(H915,'клиенты'!$A$2:$J$435,10,FALSE)</f>
        <v>Узбекистан</v>
      </c>
      <c r="Q915" s="54">
        <f t="shared" si="6"/>
        <v>46078.45901</v>
      </c>
      <c r="R915" s="55">
        <f t="shared" si="7"/>
        <v>42.11530039</v>
      </c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41">
        <v>915.0</v>
      </c>
      <c r="B916" s="41">
        <v>357.0</v>
      </c>
      <c r="C916" s="41">
        <v>279.0</v>
      </c>
      <c r="D916" s="41">
        <v>2.0</v>
      </c>
      <c r="E916" s="41">
        <f t="shared" si="1"/>
        <v>558</v>
      </c>
      <c r="F916" s="42">
        <v>45266.0</v>
      </c>
      <c r="G916" s="41" t="s">
        <v>44</v>
      </c>
      <c r="H916" s="41">
        <v>499.0</v>
      </c>
      <c r="I916" s="41" t="str">
        <f>VLOOKUP(B916,'товар'!$A$1:$C$433,2,FALSE)</f>
        <v>Мясо</v>
      </c>
      <c r="J916" s="43">
        <f t="shared" si="2"/>
        <v>271.7454545</v>
      </c>
      <c r="K916" s="44">
        <f t="shared" si="3"/>
        <v>0.02669610598</v>
      </c>
      <c r="L916" s="41" t="str">
        <f>VLOOKUP(B916,'товар'!$A$1:$C$433,3,FALSE)</f>
        <v>Снежана</v>
      </c>
      <c r="M916" s="45">
        <f t="shared" si="4"/>
        <v>272.3529412</v>
      </c>
      <c r="N916" s="46">
        <f>VLOOKUP(H916,'клиенты'!$A$1:$F$435,5,FALSE)</f>
        <v>44798</v>
      </c>
      <c r="O916" s="41">
        <f t="shared" si="5"/>
        <v>468</v>
      </c>
      <c r="P916" s="41" t="str">
        <f>VLOOKUP(H916,'клиенты'!$A$2:$J$435,10,FALSE)</f>
        <v>Беларусь</v>
      </c>
      <c r="Q916" s="47">
        <f t="shared" si="6"/>
        <v>46078.45901</v>
      </c>
      <c r="R916" s="48">
        <f t="shared" si="7"/>
        <v>42.68196706</v>
      </c>
      <c r="S916" s="41"/>
      <c r="T916" s="41"/>
      <c r="U916" s="41"/>
      <c r="V916" s="41"/>
      <c r="W916" s="41"/>
      <c r="X916" s="41"/>
      <c r="Y916" s="41"/>
      <c r="Z916" s="41"/>
    </row>
    <row r="917" ht="14.25" customHeight="1">
      <c r="A917" s="20">
        <v>916.0</v>
      </c>
      <c r="B917" s="20">
        <v>416.0</v>
      </c>
      <c r="C917" s="20">
        <v>472.0</v>
      </c>
      <c r="D917" s="20">
        <v>1.0</v>
      </c>
      <c r="E917" s="20">
        <f t="shared" si="1"/>
        <v>472</v>
      </c>
      <c r="F917" s="49">
        <v>45339.0</v>
      </c>
      <c r="G917" s="20" t="s">
        <v>40</v>
      </c>
      <c r="H917" s="20">
        <v>401.0</v>
      </c>
      <c r="I917" s="20" t="str">
        <f>VLOOKUP(B917,'товар'!$A$1:$C$433,2,FALSE)</f>
        <v>Рыба</v>
      </c>
      <c r="J917" s="50">
        <f t="shared" si="2"/>
        <v>258.5128205</v>
      </c>
      <c r="K917" s="51">
        <f t="shared" si="3"/>
        <v>0.8258282087</v>
      </c>
      <c r="L917" s="20" t="str">
        <f>VLOOKUP(B917,'товар'!$A$1:$C$433,3,FALSE)</f>
        <v>Меридиан</v>
      </c>
      <c r="M917" s="52">
        <f t="shared" si="4"/>
        <v>260.6470588</v>
      </c>
      <c r="N917" s="53">
        <f>VLOOKUP(H917,'клиенты'!$A$1:$F$435,5,FALSE)</f>
        <v>44856</v>
      </c>
      <c r="O917" s="20">
        <f t="shared" si="5"/>
        <v>483</v>
      </c>
      <c r="P917" s="20" t="str">
        <f>VLOOKUP(H917,'клиенты'!$A$2:$J$435,10,FALSE)</f>
        <v>Россия</v>
      </c>
      <c r="Q917" s="54">
        <f t="shared" si="6"/>
        <v>46078.45901</v>
      </c>
      <c r="R917" s="55">
        <f t="shared" si="7"/>
        <v>40.74863373</v>
      </c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41">
        <v>917.0</v>
      </c>
      <c r="B918" s="41">
        <v>374.0</v>
      </c>
      <c r="C918" s="41">
        <v>52.0</v>
      </c>
      <c r="D918" s="41">
        <v>3.0</v>
      </c>
      <c r="E918" s="41">
        <f t="shared" si="1"/>
        <v>156</v>
      </c>
      <c r="F918" s="42">
        <v>45026.0</v>
      </c>
      <c r="G918" s="41" t="s">
        <v>47</v>
      </c>
      <c r="H918" s="41">
        <v>463.0</v>
      </c>
      <c r="I918" s="41" t="str">
        <f>VLOOKUP(B918,'товар'!$A$1:$C$433,2,FALSE)</f>
        <v>Кофе</v>
      </c>
      <c r="J918" s="43">
        <f t="shared" si="2"/>
        <v>249.0238095</v>
      </c>
      <c r="K918" s="44">
        <f t="shared" si="3"/>
        <v>-0.7911846257</v>
      </c>
      <c r="L918" s="41" t="str">
        <f>VLOOKUP(B918,'товар'!$A$1:$C$433,3,FALSE)</f>
        <v>Tchibo</v>
      </c>
      <c r="M918" s="45">
        <f t="shared" si="4"/>
        <v>140</v>
      </c>
      <c r="N918" s="46">
        <f>VLOOKUP(H918,'клиенты'!$A$1:$F$435,5,FALSE)</f>
        <v>44869</v>
      </c>
      <c r="O918" s="41">
        <f t="shared" si="5"/>
        <v>157</v>
      </c>
      <c r="P918" s="41" t="str">
        <f>VLOOKUP(H918,'клиенты'!$A$2:$J$435,10,FALSE)</f>
        <v>Украина</v>
      </c>
      <c r="Q918" s="47">
        <f t="shared" si="6"/>
        <v>46078.45901</v>
      </c>
      <c r="R918" s="48">
        <f t="shared" si="7"/>
        <v>40.31530039</v>
      </c>
      <c r="S918" s="41"/>
      <c r="T918" s="41"/>
      <c r="U918" s="41"/>
      <c r="V918" s="41"/>
      <c r="W918" s="41"/>
      <c r="X918" s="41"/>
      <c r="Y918" s="41"/>
      <c r="Z918" s="41"/>
    </row>
    <row r="919" ht="14.25" customHeight="1">
      <c r="A919" s="20">
        <v>918.0</v>
      </c>
      <c r="B919" s="20">
        <v>145.0</v>
      </c>
      <c r="C919" s="20">
        <v>144.0</v>
      </c>
      <c r="D919" s="20">
        <v>5.0</v>
      </c>
      <c r="E919" s="20">
        <f t="shared" si="1"/>
        <v>720</v>
      </c>
      <c r="F919" s="49">
        <v>45312.0</v>
      </c>
      <c r="G919" s="20" t="s">
        <v>45</v>
      </c>
      <c r="H919" s="20">
        <v>347.0</v>
      </c>
      <c r="I919" s="20" t="str">
        <f>VLOOKUP(B919,'товар'!$A$1:$C$433,2,FALSE)</f>
        <v>Овощи</v>
      </c>
      <c r="J919" s="50">
        <f t="shared" si="2"/>
        <v>250.4878049</v>
      </c>
      <c r="K919" s="51">
        <f t="shared" si="3"/>
        <v>-0.4251217137</v>
      </c>
      <c r="L919" s="20" t="str">
        <f>VLOOKUP(B919,'товар'!$A$1:$C$433,3,FALSE)</f>
        <v>Семко</v>
      </c>
      <c r="M919" s="52">
        <f t="shared" si="4"/>
        <v>208</v>
      </c>
      <c r="N919" s="53">
        <f>VLOOKUP(H919,'клиенты'!$A$1:$F$435,5,FALSE)</f>
        <v>44588</v>
      </c>
      <c r="O919" s="20">
        <f t="shared" si="5"/>
        <v>724</v>
      </c>
      <c r="P919" s="20" t="str">
        <f>VLOOKUP(H919,'клиенты'!$A$2:$J$435,10,FALSE)</f>
        <v>Таджикистан</v>
      </c>
      <c r="Q919" s="54">
        <f t="shared" si="6"/>
        <v>46078.45901</v>
      </c>
      <c r="R919" s="55">
        <f t="shared" si="7"/>
        <v>49.68196706</v>
      </c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41">
        <v>919.0</v>
      </c>
      <c r="B920" s="41">
        <v>289.0</v>
      </c>
      <c r="C920" s="41">
        <v>258.0</v>
      </c>
      <c r="D920" s="41">
        <v>2.0</v>
      </c>
      <c r="E920" s="41">
        <f t="shared" si="1"/>
        <v>516</v>
      </c>
      <c r="F920" s="42">
        <v>45392.0</v>
      </c>
      <c r="G920" s="41" t="s">
        <v>46</v>
      </c>
      <c r="H920" s="41">
        <v>54.0</v>
      </c>
      <c r="I920" s="41" t="str">
        <f>VLOOKUP(B920,'товар'!$A$1:$C$433,2,FALSE)</f>
        <v>Сок</v>
      </c>
      <c r="J920" s="43">
        <f t="shared" si="2"/>
        <v>268.6034483</v>
      </c>
      <c r="K920" s="44">
        <f t="shared" si="3"/>
        <v>-0.03947621799</v>
      </c>
      <c r="L920" s="41" t="str">
        <f>VLOOKUP(B920,'товар'!$A$1:$C$433,3,FALSE)</f>
        <v>Добрый</v>
      </c>
      <c r="M920" s="45">
        <f t="shared" si="4"/>
        <v>242.8181818</v>
      </c>
      <c r="N920" s="46">
        <f>VLOOKUP(H920,'клиенты'!$A$1:$F$435,5,FALSE)</f>
        <v>44847</v>
      </c>
      <c r="O920" s="41">
        <f t="shared" si="5"/>
        <v>545</v>
      </c>
      <c r="P920" s="41" t="str">
        <f>VLOOKUP(H920,'клиенты'!$A$2:$J$435,10,FALSE)</f>
        <v>Беларусь</v>
      </c>
      <c r="Q920" s="47">
        <f t="shared" si="6"/>
        <v>46078.45901</v>
      </c>
      <c r="R920" s="48">
        <f t="shared" si="7"/>
        <v>41.04863373</v>
      </c>
      <c r="S920" s="41"/>
      <c r="T920" s="41"/>
      <c r="U920" s="41"/>
      <c r="V920" s="41"/>
      <c r="W920" s="41"/>
      <c r="X920" s="41"/>
      <c r="Y920" s="41"/>
      <c r="Z920" s="41"/>
    </row>
    <row r="921" ht="14.25" customHeight="1">
      <c r="A921" s="20">
        <v>920.0</v>
      </c>
      <c r="B921" s="20">
        <v>173.0</v>
      </c>
      <c r="C921" s="20">
        <v>173.0</v>
      </c>
      <c r="D921" s="20">
        <v>2.0</v>
      </c>
      <c r="E921" s="20">
        <f t="shared" si="1"/>
        <v>346</v>
      </c>
      <c r="F921" s="49">
        <v>45097.0</v>
      </c>
      <c r="G921" s="20" t="s">
        <v>47</v>
      </c>
      <c r="H921" s="20">
        <v>246.0</v>
      </c>
      <c r="I921" s="20" t="str">
        <f>VLOOKUP(B921,'товар'!$A$1:$C$433,2,FALSE)</f>
        <v>Сок</v>
      </c>
      <c r="J921" s="50">
        <f t="shared" si="2"/>
        <v>268.6034483</v>
      </c>
      <c r="K921" s="51">
        <f t="shared" si="3"/>
        <v>-0.3559278516</v>
      </c>
      <c r="L921" s="20" t="str">
        <f>VLOOKUP(B921,'товар'!$A$1:$C$433,3,FALSE)</f>
        <v>Фруктовый сад</v>
      </c>
      <c r="M921" s="52">
        <f t="shared" si="4"/>
        <v>281.96875</v>
      </c>
      <c r="N921" s="53">
        <f>VLOOKUP(H921,'клиенты'!$A$1:$F$435,5,FALSE)</f>
        <v>44805</v>
      </c>
      <c r="O921" s="20">
        <f t="shared" si="5"/>
        <v>292</v>
      </c>
      <c r="P921" s="20" t="str">
        <f>VLOOKUP(H921,'клиенты'!$A$2:$J$435,10,FALSE)</f>
        <v>Узбекистан</v>
      </c>
      <c r="Q921" s="54">
        <f t="shared" si="6"/>
        <v>46078.45901</v>
      </c>
      <c r="R921" s="55">
        <f t="shared" si="7"/>
        <v>42.44863373</v>
      </c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41">
        <v>921.0</v>
      </c>
      <c r="B922" s="41">
        <v>390.0</v>
      </c>
      <c r="C922" s="41">
        <v>494.0</v>
      </c>
      <c r="D922" s="41">
        <v>3.0</v>
      </c>
      <c r="E922" s="41">
        <f t="shared" si="1"/>
        <v>1482</v>
      </c>
      <c r="F922" s="42">
        <v>45196.0</v>
      </c>
      <c r="G922" s="41" t="s">
        <v>39</v>
      </c>
      <c r="H922" s="41">
        <v>65.0</v>
      </c>
      <c r="I922" s="41" t="str">
        <f>VLOOKUP(B922,'товар'!$A$1:$C$433,2,FALSE)</f>
        <v>Сок</v>
      </c>
      <c r="J922" s="43">
        <f t="shared" si="2"/>
        <v>268.6034483</v>
      </c>
      <c r="K922" s="44">
        <f t="shared" si="3"/>
        <v>0.8391424353</v>
      </c>
      <c r="L922" s="41" t="str">
        <f>VLOOKUP(B922,'товар'!$A$1:$C$433,3,FALSE)</f>
        <v>Сады Придонья</v>
      </c>
      <c r="M922" s="45">
        <f t="shared" si="4"/>
        <v>254.1818182</v>
      </c>
      <c r="N922" s="46">
        <f>VLOOKUP(H922,'клиенты'!$A$1:$F$435,5,FALSE)</f>
        <v>44623</v>
      </c>
      <c r="O922" s="41">
        <f t="shared" si="5"/>
        <v>573</v>
      </c>
      <c r="P922" s="41" t="str">
        <f>VLOOKUP(H922,'клиенты'!$A$2:$J$435,10,FALSE)</f>
        <v>Украина</v>
      </c>
      <c r="Q922" s="47">
        <f t="shared" si="6"/>
        <v>46078.45901</v>
      </c>
      <c r="R922" s="48">
        <f t="shared" si="7"/>
        <v>48.51530039</v>
      </c>
      <c r="S922" s="41"/>
      <c r="T922" s="41"/>
      <c r="U922" s="41"/>
      <c r="V922" s="41"/>
      <c r="W922" s="41"/>
      <c r="X922" s="41"/>
      <c r="Y922" s="41"/>
      <c r="Z922" s="41"/>
    </row>
    <row r="923" ht="14.25" customHeight="1">
      <c r="A923" s="20">
        <v>922.0</v>
      </c>
      <c r="B923" s="20">
        <v>482.0</v>
      </c>
      <c r="C923" s="20">
        <v>198.0</v>
      </c>
      <c r="D923" s="20">
        <v>2.0</v>
      </c>
      <c r="E923" s="20">
        <f t="shared" si="1"/>
        <v>396</v>
      </c>
      <c r="F923" s="49">
        <v>45197.0</v>
      </c>
      <c r="G923" s="20" t="s">
        <v>47</v>
      </c>
      <c r="H923" s="20">
        <v>44.0</v>
      </c>
      <c r="I923" s="20" t="str">
        <f>VLOOKUP(B923,'товар'!$A$1:$C$433,2,FALSE)</f>
        <v>Крупа</v>
      </c>
      <c r="J923" s="50">
        <f t="shared" si="2"/>
        <v>255.1162791</v>
      </c>
      <c r="K923" s="51">
        <f t="shared" si="3"/>
        <v>-0.2238833181</v>
      </c>
      <c r="L923" s="20" t="str">
        <f>VLOOKUP(B923,'товар'!$A$1:$C$433,3,FALSE)</f>
        <v>Мистраль</v>
      </c>
      <c r="M923" s="52">
        <f t="shared" si="4"/>
        <v>250.3076923</v>
      </c>
      <c r="N923" s="53">
        <f>VLOOKUP(H923,'клиенты'!$A$1:$F$435,5,FALSE)</f>
        <v>44701</v>
      </c>
      <c r="O923" s="20">
        <f t="shared" si="5"/>
        <v>496</v>
      </c>
      <c r="P923" s="20" t="str">
        <f>VLOOKUP(H923,'клиенты'!$A$2:$J$435,10,FALSE)</f>
        <v>Беларусь</v>
      </c>
      <c r="Q923" s="54">
        <f t="shared" si="6"/>
        <v>46078.45901</v>
      </c>
      <c r="R923" s="55">
        <f t="shared" si="7"/>
        <v>45.91530039</v>
      </c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41">
        <v>923.0</v>
      </c>
      <c r="B924" s="41">
        <v>465.0</v>
      </c>
      <c r="C924" s="41">
        <v>71.0</v>
      </c>
      <c r="D924" s="41">
        <v>5.0</v>
      </c>
      <c r="E924" s="41">
        <f t="shared" si="1"/>
        <v>355</v>
      </c>
      <c r="F924" s="42">
        <v>45253.0</v>
      </c>
      <c r="G924" s="41" t="s">
        <v>51</v>
      </c>
      <c r="H924" s="41">
        <v>321.0</v>
      </c>
      <c r="I924" s="41" t="str">
        <f>VLOOKUP(B924,'товар'!$A$1:$C$433,2,FALSE)</f>
        <v>Йогурт</v>
      </c>
      <c r="J924" s="43">
        <f t="shared" si="2"/>
        <v>263.2542373</v>
      </c>
      <c r="K924" s="44">
        <f t="shared" si="3"/>
        <v>-0.7302987381</v>
      </c>
      <c r="L924" s="41" t="str">
        <f>VLOOKUP(B924,'товар'!$A$1:$C$433,3,FALSE)</f>
        <v>Ростагроэкспорт</v>
      </c>
      <c r="M924" s="45">
        <f t="shared" si="4"/>
        <v>257.7826087</v>
      </c>
      <c r="N924" s="46">
        <f>VLOOKUP(H924,'клиенты'!$A$1:$F$435,5,FALSE)</f>
        <v>44756</v>
      </c>
      <c r="O924" s="41">
        <f t="shared" si="5"/>
        <v>497</v>
      </c>
      <c r="P924" s="41" t="str">
        <f>VLOOKUP(H924,'клиенты'!$A$2:$J$435,10,FALSE)</f>
        <v>Таджикистан</v>
      </c>
      <c r="Q924" s="47">
        <f t="shared" si="6"/>
        <v>46078.45901</v>
      </c>
      <c r="R924" s="48">
        <f t="shared" si="7"/>
        <v>44.08196706</v>
      </c>
      <c r="S924" s="41"/>
      <c r="T924" s="41"/>
      <c r="U924" s="41"/>
      <c r="V924" s="41"/>
      <c r="W924" s="41"/>
      <c r="X924" s="41"/>
      <c r="Y924" s="41"/>
      <c r="Z924" s="41"/>
    </row>
    <row r="925" ht="14.25" customHeight="1">
      <c r="A925" s="20">
        <v>924.0</v>
      </c>
      <c r="B925" s="20">
        <v>114.0</v>
      </c>
      <c r="C925" s="20">
        <v>228.0</v>
      </c>
      <c r="D925" s="20">
        <v>2.0</v>
      </c>
      <c r="E925" s="20">
        <f t="shared" si="1"/>
        <v>456</v>
      </c>
      <c r="F925" s="49">
        <v>45175.0</v>
      </c>
      <c r="G925" s="20" t="s">
        <v>50</v>
      </c>
      <c r="H925" s="20">
        <v>50.0</v>
      </c>
      <c r="I925" s="20" t="str">
        <f>VLOOKUP(B925,'товар'!$A$1:$C$433,2,FALSE)</f>
        <v>Сыр</v>
      </c>
      <c r="J925" s="50">
        <f t="shared" si="2"/>
        <v>262.6349206</v>
      </c>
      <c r="K925" s="51">
        <f t="shared" si="3"/>
        <v>-0.1318747734</v>
      </c>
      <c r="L925" s="20" t="str">
        <f>VLOOKUP(B925,'товар'!$A$1:$C$433,3,FALSE)</f>
        <v>Сырная долина</v>
      </c>
      <c r="M925" s="52">
        <f t="shared" si="4"/>
        <v>271</v>
      </c>
      <c r="N925" s="53">
        <f>VLOOKUP(H925,'клиенты'!$A$1:$F$435,5,FALSE)</f>
        <v>44576</v>
      </c>
      <c r="O925" s="20">
        <f t="shared" si="5"/>
        <v>599</v>
      </c>
      <c r="P925" s="20" t="str">
        <f>VLOOKUP(H925,'клиенты'!$A$2:$J$435,10,FALSE)</f>
        <v>Узбекистан</v>
      </c>
      <c r="Q925" s="54">
        <f t="shared" si="6"/>
        <v>46078.45901</v>
      </c>
      <c r="R925" s="55">
        <f t="shared" si="7"/>
        <v>50.08196706</v>
      </c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41">
        <v>925.0</v>
      </c>
      <c r="B926" s="41">
        <v>46.0</v>
      </c>
      <c r="C926" s="41">
        <v>290.0</v>
      </c>
      <c r="D926" s="41">
        <v>3.0</v>
      </c>
      <c r="E926" s="41">
        <f t="shared" si="1"/>
        <v>870</v>
      </c>
      <c r="F926" s="42">
        <v>45059.0</v>
      </c>
      <c r="G926" s="41" t="s">
        <v>43</v>
      </c>
      <c r="H926" s="41">
        <v>460.0</v>
      </c>
      <c r="I926" s="41" t="str">
        <f>VLOOKUP(B926,'товар'!$A$1:$C$433,2,FALSE)</f>
        <v>Йогурт</v>
      </c>
      <c r="J926" s="43">
        <f t="shared" si="2"/>
        <v>263.2542373</v>
      </c>
      <c r="K926" s="44">
        <f t="shared" si="3"/>
        <v>0.1015967036</v>
      </c>
      <c r="L926" s="41" t="str">
        <f>VLOOKUP(B926,'товар'!$A$1:$C$433,3,FALSE)</f>
        <v>Активиа</v>
      </c>
      <c r="M926" s="45">
        <f t="shared" si="4"/>
        <v>293.6666667</v>
      </c>
      <c r="N926" s="46">
        <f>VLOOKUP(H926,'клиенты'!$A$1:$F$435,5,FALSE)</f>
        <v>44821</v>
      </c>
      <c r="O926" s="41">
        <f t="shared" si="5"/>
        <v>238</v>
      </c>
      <c r="P926" s="41" t="str">
        <f>VLOOKUP(H926,'клиенты'!$A$2:$J$435,10,FALSE)</f>
        <v>Россия</v>
      </c>
      <c r="Q926" s="47">
        <f t="shared" si="6"/>
        <v>46078.45901</v>
      </c>
      <c r="R926" s="48">
        <f t="shared" si="7"/>
        <v>41.91530039</v>
      </c>
      <c r="S926" s="41"/>
      <c r="T926" s="41"/>
      <c r="U926" s="41"/>
      <c r="V926" s="41"/>
      <c r="W926" s="41"/>
      <c r="X926" s="41"/>
      <c r="Y926" s="41"/>
      <c r="Z926" s="41"/>
    </row>
    <row r="927" ht="14.25" customHeight="1">
      <c r="A927" s="20">
        <v>926.0</v>
      </c>
      <c r="B927" s="20">
        <v>222.0</v>
      </c>
      <c r="C927" s="20">
        <v>168.0</v>
      </c>
      <c r="D927" s="20">
        <v>3.0</v>
      </c>
      <c r="E927" s="20">
        <f t="shared" si="1"/>
        <v>504</v>
      </c>
      <c r="F927" s="49">
        <v>45313.0</v>
      </c>
      <c r="G927" s="20" t="s">
        <v>54</v>
      </c>
      <c r="H927" s="20">
        <v>79.0</v>
      </c>
      <c r="I927" s="20" t="str">
        <f>VLOOKUP(B927,'товар'!$A$1:$C$433,2,FALSE)</f>
        <v>Молоко</v>
      </c>
      <c r="J927" s="50">
        <f t="shared" si="2"/>
        <v>294.952381</v>
      </c>
      <c r="K927" s="51">
        <f t="shared" si="3"/>
        <v>-0.4304165321</v>
      </c>
      <c r="L927" s="20" t="str">
        <f>VLOOKUP(B927,'товар'!$A$1:$C$433,3,FALSE)</f>
        <v>Простоквашино</v>
      </c>
      <c r="M927" s="52">
        <f t="shared" si="4"/>
        <v>318.8181818</v>
      </c>
      <c r="N927" s="53">
        <f>VLOOKUP(H927,'клиенты'!$A$1:$F$435,5,FALSE)</f>
        <v>44716</v>
      </c>
      <c r="O927" s="20">
        <f t="shared" si="5"/>
        <v>597</v>
      </c>
      <c r="P927" s="20" t="str">
        <f>VLOOKUP(H927,'клиенты'!$A$2:$J$435,10,FALSE)</f>
        <v>Таджикистан</v>
      </c>
      <c r="Q927" s="54">
        <f t="shared" si="6"/>
        <v>46078.45901</v>
      </c>
      <c r="R927" s="55">
        <f t="shared" si="7"/>
        <v>45.41530039</v>
      </c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41">
        <v>927.0</v>
      </c>
      <c r="B928" s="41">
        <v>210.0</v>
      </c>
      <c r="C928" s="41">
        <v>374.0</v>
      </c>
      <c r="D928" s="41">
        <v>2.0</v>
      </c>
      <c r="E928" s="41">
        <f t="shared" si="1"/>
        <v>748</v>
      </c>
      <c r="F928" s="42">
        <v>45052.0</v>
      </c>
      <c r="G928" s="41" t="s">
        <v>51</v>
      </c>
      <c r="H928" s="41">
        <v>209.0</v>
      </c>
      <c r="I928" s="41" t="str">
        <f>VLOOKUP(B928,'товар'!$A$1:$C$433,2,FALSE)</f>
        <v>Колбаса</v>
      </c>
      <c r="J928" s="43">
        <f t="shared" si="2"/>
        <v>286.9230769</v>
      </c>
      <c r="K928" s="44">
        <f t="shared" si="3"/>
        <v>0.3034852547</v>
      </c>
      <c r="L928" s="41" t="str">
        <f>VLOOKUP(B928,'товар'!$A$1:$C$433,3,FALSE)</f>
        <v>Окраина</v>
      </c>
      <c r="M928" s="45">
        <f t="shared" si="4"/>
        <v>273.5833333</v>
      </c>
      <c r="N928" s="46">
        <f>VLOOKUP(H928,'клиенты'!$A$1:$F$435,5,FALSE)</f>
        <v>44628</v>
      </c>
      <c r="O928" s="41">
        <f t="shared" si="5"/>
        <v>424</v>
      </c>
      <c r="P928" s="41" t="str">
        <f>VLOOKUP(H928,'клиенты'!$A$2:$J$435,10,FALSE)</f>
        <v>Россия</v>
      </c>
      <c r="Q928" s="47">
        <f t="shared" si="6"/>
        <v>46078.45901</v>
      </c>
      <c r="R928" s="48">
        <f t="shared" si="7"/>
        <v>48.34863373</v>
      </c>
      <c r="S928" s="41"/>
      <c r="T928" s="41"/>
      <c r="U928" s="41"/>
      <c r="V928" s="41"/>
      <c r="W928" s="41"/>
      <c r="X928" s="41"/>
      <c r="Y928" s="41"/>
      <c r="Z928" s="41"/>
    </row>
    <row r="929" ht="14.25" customHeight="1">
      <c r="A929" s="20">
        <v>928.0</v>
      </c>
      <c r="B929" s="20">
        <v>399.0</v>
      </c>
      <c r="C929" s="20">
        <v>67.0</v>
      </c>
      <c r="D929" s="20">
        <v>2.0</v>
      </c>
      <c r="E929" s="20">
        <f t="shared" si="1"/>
        <v>134</v>
      </c>
      <c r="F929" s="49">
        <v>44951.0</v>
      </c>
      <c r="G929" s="20" t="s">
        <v>47</v>
      </c>
      <c r="H929" s="20">
        <v>451.0</v>
      </c>
      <c r="I929" s="20" t="str">
        <f>VLOOKUP(B929,'товар'!$A$1:$C$433,2,FALSE)</f>
        <v>Хлеб</v>
      </c>
      <c r="J929" s="50">
        <f t="shared" si="2"/>
        <v>300.3181818</v>
      </c>
      <c r="K929" s="51">
        <f t="shared" si="3"/>
        <v>-0.7769032844</v>
      </c>
      <c r="L929" s="20" t="str">
        <f>VLOOKUP(B929,'товар'!$A$1:$C$433,3,FALSE)</f>
        <v>Хлебный Дом</v>
      </c>
      <c r="M929" s="52">
        <f t="shared" si="4"/>
        <v>281.7333333</v>
      </c>
      <c r="N929" s="53">
        <f>VLOOKUP(H929,'клиенты'!$A$1:$F$435,5,FALSE)</f>
        <v>44584</v>
      </c>
      <c r="O929" s="20">
        <f t="shared" si="5"/>
        <v>367</v>
      </c>
      <c r="P929" s="20" t="str">
        <f>VLOOKUP(H929,'клиенты'!$A$2:$J$435,10,FALSE)</f>
        <v>Россия</v>
      </c>
      <c r="Q929" s="54">
        <f t="shared" si="6"/>
        <v>46078.45901</v>
      </c>
      <c r="R929" s="55">
        <f t="shared" si="7"/>
        <v>49.81530039</v>
      </c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41">
        <v>929.0</v>
      </c>
      <c r="B930" s="41">
        <v>498.0</v>
      </c>
      <c r="C930" s="41">
        <v>244.0</v>
      </c>
      <c r="D930" s="41">
        <v>2.0</v>
      </c>
      <c r="E930" s="41">
        <f t="shared" si="1"/>
        <v>488</v>
      </c>
      <c r="F930" s="42">
        <v>45238.0</v>
      </c>
      <c r="G930" s="41" t="s">
        <v>52</v>
      </c>
      <c r="H930" s="41">
        <v>49.0</v>
      </c>
      <c r="I930" s="41" t="str">
        <f>VLOOKUP(B930,'товар'!$A$1:$C$433,2,FALSE)</f>
        <v>Молоко</v>
      </c>
      <c r="J930" s="43">
        <f t="shared" si="2"/>
        <v>294.952381</v>
      </c>
      <c r="K930" s="44">
        <f t="shared" si="3"/>
        <v>-0.1727478205</v>
      </c>
      <c r="L930" s="41" t="str">
        <f>VLOOKUP(B930,'товар'!$A$1:$C$433,3,FALSE)</f>
        <v>Домик в деревне</v>
      </c>
      <c r="M930" s="45">
        <f t="shared" si="4"/>
        <v>274.7777778</v>
      </c>
      <c r="N930" s="46">
        <f>VLOOKUP(H930,'клиенты'!$A$1:$F$435,5,FALSE)</f>
        <v>44672</v>
      </c>
      <c r="O930" s="41">
        <f t="shared" si="5"/>
        <v>566</v>
      </c>
      <c r="P930" s="41" t="str">
        <f>VLOOKUP(H930,'клиенты'!$A$2:$J$435,10,FALSE)</f>
        <v>Таджикистан</v>
      </c>
      <c r="Q930" s="47">
        <f t="shared" si="6"/>
        <v>46078.45901</v>
      </c>
      <c r="R930" s="48">
        <f t="shared" si="7"/>
        <v>46.88196706</v>
      </c>
      <c r="S930" s="41"/>
      <c r="T930" s="41"/>
      <c r="U930" s="41"/>
      <c r="V930" s="41"/>
      <c r="W930" s="41"/>
      <c r="X930" s="41"/>
      <c r="Y930" s="41"/>
      <c r="Z930" s="41"/>
    </row>
    <row r="931" ht="14.25" customHeight="1">
      <c r="A931" s="20">
        <v>930.0</v>
      </c>
      <c r="B931" s="20">
        <v>170.0</v>
      </c>
      <c r="C931" s="20">
        <v>312.0</v>
      </c>
      <c r="D931" s="20">
        <v>1.0</v>
      </c>
      <c r="E931" s="20">
        <f t="shared" si="1"/>
        <v>312</v>
      </c>
      <c r="F931" s="49">
        <v>45072.0</v>
      </c>
      <c r="G931" s="20" t="s">
        <v>39</v>
      </c>
      <c r="H931" s="20">
        <v>162.0</v>
      </c>
      <c r="I931" s="20" t="str">
        <f>VLOOKUP(B931,'товар'!$A$1:$C$433,2,FALSE)</f>
        <v>Конфеты</v>
      </c>
      <c r="J931" s="50">
        <f t="shared" si="2"/>
        <v>267.8548387</v>
      </c>
      <c r="K931" s="51">
        <f t="shared" si="3"/>
        <v>0.1648100199</v>
      </c>
      <c r="L931" s="20" t="str">
        <f>VLOOKUP(B931,'товар'!$A$1:$C$433,3,FALSE)</f>
        <v>Славянка</v>
      </c>
      <c r="M931" s="52">
        <f t="shared" si="4"/>
        <v>268</v>
      </c>
      <c r="N931" s="53">
        <f>VLOOKUP(H931,'клиенты'!$A$1:$F$435,5,FALSE)</f>
        <v>44639</v>
      </c>
      <c r="O931" s="20">
        <f t="shared" si="5"/>
        <v>433</v>
      </c>
      <c r="P931" s="20" t="str">
        <f>VLOOKUP(H931,'клиенты'!$A$2:$J$435,10,FALSE)</f>
        <v>Таджикистан</v>
      </c>
      <c r="Q931" s="54">
        <f t="shared" si="6"/>
        <v>46078.45901</v>
      </c>
      <c r="R931" s="55">
        <f t="shared" si="7"/>
        <v>47.98196706</v>
      </c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41">
        <v>931.0</v>
      </c>
      <c r="B932" s="41">
        <v>205.0</v>
      </c>
      <c r="C932" s="41">
        <v>212.0</v>
      </c>
      <c r="D932" s="41">
        <v>4.0</v>
      </c>
      <c r="E932" s="41">
        <f t="shared" si="1"/>
        <v>848</v>
      </c>
      <c r="F932" s="42">
        <v>45020.0</v>
      </c>
      <c r="G932" s="41" t="s">
        <v>48</v>
      </c>
      <c r="H932" s="41">
        <v>414.0</v>
      </c>
      <c r="I932" s="41" t="str">
        <f>VLOOKUP(B932,'товар'!$A$1:$C$433,2,FALSE)</f>
        <v>Макароны</v>
      </c>
      <c r="J932" s="43">
        <f t="shared" si="2"/>
        <v>265.4767442</v>
      </c>
      <c r="K932" s="44">
        <f t="shared" si="3"/>
        <v>-0.2014366432</v>
      </c>
      <c r="L932" s="41" t="str">
        <f>VLOOKUP(B932,'товар'!$A$1:$C$433,3,FALSE)</f>
        <v>Борилла</v>
      </c>
      <c r="M932" s="45">
        <f t="shared" si="4"/>
        <v>236.2758621</v>
      </c>
      <c r="N932" s="46">
        <f>VLOOKUP(H932,'клиенты'!$A$1:$F$435,5,FALSE)</f>
        <v>44794</v>
      </c>
      <c r="O932" s="41">
        <f t="shared" si="5"/>
        <v>226</v>
      </c>
      <c r="P932" s="41" t="str">
        <f>VLOOKUP(H932,'клиенты'!$A$2:$J$435,10,FALSE)</f>
        <v>Беларусь</v>
      </c>
      <c r="Q932" s="47">
        <f t="shared" si="6"/>
        <v>46078.45901</v>
      </c>
      <c r="R932" s="48">
        <f t="shared" si="7"/>
        <v>42.81530039</v>
      </c>
      <c r="S932" s="41"/>
      <c r="T932" s="41"/>
      <c r="U932" s="41"/>
      <c r="V932" s="41"/>
      <c r="W932" s="41"/>
      <c r="X932" s="41"/>
      <c r="Y932" s="41"/>
      <c r="Z932" s="41"/>
    </row>
    <row r="933" ht="14.25" customHeight="1">
      <c r="A933" s="20">
        <v>932.0</v>
      </c>
      <c r="B933" s="20">
        <v>188.0</v>
      </c>
      <c r="C933" s="20">
        <v>233.0</v>
      </c>
      <c r="D933" s="20">
        <v>2.0</v>
      </c>
      <c r="E933" s="20">
        <f t="shared" si="1"/>
        <v>466</v>
      </c>
      <c r="F933" s="49">
        <v>45214.0</v>
      </c>
      <c r="G933" s="20" t="s">
        <v>35</v>
      </c>
      <c r="H933" s="20">
        <v>445.0</v>
      </c>
      <c r="I933" s="20" t="str">
        <f>VLOOKUP(B933,'товар'!$A$1:$C$433,2,FALSE)</f>
        <v>Молоко</v>
      </c>
      <c r="J933" s="50">
        <f t="shared" si="2"/>
        <v>294.952381</v>
      </c>
      <c r="K933" s="51">
        <f t="shared" si="3"/>
        <v>-0.2100419761</v>
      </c>
      <c r="L933" s="20" t="str">
        <f>VLOOKUP(B933,'товар'!$A$1:$C$433,3,FALSE)</f>
        <v>Вимм-Билль-Данн</v>
      </c>
      <c r="M933" s="52">
        <f t="shared" si="4"/>
        <v>193.5</v>
      </c>
      <c r="N933" s="53">
        <f>VLOOKUP(H933,'клиенты'!$A$1:$F$435,5,FALSE)</f>
        <v>44676</v>
      </c>
      <c r="O933" s="20">
        <f t="shared" si="5"/>
        <v>538</v>
      </c>
      <c r="P933" s="20" t="str">
        <f>VLOOKUP(H933,'клиенты'!$A$2:$J$435,10,FALSE)</f>
        <v>Россия</v>
      </c>
      <c r="Q933" s="54">
        <f t="shared" si="6"/>
        <v>46078.45901</v>
      </c>
      <c r="R933" s="55">
        <f t="shared" si="7"/>
        <v>46.74863373</v>
      </c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41">
        <v>933.0</v>
      </c>
      <c r="B934" s="41">
        <v>246.0</v>
      </c>
      <c r="C934" s="41">
        <v>400.0</v>
      </c>
      <c r="D934" s="41">
        <v>4.0</v>
      </c>
      <c r="E934" s="41">
        <f t="shared" si="1"/>
        <v>1600</v>
      </c>
      <c r="F934" s="42">
        <v>45376.0</v>
      </c>
      <c r="G934" s="41" t="s">
        <v>44</v>
      </c>
      <c r="H934" s="41">
        <v>191.0</v>
      </c>
      <c r="I934" s="41" t="str">
        <f>VLOOKUP(B934,'товар'!$A$1:$C$433,2,FALSE)</f>
        <v>Сыр</v>
      </c>
      <c r="J934" s="43">
        <f t="shared" si="2"/>
        <v>262.6349206</v>
      </c>
      <c r="K934" s="44">
        <f t="shared" si="3"/>
        <v>0.5230267134</v>
      </c>
      <c r="L934" s="41" t="str">
        <f>VLOOKUP(B934,'товар'!$A$1:$C$433,3,FALSE)</f>
        <v>President</v>
      </c>
      <c r="M934" s="45">
        <f t="shared" si="4"/>
        <v>238.7222222</v>
      </c>
      <c r="N934" s="46">
        <f>VLOOKUP(H934,'клиенты'!$A$1:$F$435,5,FALSE)</f>
        <v>44866</v>
      </c>
      <c r="O934" s="41">
        <f t="shared" si="5"/>
        <v>510</v>
      </c>
      <c r="P934" s="41" t="str">
        <f>VLOOKUP(H934,'клиенты'!$A$2:$J$435,10,FALSE)</f>
        <v>Украина</v>
      </c>
      <c r="Q934" s="47">
        <f t="shared" si="6"/>
        <v>46078.45901</v>
      </c>
      <c r="R934" s="48">
        <f t="shared" si="7"/>
        <v>40.41530039</v>
      </c>
      <c r="S934" s="41"/>
      <c r="T934" s="41"/>
      <c r="U934" s="41"/>
      <c r="V934" s="41"/>
      <c r="W934" s="41"/>
      <c r="X934" s="41"/>
      <c r="Y934" s="41"/>
      <c r="Z934" s="41"/>
    </row>
    <row r="935" ht="14.25" customHeight="1">
      <c r="A935" s="20">
        <v>934.0</v>
      </c>
      <c r="B935" s="20">
        <v>187.0</v>
      </c>
      <c r="C935" s="20">
        <v>168.0</v>
      </c>
      <c r="D935" s="20">
        <v>3.0</v>
      </c>
      <c r="E935" s="20">
        <f t="shared" si="1"/>
        <v>504</v>
      </c>
      <c r="F935" s="49">
        <v>44946.0</v>
      </c>
      <c r="G935" s="20" t="s">
        <v>50</v>
      </c>
      <c r="H935" s="20">
        <v>126.0</v>
      </c>
      <c r="I935" s="20" t="str">
        <f>VLOOKUP(B935,'товар'!$A$1:$C$433,2,FALSE)</f>
        <v>Макароны</v>
      </c>
      <c r="J935" s="50">
        <f t="shared" si="2"/>
        <v>265.4767442</v>
      </c>
      <c r="K935" s="51">
        <f t="shared" si="3"/>
        <v>-0.3671762078</v>
      </c>
      <c r="L935" s="20" t="str">
        <f>VLOOKUP(B935,'товар'!$A$1:$C$433,3,FALSE)</f>
        <v>Паста Зара</v>
      </c>
      <c r="M935" s="52">
        <f t="shared" si="4"/>
        <v>276.6756757</v>
      </c>
      <c r="N935" s="53">
        <f>VLOOKUP(H935,'клиенты'!$A$1:$F$435,5,FALSE)</f>
        <v>44822</v>
      </c>
      <c r="O935" s="20">
        <f t="shared" si="5"/>
        <v>124</v>
      </c>
      <c r="P935" s="20" t="str">
        <f>VLOOKUP(H935,'клиенты'!$A$2:$J$435,10,FALSE)</f>
        <v>Узбекистан</v>
      </c>
      <c r="Q935" s="54">
        <f t="shared" si="6"/>
        <v>46078.45901</v>
      </c>
      <c r="R935" s="55">
        <f t="shared" si="7"/>
        <v>41.88196706</v>
      </c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41">
        <v>935.0</v>
      </c>
      <c r="B936" s="41">
        <v>9.0</v>
      </c>
      <c r="C936" s="41">
        <v>321.0</v>
      </c>
      <c r="D936" s="41">
        <v>1.0</v>
      </c>
      <c r="E936" s="41">
        <f t="shared" si="1"/>
        <v>321</v>
      </c>
      <c r="F936" s="42">
        <v>45173.0</v>
      </c>
      <c r="G936" s="41" t="s">
        <v>44</v>
      </c>
      <c r="H936" s="41">
        <v>217.0</v>
      </c>
      <c r="I936" s="41" t="str">
        <f>VLOOKUP(B936,'товар'!$A$1:$C$433,2,FALSE)</f>
        <v>Йогурт</v>
      </c>
      <c r="J936" s="43">
        <f t="shared" si="2"/>
        <v>263.2542373</v>
      </c>
      <c r="K936" s="44">
        <f t="shared" si="3"/>
        <v>0.2193535926</v>
      </c>
      <c r="L936" s="41" t="str">
        <f>VLOOKUP(B936,'товар'!$A$1:$C$433,3,FALSE)</f>
        <v>Чудо</v>
      </c>
      <c r="M936" s="45">
        <f t="shared" si="4"/>
        <v>287.1</v>
      </c>
      <c r="N936" s="46">
        <f>VLOOKUP(H936,'клиенты'!$A$1:$F$435,5,FALSE)</f>
        <v>44826</v>
      </c>
      <c r="O936" s="41">
        <f t="shared" si="5"/>
        <v>347</v>
      </c>
      <c r="P936" s="41" t="str">
        <f>VLOOKUP(H936,'клиенты'!$A$2:$J$435,10,FALSE)</f>
        <v>Россия</v>
      </c>
      <c r="Q936" s="47">
        <f t="shared" si="6"/>
        <v>46078.45901</v>
      </c>
      <c r="R936" s="48">
        <f t="shared" si="7"/>
        <v>41.74863373</v>
      </c>
      <c r="S936" s="41"/>
      <c r="T936" s="41"/>
      <c r="U936" s="41"/>
      <c r="V936" s="41"/>
      <c r="W936" s="41"/>
      <c r="X936" s="41"/>
      <c r="Y936" s="41"/>
      <c r="Z936" s="41"/>
    </row>
    <row r="937" ht="14.25" customHeight="1">
      <c r="A937" s="20">
        <v>936.0</v>
      </c>
      <c r="B937" s="20">
        <v>302.0</v>
      </c>
      <c r="C937" s="20">
        <v>229.0</v>
      </c>
      <c r="D937" s="20">
        <v>5.0</v>
      </c>
      <c r="E937" s="20">
        <f t="shared" si="1"/>
        <v>1145</v>
      </c>
      <c r="F937" s="49">
        <v>45372.0</v>
      </c>
      <c r="G937" s="20" t="s">
        <v>53</v>
      </c>
      <c r="H937" s="20">
        <v>42.0</v>
      </c>
      <c r="I937" s="20" t="str">
        <f>VLOOKUP(B937,'товар'!$A$1:$C$433,2,FALSE)</f>
        <v>Молоко</v>
      </c>
      <c r="J937" s="50">
        <f t="shared" si="2"/>
        <v>294.952381</v>
      </c>
      <c r="K937" s="51">
        <f t="shared" si="3"/>
        <v>-0.2236034872</v>
      </c>
      <c r="L937" s="20" t="str">
        <f>VLOOKUP(B937,'товар'!$A$1:$C$433,3,FALSE)</f>
        <v>Домик в деревне</v>
      </c>
      <c r="M937" s="52">
        <f t="shared" si="4"/>
        <v>274.7777778</v>
      </c>
      <c r="N937" s="53">
        <f>VLOOKUP(H937,'клиенты'!$A$1:$F$435,5,FALSE)</f>
        <v>44783</v>
      </c>
      <c r="O937" s="20">
        <f t="shared" si="5"/>
        <v>589</v>
      </c>
      <c r="P937" s="20" t="str">
        <f>VLOOKUP(H937,'клиенты'!$A$2:$J$435,10,FALSE)</f>
        <v>Таджикистан</v>
      </c>
      <c r="Q937" s="54">
        <f t="shared" si="6"/>
        <v>46078.45901</v>
      </c>
      <c r="R937" s="55">
        <f t="shared" si="7"/>
        <v>43.18196706</v>
      </c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41">
        <v>937.0</v>
      </c>
      <c r="B938" s="41">
        <v>166.0</v>
      </c>
      <c r="C938" s="41">
        <v>166.0</v>
      </c>
      <c r="D938" s="41">
        <v>5.0</v>
      </c>
      <c r="E938" s="41">
        <f t="shared" si="1"/>
        <v>830</v>
      </c>
      <c r="F938" s="42">
        <v>45252.0</v>
      </c>
      <c r="G938" s="41" t="s">
        <v>53</v>
      </c>
      <c r="H938" s="41">
        <v>407.0</v>
      </c>
      <c r="I938" s="41" t="str">
        <f>VLOOKUP(B938,'товар'!$A$1:$C$433,2,FALSE)</f>
        <v>Сок</v>
      </c>
      <c r="J938" s="43">
        <f t="shared" si="2"/>
        <v>268.6034483</v>
      </c>
      <c r="K938" s="44">
        <f t="shared" si="3"/>
        <v>-0.3819885744</v>
      </c>
      <c r="L938" s="41" t="str">
        <f>VLOOKUP(B938,'товар'!$A$1:$C$433,3,FALSE)</f>
        <v>Добрый</v>
      </c>
      <c r="M938" s="45">
        <f t="shared" si="4"/>
        <v>242.8181818</v>
      </c>
      <c r="N938" s="46">
        <f>VLOOKUP(H938,'клиенты'!$A$1:$F$435,5,FALSE)</f>
        <v>44621</v>
      </c>
      <c r="O938" s="41">
        <f t="shared" si="5"/>
        <v>631</v>
      </c>
      <c r="P938" s="41" t="str">
        <f>VLOOKUP(H938,'клиенты'!$A$2:$J$435,10,FALSE)</f>
        <v>Беларусь</v>
      </c>
      <c r="Q938" s="47">
        <f t="shared" si="6"/>
        <v>46078.45901</v>
      </c>
      <c r="R938" s="48">
        <f t="shared" si="7"/>
        <v>48.58196706</v>
      </c>
      <c r="S938" s="41"/>
      <c r="T938" s="41"/>
      <c r="U938" s="41"/>
      <c r="V938" s="41"/>
      <c r="W938" s="41"/>
      <c r="X938" s="41"/>
      <c r="Y938" s="41"/>
      <c r="Z938" s="41"/>
    </row>
    <row r="939" ht="14.25" customHeight="1">
      <c r="A939" s="20">
        <v>938.0</v>
      </c>
      <c r="B939" s="20">
        <v>329.0</v>
      </c>
      <c r="C939" s="20">
        <v>71.0</v>
      </c>
      <c r="D939" s="20">
        <v>2.0</v>
      </c>
      <c r="E939" s="20">
        <f t="shared" si="1"/>
        <v>142</v>
      </c>
      <c r="F939" s="49">
        <v>45138.0</v>
      </c>
      <c r="G939" s="20" t="s">
        <v>53</v>
      </c>
      <c r="H939" s="20">
        <v>117.0</v>
      </c>
      <c r="I939" s="20" t="str">
        <f>VLOOKUP(B939,'товар'!$A$1:$C$433,2,FALSE)</f>
        <v>Соль</v>
      </c>
      <c r="J939" s="50">
        <f t="shared" si="2"/>
        <v>264.8679245</v>
      </c>
      <c r="K939" s="51">
        <f t="shared" si="3"/>
        <v>-0.7319418721</v>
      </c>
      <c r="L939" s="20" t="str">
        <f>VLOOKUP(B939,'товар'!$A$1:$C$433,3,FALSE)</f>
        <v>Славянская</v>
      </c>
      <c r="M939" s="52">
        <f t="shared" si="4"/>
        <v>236.9166667</v>
      </c>
      <c r="N939" s="53">
        <f>VLOOKUP(H939,'клиенты'!$A$1:$F$435,5,FALSE)</f>
        <v>44706</v>
      </c>
      <c r="O939" s="20">
        <f t="shared" si="5"/>
        <v>432</v>
      </c>
      <c r="P939" s="20" t="str">
        <f>VLOOKUP(H939,'клиенты'!$A$2:$J$435,10,FALSE)</f>
        <v>Украина</v>
      </c>
      <c r="Q939" s="54">
        <f t="shared" si="6"/>
        <v>46078.45901</v>
      </c>
      <c r="R939" s="55">
        <f t="shared" si="7"/>
        <v>45.74863373</v>
      </c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41">
        <v>939.0</v>
      </c>
      <c r="B940" s="41">
        <v>35.0</v>
      </c>
      <c r="C940" s="41">
        <v>345.0</v>
      </c>
      <c r="D940" s="41">
        <v>2.0</v>
      </c>
      <c r="E940" s="41">
        <f t="shared" si="1"/>
        <v>690</v>
      </c>
      <c r="F940" s="42">
        <v>45078.0</v>
      </c>
      <c r="G940" s="41" t="s">
        <v>39</v>
      </c>
      <c r="H940" s="41">
        <v>91.0</v>
      </c>
      <c r="I940" s="41" t="str">
        <f>VLOOKUP(B940,'товар'!$A$1:$C$433,2,FALSE)</f>
        <v>Крупа</v>
      </c>
      <c r="J940" s="43">
        <f t="shared" si="2"/>
        <v>255.1162791</v>
      </c>
      <c r="K940" s="44">
        <f t="shared" si="3"/>
        <v>0.3523245214</v>
      </c>
      <c r="L940" s="41" t="str">
        <f>VLOOKUP(B940,'товар'!$A$1:$C$433,3,FALSE)</f>
        <v>Мистраль</v>
      </c>
      <c r="M940" s="45">
        <f t="shared" si="4"/>
        <v>250.3076923</v>
      </c>
      <c r="N940" s="46">
        <f>VLOOKUP(H940,'клиенты'!$A$1:$F$435,5,FALSE)</f>
        <v>44687</v>
      </c>
      <c r="O940" s="41">
        <f t="shared" si="5"/>
        <v>391</v>
      </c>
      <c r="P940" s="41" t="str">
        <f>VLOOKUP(H940,'клиенты'!$A$2:$J$435,10,FALSE)</f>
        <v>Россия</v>
      </c>
      <c r="Q940" s="47">
        <f t="shared" si="6"/>
        <v>46078.45901</v>
      </c>
      <c r="R940" s="48">
        <f t="shared" si="7"/>
        <v>46.38196706</v>
      </c>
      <c r="S940" s="41"/>
      <c r="T940" s="41"/>
      <c r="U940" s="41"/>
      <c r="V940" s="41"/>
      <c r="W940" s="41"/>
      <c r="X940" s="41"/>
      <c r="Y940" s="41"/>
      <c r="Z940" s="41"/>
    </row>
    <row r="941" ht="14.25" customHeight="1">
      <c r="A941" s="20">
        <v>940.0</v>
      </c>
      <c r="B941" s="20">
        <v>342.0</v>
      </c>
      <c r="C941" s="20">
        <v>259.0</v>
      </c>
      <c r="D941" s="20">
        <v>5.0</v>
      </c>
      <c r="E941" s="20">
        <f t="shared" si="1"/>
        <v>1295</v>
      </c>
      <c r="F941" s="49">
        <v>45349.0</v>
      </c>
      <c r="G941" s="20" t="s">
        <v>48</v>
      </c>
      <c r="H941" s="20">
        <v>380.0</v>
      </c>
      <c r="I941" s="20" t="str">
        <f>VLOOKUP(B941,'товар'!$A$1:$C$433,2,FALSE)</f>
        <v>Овощи</v>
      </c>
      <c r="J941" s="50">
        <f t="shared" si="2"/>
        <v>250.4878049</v>
      </c>
      <c r="K941" s="51">
        <f t="shared" si="3"/>
        <v>0.03398247322</v>
      </c>
      <c r="L941" s="20" t="str">
        <f>VLOOKUP(B941,'товар'!$A$1:$C$433,3,FALSE)</f>
        <v>Овощной ряд</v>
      </c>
      <c r="M941" s="52">
        <f t="shared" si="4"/>
        <v>303.8235294</v>
      </c>
      <c r="N941" s="53">
        <f>VLOOKUP(H941,'клиенты'!$A$1:$F$435,5,FALSE)</f>
        <v>44563</v>
      </c>
      <c r="O941" s="20">
        <f t="shared" si="5"/>
        <v>786</v>
      </c>
      <c r="P941" s="20" t="str">
        <f>VLOOKUP(H941,'клиенты'!$A$2:$J$435,10,FALSE)</f>
        <v>Россия</v>
      </c>
      <c r="Q941" s="54">
        <f t="shared" si="6"/>
        <v>46078.45901</v>
      </c>
      <c r="R941" s="55">
        <f t="shared" si="7"/>
        <v>50.51530039</v>
      </c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41">
        <v>941.0</v>
      </c>
      <c r="B942" s="41">
        <v>44.0</v>
      </c>
      <c r="C942" s="41">
        <v>439.0</v>
      </c>
      <c r="D942" s="41">
        <v>5.0</v>
      </c>
      <c r="E942" s="41">
        <f t="shared" si="1"/>
        <v>2195</v>
      </c>
      <c r="F942" s="42">
        <v>45008.0</v>
      </c>
      <c r="G942" s="41" t="s">
        <v>42</v>
      </c>
      <c r="H942" s="41">
        <v>469.0</v>
      </c>
      <c r="I942" s="41" t="str">
        <f>VLOOKUP(B942,'товар'!$A$1:$C$433,2,FALSE)</f>
        <v>Молоко</v>
      </c>
      <c r="J942" s="43">
        <f t="shared" si="2"/>
        <v>294.952381</v>
      </c>
      <c r="K942" s="44">
        <f t="shared" si="3"/>
        <v>0.4883758476</v>
      </c>
      <c r="L942" s="41" t="str">
        <f>VLOOKUP(B942,'товар'!$A$1:$C$433,3,FALSE)</f>
        <v>Беллакт</v>
      </c>
      <c r="M942" s="45">
        <f t="shared" si="4"/>
        <v>322.5454545</v>
      </c>
      <c r="N942" s="46">
        <f>VLOOKUP(H942,'клиенты'!$A$1:$F$435,5,FALSE)</f>
        <v>44659</v>
      </c>
      <c r="O942" s="41">
        <f t="shared" si="5"/>
        <v>349</v>
      </c>
      <c r="P942" s="41" t="str">
        <f>VLOOKUP(H942,'клиенты'!$A$2:$J$435,10,FALSE)</f>
        <v>Россия</v>
      </c>
      <c r="Q942" s="47">
        <f t="shared" si="6"/>
        <v>46078.45901</v>
      </c>
      <c r="R942" s="48">
        <f t="shared" si="7"/>
        <v>47.31530039</v>
      </c>
      <c r="S942" s="41"/>
      <c r="T942" s="41"/>
      <c r="U942" s="41"/>
      <c r="V942" s="41"/>
      <c r="W942" s="41"/>
      <c r="X942" s="41"/>
      <c r="Y942" s="41"/>
      <c r="Z942" s="41"/>
    </row>
    <row r="943" ht="14.25" customHeight="1">
      <c r="A943" s="20">
        <v>942.0</v>
      </c>
      <c r="B943" s="20">
        <v>128.0</v>
      </c>
      <c r="C943" s="20">
        <v>246.0</v>
      </c>
      <c r="D943" s="20">
        <v>4.0</v>
      </c>
      <c r="E943" s="20">
        <f t="shared" si="1"/>
        <v>984</v>
      </c>
      <c r="F943" s="49">
        <v>45310.0</v>
      </c>
      <c r="G943" s="20" t="s">
        <v>37</v>
      </c>
      <c r="H943" s="20">
        <v>479.0</v>
      </c>
      <c r="I943" s="20" t="str">
        <f>VLOOKUP(B943,'товар'!$A$1:$C$433,2,FALSE)</f>
        <v>Мясо</v>
      </c>
      <c r="J943" s="50">
        <f t="shared" si="2"/>
        <v>271.7454545</v>
      </c>
      <c r="K943" s="51">
        <f t="shared" si="3"/>
        <v>-0.09474106784</v>
      </c>
      <c r="L943" s="20" t="str">
        <f>VLOOKUP(B943,'товар'!$A$1:$C$433,3,FALSE)</f>
        <v>Мираторг</v>
      </c>
      <c r="M943" s="52">
        <f t="shared" si="4"/>
        <v>316.5833333</v>
      </c>
      <c r="N943" s="53">
        <f>VLOOKUP(H943,'клиенты'!$A$1:$F$435,5,FALSE)</f>
        <v>44793</v>
      </c>
      <c r="O943" s="20">
        <f t="shared" si="5"/>
        <v>517</v>
      </c>
      <c r="P943" s="20" t="str">
        <f>VLOOKUP(H943,'клиенты'!$A$2:$J$435,10,FALSE)</f>
        <v>Россия</v>
      </c>
      <c r="Q943" s="54">
        <f t="shared" si="6"/>
        <v>46078.45901</v>
      </c>
      <c r="R943" s="55">
        <f t="shared" si="7"/>
        <v>42.84863373</v>
      </c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41">
        <v>943.0</v>
      </c>
      <c r="B944" s="41">
        <v>447.0</v>
      </c>
      <c r="C944" s="41">
        <v>118.0</v>
      </c>
      <c r="D944" s="41">
        <v>3.0</v>
      </c>
      <c r="E944" s="41">
        <f t="shared" si="1"/>
        <v>354</v>
      </c>
      <c r="F944" s="42">
        <v>45337.0</v>
      </c>
      <c r="G944" s="41" t="s">
        <v>51</v>
      </c>
      <c r="H944" s="41">
        <v>9.0</v>
      </c>
      <c r="I944" s="41" t="str">
        <f>VLOOKUP(B944,'товар'!$A$1:$C$433,2,FALSE)</f>
        <v>Йогурт</v>
      </c>
      <c r="J944" s="43">
        <f t="shared" si="2"/>
        <v>263.2542373</v>
      </c>
      <c r="K944" s="44">
        <f t="shared" si="3"/>
        <v>-0.5517640999</v>
      </c>
      <c r="L944" s="41" t="str">
        <f>VLOOKUP(B944,'товар'!$A$1:$C$433,3,FALSE)</f>
        <v>Эрманн</v>
      </c>
      <c r="M944" s="45">
        <f t="shared" si="4"/>
        <v>248.5</v>
      </c>
      <c r="N944" s="46">
        <f>VLOOKUP(H944,'клиенты'!$A$1:$F$435,5,FALSE)</f>
        <v>44900</v>
      </c>
      <c r="O944" s="41">
        <f t="shared" si="5"/>
        <v>437</v>
      </c>
      <c r="P944" s="41" t="str">
        <f>VLOOKUP(H944,'клиенты'!$A$2:$J$435,10,FALSE)</f>
        <v>Таджикистан</v>
      </c>
      <c r="Q944" s="47">
        <f t="shared" si="6"/>
        <v>46078.45901</v>
      </c>
      <c r="R944" s="48">
        <f t="shared" si="7"/>
        <v>39.28196706</v>
      </c>
      <c r="S944" s="41"/>
      <c r="T944" s="41"/>
      <c r="U944" s="41"/>
      <c r="V944" s="41"/>
      <c r="W944" s="41"/>
      <c r="X944" s="41"/>
      <c r="Y944" s="41"/>
      <c r="Z944" s="41"/>
    </row>
    <row r="945" ht="14.25" customHeight="1">
      <c r="A945" s="20">
        <v>944.0</v>
      </c>
      <c r="B945" s="20">
        <v>48.0</v>
      </c>
      <c r="C945" s="20">
        <v>116.0</v>
      </c>
      <c r="D945" s="20">
        <v>5.0</v>
      </c>
      <c r="E945" s="20">
        <f t="shared" si="1"/>
        <v>580</v>
      </c>
      <c r="F945" s="49">
        <v>45034.0</v>
      </c>
      <c r="G945" s="20" t="s">
        <v>36</v>
      </c>
      <c r="H945" s="20">
        <v>477.0</v>
      </c>
      <c r="I945" s="20" t="str">
        <f>VLOOKUP(B945,'товар'!$A$1:$C$433,2,FALSE)</f>
        <v>Фрукты</v>
      </c>
      <c r="J945" s="50">
        <f t="shared" si="2"/>
        <v>274.1627907</v>
      </c>
      <c r="K945" s="51">
        <f t="shared" si="3"/>
        <v>-0.5768937145</v>
      </c>
      <c r="L945" s="20" t="str">
        <f>VLOOKUP(B945,'товар'!$A$1:$C$433,3,FALSE)</f>
        <v>Фруктовый Рай</v>
      </c>
      <c r="M945" s="52">
        <f t="shared" si="4"/>
        <v>258.3076923</v>
      </c>
      <c r="N945" s="53">
        <f>VLOOKUP(H945,'клиенты'!$A$1:$F$435,5,FALSE)</f>
        <v>44738</v>
      </c>
      <c r="O945" s="20">
        <f t="shared" si="5"/>
        <v>296</v>
      </c>
      <c r="P945" s="20" t="str">
        <f>VLOOKUP(H945,'клиенты'!$A$2:$J$435,10,FALSE)</f>
        <v>Узбекистан</v>
      </c>
      <c r="Q945" s="54">
        <f t="shared" si="6"/>
        <v>46078.45901</v>
      </c>
      <c r="R945" s="55">
        <f t="shared" si="7"/>
        <v>44.68196706</v>
      </c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41">
        <v>945.0</v>
      </c>
      <c r="B946" s="41">
        <v>415.0</v>
      </c>
      <c r="C946" s="41">
        <v>307.0</v>
      </c>
      <c r="D946" s="41">
        <v>3.0</v>
      </c>
      <c r="E946" s="41">
        <f t="shared" si="1"/>
        <v>921</v>
      </c>
      <c r="F946" s="42">
        <v>45290.0</v>
      </c>
      <c r="G946" s="41" t="s">
        <v>47</v>
      </c>
      <c r="H946" s="41">
        <v>498.0</v>
      </c>
      <c r="I946" s="41" t="str">
        <f>VLOOKUP(B946,'товар'!$A$1:$C$433,2,FALSE)</f>
        <v>Чипсы</v>
      </c>
      <c r="J946" s="43">
        <f t="shared" si="2"/>
        <v>273.7254902</v>
      </c>
      <c r="K946" s="44">
        <f t="shared" si="3"/>
        <v>0.1215616046</v>
      </c>
      <c r="L946" s="41" t="str">
        <f>VLOOKUP(B946,'товар'!$A$1:$C$433,3,FALSE)</f>
        <v>Pringles</v>
      </c>
      <c r="M946" s="45">
        <f t="shared" si="4"/>
        <v>280.2380952</v>
      </c>
      <c r="N946" s="46">
        <f>VLOOKUP(H946,'клиенты'!$A$1:$F$435,5,FALSE)</f>
        <v>44721</v>
      </c>
      <c r="O946" s="41">
        <f t="shared" si="5"/>
        <v>569</v>
      </c>
      <c r="P946" s="41" t="str">
        <f>VLOOKUP(H946,'клиенты'!$A$2:$J$435,10,FALSE)</f>
        <v>Украина</v>
      </c>
      <c r="Q946" s="47">
        <f t="shared" si="6"/>
        <v>46078.45901</v>
      </c>
      <c r="R946" s="48">
        <f t="shared" si="7"/>
        <v>45.24863373</v>
      </c>
      <c r="S946" s="41"/>
      <c r="T946" s="41"/>
      <c r="U946" s="41"/>
      <c r="V946" s="41"/>
      <c r="W946" s="41"/>
      <c r="X946" s="41"/>
      <c r="Y946" s="41"/>
      <c r="Z946" s="41"/>
    </row>
    <row r="947" ht="14.25" customHeight="1">
      <c r="A947" s="20">
        <v>946.0</v>
      </c>
      <c r="B947" s="20">
        <v>298.0</v>
      </c>
      <c r="C947" s="20">
        <v>84.0</v>
      </c>
      <c r="D947" s="20">
        <v>5.0</v>
      </c>
      <c r="E947" s="20">
        <f t="shared" si="1"/>
        <v>420</v>
      </c>
      <c r="F947" s="49">
        <v>45335.0</v>
      </c>
      <c r="G947" s="20" t="s">
        <v>37</v>
      </c>
      <c r="H947" s="20">
        <v>93.0</v>
      </c>
      <c r="I947" s="20" t="str">
        <f>VLOOKUP(B947,'товар'!$A$1:$C$433,2,FALSE)</f>
        <v>Крупа</v>
      </c>
      <c r="J947" s="50">
        <f t="shared" si="2"/>
        <v>255.1162791</v>
      </c>
      <c r="K947" s="51">
        <f t="shared" si="3"/>
        <v>-0.6707383774</v>
      </c>
      <c r="L947" s="20" t="str">
        <f>VLOOKUP(B947,'товар'!$A$1:$C$433,3,FALSE)</f>
        <v>Увелка</v>
      </c>
      <c r="M947" s="52">
        <f t="shared" si="4"/>
        <v>251.9166667</v>
      </c>
      <c r="N947" s="53">
        <f>VLOOKUP(H947,'клиенты'!$A$1:$F$435,5,FALSE)</f>
        <v>44905</v>
      </c>
      <c r="O947" s="20">
        <f t="shared" si="5"/>
        <v>430</v>
      </c>
      <c r="P947" s="20" t="str">
        <f>VLOOKUP(H947,'клиенты'!$A$2:$J$435,10,FALSE)</f>
        <v>Украина</v>
      </c>
      <c r="Q947" s="54">
        <f t="shared" si="6"/>
        <v>46078.45901</v>
      </c>
      <c r="R947" s="55">
        <f t="shared" si="7"/>
        <v>39.11530039</v>
      </c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41">
        <v>947.0</v>
      </c>
      <c r="B948" s="41">
        <v>3.0</v>
      </c>
      <c r="C948" s="41">
        <v>180.0</v>
      </c>
      <c r="D948" s="41">
        <v>3.0</v>
      </c>
      <c r="E948" s="41">
        <f t="shared" si="1"/>
        <v>540</v>
      </c>
      <c r="F948" s="42">
        <v>44940.0</v>
      </c>
      <c r="G948" s="41" t="s">
        <v>35</v>
      </c>
      <c r="H948" s="41">
        <v>200.0</v>
      </c>
      <c r="I948" s="41" t="str">
        <f>VLOOKUP(B948,'товар'!$A$1:$C$433,2,FALSE)</f>
        <v>Крупа</v>
      </c>
      <c r="J948" s="43">
        <f t="shared" si="2"/>
        <v>255.1162791</v>
      </c>
      <c r="K948" s="44">
        <f t="shared" si="3"/>
        <v>-0.2944393801</v>
      </c>
      <c r="L948" s="41" t="str">
        <f>VLOOKUP(B948,'товар'!$A$1:$C$433,3,FALSE)</f>
        <v>Ярмарка</v>
      </c>
      <c r="M948" s="45">
        <f t="shared" si="4"/>
        <v>252.0909091</v>
      </c>
      <c r="N948" s="46">
        <f>VLOOKUP(H948,'клиенты'!$A$1:$F$435,5,FALSE)</f>
        <v>44783</v>
      </c>
      <c r="O948" s="41">
        <f t="shared" si="5"/>
        <v>157</v>
      </c>
      <c r="P948" s="41" t="str">
        <f>VLOOKUP(H948,'клиенты'!$A$2:$J$435,10,FALSE)</f>
        <v>Узбекистан</v>
      </c>
      <c r="Q948" s="47">
        <f t="shared" si="6"/>
        <v>46078.45901</v>
      </c>
      <c r="R948" s="48">
        <f t="shared" si="7"/>
        <v>43.18196706</v>
      </c>
      <c r="S948" s="41"/>
      <c r="T948" s="41"/>
      <c r="U948" s="41"/>
      <c r="V948" s="41"/>
      <c r="W948" s="41"/>
      <c r="X948" s="41"/>
      <c r="Y948" s="41"/>
      <c r="Z948" s="41"/>
    </row>
    <row r="949" ht="14.25" customHeight="1">
      <c r="A949" s="20">
        <v>948.0</v>
      </c>
      <c r="B949" s="20">
        <v>60.0</v>
      </c>
      <c r="C949" s="20">
        <v>334.0</v>
      </c>
      <c r="D949" s="20">
        <v>1.0</v>
      </c>
      <c r="E949" s="20">
        <f t="shared" si="1"/>
        <v>334</v>
      </c>
      <c r="F949" s="49">
        <v>45196.0</v>
      </c>
      <c r="G949" s="20" t="s">
        <v>36</v>
      </c>
      <c r="H949" s="20">
        <v>381.0</v>
      </c>
      <c r="I949" s="20" t="str">
        <f>VLOOKUP(B949,'товар'!$A$1:$C$433,2,FALSE)</f>
        <v>Кофе</v>
      </c>
      <c r="J949" s="50">
        <f t="shared" si="2"/>
        <v>249.0238095</v>
      </c>
      <c r="K949" s="51">
        <f t="shared" si="3"/>
        <v>0.341237212</v>
      </c>
      <c r="L949" s="20" t="str">
        <f>VLOOKUP(B949,'товар'!$A$1:$C$433,3,FALSE)</f>
        <v>Jacobs</v>
      </c>
      <c r="M949" s="52">
        <f t="shared" si="4"/>
        <v>276.2105263</v>
      </c>
      <c r="N949" s="53">
        <f>VLOOKUP(H949,'клиенты'!$A$1:$F$435,5,FALSE)</f>
        <v>44714</v>
      </c>
      <c r="O949" s="20">
        <f t="shared" si="5"/>
        <v>482</v>
      </c>
      <c r="P949" s="20" t="str">
        <f>VLOOKUP(H949,'клиенты'!$A$2:$J$435,10,FALSE)</f>
        <v>Узбекистан</v>
      </c>
      <c r="Q949" s="54">
        <f t="shared" si="6"/>
        <v>46078.45901</v>
      </c>
      <c r="R949" s="55">
        <f t="shared" si="7"/>
        <v>45.48196706</v>
      </c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41">
        <v>949.0</v>
      </c>
      <c r="B950" s="41">
        <v>59.0</v>
      </c>
      <c r="C950" s="41">
        <v>234.0</v>
      </c>
      <c r="D950" s="41">
        <v>2.0</v>
      </c>
      <c r="E950" s="41">
        <f t="shared" si="1"/>
        <v>468</v>
      </c>
      <c r="F950" s="42">
        <v>45101.0</v>
      </c>
      <c r="G950" s="41" t="s">
        <v>42</v>
      </c>
      <c r="H950" s="41">
        <v>18.0</v>
      </c>
      <c r="I950" s="41" t="str">
        <f>VLOOKUP(B950,'товар'!$A$1:$C$433,2,FALSE)</f>
        <v>Сахар</v>
      </c>
      <c r="J950" s="43">
        <f t="shared" si="2"/>
        <v>252.7627119</v>
      </c>
      <c r="K950" s="44">
        <f t="shared" si="3"/>
        <v>-0.07423053712</v>
      </c>
      <c r="L950" s="41" t="str">
        <f>VLOOKUP(B950,'товар'!$A$1:$C$433,3,FALSE)</f>
        <v>Продимекс</v>
      </c>
      <c r="M950" s="45">
        <f t="shared" si="4"/>
        <v>240.5</v>
      </c>
      <c r="N950" s="46">
        <f>VLOOKUP(H950,'клиенты'!$A$1:$F$435,5,FALSE)</f>
        <v>44578</v>
      </c>
      <c r="O950" s="41">
        <f t="shared" si="5"/>
        <v>523</v>
      </c>
      <c r="P950" s="41" t="str">
        <f>VLOOKUP(H950,'клиенты'!$A$2:$J$435,10,FALSE)</f>
        <v>Украина</v>
      </c>
      <c r="Q950" s="47">
        <f t="shared" si="6"/>
        <v>46078.45901</v>
      </c>
      <c r="R950" s="48">
        <f t="shared" si="7"/>
        <v>50.01530039</v>
      </c>
      <c r="S950" s="41"/>
      <c r="T950" s="41"/>
      <c r="U950" s="41"/>
      <c r="V950" s="41"/>
      <c r="W950" s="41"/>
      <c r="X950" s="41"/>
      <c r="Y950" s="41"/>
      <c r="Z950" s="41"/>
    </row>
    <row r="951" ht="14.25" customHeight="1">
      <c r="A951" s="20">
        <v>950.0</v>
      </c>
      <c r="B951" s="20">
        <v>119.0</v>
      </c>
      <c r="C951" s="20">
        <v>426.0</v>
      </c>
      <c r="D951" s="20">
        <v>1.0</v>
      </c>
      <c r="E951" s="20">
        <f t="shared" si="1"/>
        <v>426</v>
      </c>
      <c r="F951" s="49">
        <v>45094.0</v>
      </c>
      <c r="G951" s="20" t="s">
        <v>41</v>
      </c>
      <c r="H951" s="20">
        <v>327.0</v>
      </c>
      <c r="I951" s="20" t="str">
        <f>VLOOKUP(B951,'товар'!$A$1:$C$433,2,FALSE)</f>
        <v>Печенье</v>
      </c>
      <c r="J951" s="50">
        <f t="shared" si="2"/>
        <v>283.4680851</v>
      </c>
      <c r="K951" s="51">
        <f t="shared" si="3"/>
        <v>0.5028146814</v>
      </c>
      <c r="L951" s="20" t="str">
        <f>VLOOKUP(B951,'товар'!$A$1:$C$433,3,FALSE)</f>
        <v>КДВ</v>
      </c>
      <c r="M951" s="52">
        <f t="shared" si="4"/>
        <v>323.0769231</v>
      </c>
      <c r="N951" s="53">
        <f>VLOOKUP(H951,'клиенты'!$A$1:$F$435,5,FALSE)</f>
        <v>44565</v>
      </c>
      <c r="O951" s="20">
        <f t="shared" si="5"/>
        <v>529</v>
      </c>
      <c r="P951" s="20" t="str">
        <f>VLOOKUP(H951,'клиенты'!$A$2:$J$435,10,FALSE)</f>
        <v>Таджикистан</v>
      </c>
      <c r="Q951" s="54">
        <f t="shared" si="6"/>
        <v>46078.45901</v>
      </c>
      <c r="R951" s="55">
        <f t="shared" si="7"/>
        <v>50.44863373</v>
      </c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41">
        <v>951.0</v>
      </c>
      <c r="B952" s="41">
        <v>199.0</v>
      </c>
      <c r="C952" s="41">
        <v>494.0</v>
      </c>
      <c r="D952" s="41">
        <v>1.0</v>
      </c>
      <c r="E952" s="41">
        <f t="shared" si="1"/>
        <v>494</v>
      </c>
      <c r="F952" s="42">
        <v>45252.0</v>
      </c>
      <c r="G952" s="41" t="s">
        <v>37</v>
      </c>
      <c r="H952" s="41">
        <v>340.0</v>
      </c>
      <c r="I952" s="41" t="str">
        <f>VLOOKUP(B952,'товар'!$A$1:$C$433,2,FALSE)</f>
        <v>Макароны</v>
      </c>
      <c r="J952" s="43">
        <f t="shared" si="2"/>
        <v>265.4767442</v>
      </c>
      <c r="K952" s="44">
        <f t="shared" si="3"/>
        <v>0.8608032938</v>
      </c>
      <c r="L952" s="41" t="str">
        <f>VLOOKUP(B952,'товар'!$A$1:$C$433,3,FALSE)</f>
        <v>Борилла</v>
      </c>
      <c r="M952" s="45">
        <f t="shared" si="4"/>
        <v>236.2758621</v>
      </c>
      <c r="N952" s="46">
        <f>VLOOKUP(H952,'клиенты'!$A$1:$F$435,5,FALSE)</f>
        <v>44896</v>
      </c>
      <c r="O952" s="41">
        <f t="shared" si="5"/>
        <v>356</v>
      </c>
      <c r="P952" s="41" t="str">
        <f>VLOOKUP(H952,'клиенты'!$A$2:$J$435,10,FALSE)</f>
        <v>Россия</v>
      </c>
      <c r="Q952" s="47">
        <f t="shared" si="6"/>
        <v>46078.45901</v>
      </c>
      <c r="R952" s="48">
        <f t="shared" si="7"/>
        <v>39.41530039</v>
      </c>
      <c r="S952" s="41"/>
      <c r="T952" s="41"/>
      <c r="U952" s="41"/>
      <c r="V952" s="41"/>
      <c r="W952" s="41"/>
      <c r="X952" s="41"/>
      <c r="Y952" s="41"/>
      <c r="Z952" s="41"/>
    </row>
    <row r="953" ht="14.25" customHeight="1">
      <c r="A953" s="20">
        <v>952.0</v>
      </c>
      <c r="B953" s="20">
        <v>272.0</v>
      </c>
      <c r="C953" s="20">
        <v>353.0</v>
      </c>
      <c r="D953" s="20">
        <v>3.0</v>
      </c>
      <c r="E953" s="20">
        <f t="shared" si="1"/>
        <v>1059</v>
      </c>
      <c r="F953" s="49">
        <v>44989.0</v>
      </c>
      <c r="G953" s="20" t="s">
        <v>44</v>
      </c>
      <c r="H953" s="20">
        <v>490.0</v>
      </c>
      <c r="I953" s="20" t="str">
        <f>VLOOKUP(B953,'товар'!$A$1:$C$433,2,FALSE)</f>
        <v>Крупа</v>
      </c>
      <c r="J953" s="50">
        <f t="shared" si="2"/>
        <v>255.1162791</v>
      </c>
      <c r="K953" s="51">
        <f t="shared" si="3"/>
        <v>0.3836827712</v>
      </c>
      <c r="L953" s="20" t="str">
        <f>VLOOKUP(B953,'товар'!$A$1:$C$433,3,FALSE)</f>
        <v>Ярмарка</v>
      </c>
      <c r="M953" s="52">
        <f t="shared" si="4"/>
        <v>252.0909091</v>
      </c>
      <c r="N953" s="53">
        <f>VLOOKUP(H953,'клиенты'!$A$1:$F$435,5,FALSE)</f>
        <v>44603</v>
      </c>
      <c r="O953" s="20">
        <f t="shared" si="5"/>
        <v>386</v>
      </c>
      <c r="P953" s="20" t="str">
        <f>VLOOKUP(H953,'клиенты'!$A$2:$J$435,10,FALSE)</f>
        <v>Россия</v>
      </c>
      <c r="Q953" s="54">
        <f t="shared" si="6"/>
        <v>46078.45901</v>
      </c>
      <c r="R953" s="55">
        <f t="shared" si="7"/>
        <v>49.18196706</v>
      </c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41">
        <v>953.0</v>
      </c>
      <c r="B954" s="41">
        <v>386.0</v>
      </c>
      <c r="C954" s="41">
        <v>288.0</v>
      </c>
      <c r="D954" s="41">
        <v>2.0</v>
      </c>
      <c r="E954" s="41">
        <f t="shared" si="1"/>
        <v>576</v>
      </c>
      <c r="F954" s="42">
        <v>45285.0</v>
      </c>
      <c r="G954" s="41" t="s">
        <v>50</v>
      </c>
      <c r="H954" s="41">
        <v>67.0</v>
      </c>
      <c r="I954" s="41" t="str">
        <f>VLOOKUP(B954,'товар'!$A$1:$C$433,2,FALSE)</f>
        <v>Крупа</v>
      </c>
      <c r="J954" s="43">
        <f t="shared" si="2"/>
        <v>255.1162791</v>
      </c>
      <c r="K954" s="44">
        <f t="shared" si="3"/>
        <v>0.1288969918</v>
      </c>
      <c r="L954" s="41" t="str">
        <f>VLOOKUP(B954,'товар'!$A$1:$C$433,3,FALSE)</f>
        <v>Увелка</v>
      </c>
      <c r="M954" s="45">
        <f t="shared" si="4"/>
        <v>251.9166667</v>
      </c>
      <c r="N954" s="46">
        <f>VLOOKUP(H954,'клиенты'!$A$1:$F$435,5,FALSE)</f>
        <v>44731</v>
      </c>
      <c r="O954" s="41">
        <f t="shared" si="5"/>
        <v>554</v>
      </c>
      <c r="P954" s="41" t="str">
        <f>VLOOKUP(H954,'клиенты'!$A$2:$J$435,10,FALSE)</f>
        <v>Узбекистан</v>
      </c>
      <c r="Q954" s="47">
        <f t="shared" si="6"/>
        <v>46078.45901</v>
      </c>
      <c r="R954" s="48">
        <f t="shared" si="7"/>
        <v>44.91530039</v>
      </c>
      <c r="S954" s="41"/>
      <c r="T954" s="41"/>
      <c r="U954" s="41"/>
      <c r="V954" s="41"/>
      <c r="W954" s="41"/>
      <c r="X954" s="41"/>
      <c r="Y954" s="41"/>
      <c r="Z954" s="41"/>
    </row>
    <row r="955" ht="14.25" customHeight="1">
      <c r="A955" s="20">
        <v>954.0</v>
      </c>
      <c r="B955" s="20">
        <v>464.0</v>
      </c>
      <c r="C955" s="20">
        <v>430.0</v>
      </c>
      <c r="D955" s="20">
        <v>2.0</v>
      </c>
      <c r="E955" s="20">
        <f t="shared" si="1"/>
        <v>860</v>
      </c>
      <c r="F955" s="49">
        <v>45148.0</v>
      </c>
      <c r="G955" s="20" t="s">
        <v>47</v>
      </c>
      <c r="H955" s="20">
        <v>132.0</v>
      </c>
      <c r="I955" s="20" t="str">
        <f>VLOOKUP(B955,'товар'!$A$1:$C$433,2,FALSE)</f>
        <v>Сыр</v>
      </c>
      <c r="J955" s="50">
        <f t="shared" si="2"/>
        <v>262.6349206</v>
      </c>
      <c r="K955" s="51">
        <f t="shared" si="3"/>
        <v>0.6372537169</v>
      </c>
      <c r="L955" s="20" t="str">
        <f>VLOOKUP(B955,'товар'!$A$1:$C$433,3,FALSE)</f>
        <v>Сырная долина</v>
      </c>
      <c r="M955" s="52">
        <f t="shared" si="4"/>
        <v>271</v>
      </c>
      <c r="N955" s="53">
        <f>VLOOKUP(H955,'клиенты'!$A$1:$F$435,5,FALSE)</f>
        <v>44601</v>
      </c>
      <c r="O955" s="20">
        <f t="shared" si="5"/>
        <v>547</v>
      </c>
      <c r="P955" s="20" t="str">
        <f>VLOOKUP(H955,'клиенты'!$A$2:$J$435,10,FALSE)</f>
        <v>Украина</v>
      </c>
      <c r="Q955" s="54">
        <f t="shared" si="6"/>
        <v>46078.45901</v>
      </c>
      <c r="R955" s="55">
        <f t="shared" si="7"/>
        <v>49.24863373</v>
      </c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41">
        <v>955.0</v>
      </c>
      <c r="B956" s="41">
        <v>494.0</v>
      </c>
      <c r="C956" s="41">
        <v>471.0</v>
      </c>
      <c r="D956" s="41">
        <v>5.0</v>
      </c>
      <c r="E956" s="41">
        <f t="shared" si="1"/>
        <v>2355</v>
      </c>
      <c r="F956" s="42">
        <v>45289.0</v>
      </c>
      <c r="G956" s="41" t="s">
        <v>45</v>
      </c>
      <c r="H956" s="41">
        <v>95.0</v>
      </c>
      <c r="I956" s="41" t="str">
        <f>VLOOKUP(B956,'товар'!$A$1:$C$433,2,FALSE)</f>
        <v>Сыр</v>
      </c>
      <c r="J956" s="43">
        <f t="shared" si="2"/>
        <v>262.6349206</v>
      </c>
      <c r="K956" s="44">
        <f t="shared" si="3"/>
        <v>0.793363955</v>
      </c>
      <c r="L956" s="41" t="str">
        <f>VLOOKUP(B956,'товар'!$A$1:$C$433,3,FALSE)</f>
        <v>Сырная долина</v>
      </c>
      <c r="M956" s="45">
        <f t="shared" si="4"/>
        <v>271</v>
      </c>
      <c r="N956" s="46">
        <f>VLOOKUP(H956,'клиенты'!$A$1:$F$435,5,FALSE)</f>
        <v>44704</v>
      </c>
      <c r="O956" s="41">
        <f t="shared" si="5"/>
        <v>585</v>
      </c>
      <c r="P956" s="41" t="str">
        <f>VLOOKUP(H956,'клиенты'!$A$2:$J$435,10,FALSE)</f>
        <v>Узбекистан</v>
      </c>
      <c r="Q956" s="47">
        <f t="shared" si="6"/>
        <v>46078.45901</v>
      </c>
      <c r="R956" s="48">
        <f t="shared" si="7"/>
        <v>45.81530039</v>
      </c>
      <c r="S956" s="41"/>
      <c r="T956" s="41"/>
      <c r="U956" s="41"/>
      <c r="V956" s="41"/>
      <c r="W956" s="41"/>
      <c r="X956" s="41"/>
      <c r="Y956" s="41"/>
      <c r="Z956" s="41"/>
    </row>
    <row r="957" ht="14.25" customHeight="1">
      <c r="A957" s="20">
        <v>956.0</v>
      </c>
      <c r="B957" s="20">
        <v>242.0</v>
      </c>
      <c r="C957" s="20">
        <v>313.0</v>
      </c>
      <c r="D957" s="20">
        <v>3.0</v>
      </c>
      <c r="E957" s="20">
        <f t="shared" si="1"/>
        <v>939</v>
      </c>
      <c r="F957" s="49">
        <v>45249.0</v>
      </c>
      <c r="G957" s="20" t="s">
        <v>36</v>
      </c>
      <c r="H957" s="20">
        <v>75.0</v>
      </c>
      <c r="I957" s="20" t="str">
        <f>VLOOKUP(B957,'товар'!$A$1:$C$433,2,FALSE)</f>
        <v>Овощи</v>
      </c>
      <c r="J957" s="50">
        <f t="shared" si="2"/>
        <v>250.4878049</v>
      </c>
      <c r="K957" s="51">
        <f t="shared" si="3"/>
        <v>0.2495618306</v>
      </c>
      <c r="L957" s="20" t="str">
        <f>VLOOKUP(B957,'товар'!$A$1:$C$433,3,FALSE)</f>
        <v>Овощной ряд</v>
      </c>
      <c r="M957" s="52">
        <f t="shared" si="4"/>
        <v>303.8235294</v>
      </c>
      <c r="N957" s="53">
        <f>VLOOKUP(H957,'клиенты'!$A$1:$F$435,5,FALSE)</f>
        <v>44796</v>
      </c>
      <c r="O957" s="20">
        <f t="shared" si="5"/>
        <v>453</v>
      </c>
      <c r="P957" s="20" t="str">
        <f>VLOOKUP(H957,'клиенты'!$A$2:$J$435,10,FALSE)</f>
        <v>Украина</v>
      </c>
      <c r="Q957" s="54">
        <f t="shared" si="6"/>
        <v>46078.45901</v>
      </c>
      <c r="R957" s="55">
        <f t="shared" si="7"/>
        <v>42.74863373</v>
      </c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41">
        <v>957.0</v>
      </c>
      <c r="B958" s="41">
        <v>434.0</v>
      </c>
      <c r="C958" s="41">
        <v>340.0</v>
      </c>
      <c r="D958" s="41">
        <v>4.0</v>
      </c>
      <c r="E958" s="41">
        <f t="shared" si="1"/>
        <v>1360</v>
      </c>
      <c r="F958" s="42">
        <v>44937.0</v>
      </c>
      <c r="G958" s="41" t="s">
        <v>48</v>
      </c>
      <c r="H958" s="41">
        <v>419.0</v>
      </c>
      <c r="I958" s="41" t="str">
        <f>VLOOKUP(B958,'товар'!$A$1:$C$433,2,FALSE)</f>
        <v>Сыр</v>
      </c>
      <c r="J958" s="43">
        <f t="shared" si="2"/>
        <v>262.6349206</v>
      </c>
      <c r="K958" s="44">
        <f t="shared" si="3"/>
        <v>0.2945727064</v>
      </c>
      <c r="L958" s="41" t="str">
        <f>VLOOKUP(B958,'товар'!$A$1:$C$433,3,FALSE)</f>
        <v>Сырная долина</v>
      </c>
      <c r="M958" s="45">
        <f t="shared" si="4"/>
        <v>271</v>
      </c>
      <c r="N958" s="46">
        <f>VLOOKUP(H958,'клиенты'!$A$1:$F$435,5,FALSE)</f>
        <v>44869</v>
      </c>
      <c r="O958" s="41">
        <f t="shared" si="5"/>
        <v>68</v>
      </c>
      <c r="P958" s="41" t="str">
        <f>VLOOKUP(H958,'клиенты'!$A$2:$J$435,10,FALSE)</f>
        <v>Таджикистан</v>
      </c>
      <c r="Q958" s="47">
        <f t="shared" si="6"/>
        <v>46078.45901</v>
      </c>
      <c r="R958" s="48">
        <f t="shared" si="7"/>
        <v>40.31530039</v>
      </c>
      <c r="S958" s="41"/>
      <c r="T958" s="41"/>
      <c r="U958" s="41"/>
      <c r="V958" s="41"/>
      <c r="W958" s="41"/>
      <c r="X958" s="41"/>
      <c r="Y958" s="41"/>
      <c r="Z958" s="41"/>
    </row>
    <row r="959" ht="14.25" customHeight="1">
      <c r="A959" s="20">
        <v>958.0</v>
      </c>
      <c r="B959" s="20">
        <v>110.0</v>
      </c>
      <c r="C959" s="20">
        <v>148.0</v>
      </c>
      <c r="D959" s="20">
        <v>2.0</v>
      </c>
      <c r="E959" s="20">
        <f t="shared" si="1"/>
        <v>296</v>
      </c>
      <c r="F959" s="49">
        <v>44995.0</v>
      </c>
      <c r="G959" s="20" t="s">
        <v>37</v>
      </c>
      <c r="H959" s="20">
        <v>42.0</v>
      </c>
      <c r="I959" s="20" t="str">
        <f>VLOOKUP(B959,'товар'!$A$1:$C$433,2,FALSE)</f>
        <v>Макароны</v>
      </c>
      <c r="J959" s="50">
        <f t="shared" si="2"/>
        <v>265.4767442</v>
      </c>
      <c r="K959" s="51">
        <f t="shared" si="3"/>
        <v>-0.4425123735</v>
      </c>
      <c r="L959" s="20" t="str">
        <f>VLOOKUP(B959,'товар'!$A$1:$C$433,3,FALSE)</f>
        <v>Паста Зара</v>
      </c>
      <c r="M959" s="52">
        <f t="shared" si="4"/>
        <v>276.6756757</v>
      </c>
      <c r="N959" s="53">
        <f>VLOOKUP(H959,'клиенты'!$A$1:$F$435,5,FALSE)</f>
        <v>44783</v>
      </c>
      <c r="O959" s="20">
        <f t="shared" si="5"/>
        <v>212</v>
      </c>
      <c r="P959" s="20" t="str">
        <f>VLOOKUP(H959,'клиенты'!$A$2:$J$435,10,FALSE)</f>
        <v>Таджикистан</v>
      </c>
      <c r="Q959" s="54">
        <f t="shared" si="6"/>
        <v>46078.45901</v>
      </c>
      <c r="R959" s="55">
        <f t="shared" si="7"/>
        <v>43.18196706</v>
      </c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41">
        <v>959.0</v>
      </c>
      <c r="B960" s="41">
        <v>168.0</v>
      </c>
      <c r="C960" s="41">
        <v>391.0</v>
      </c>
      <c r="D960" s="41">
        <v>2.0</v>
      </c>
      <c r="E960" s="41">
        <f t="shared" si="1"/>
        <v>782</v>
      </c>
      <c r="F960" s="42">
        <v>45143.0</v>
      </c>
      <c r="G960" s="41" t="s">
        <v>47</v>
      </c>
      <c r="H960" s="41">
        <v>316.0</v>
      </c>
      <c r="I960" s="41" t="str">
        <f>VLOOKUP(B960,'товар'!$A$1:$C$433,2,FALSE)</f>
        <v>Крупа</v>
      </c>
      <c r="J960" s="43">
        <f t="shared" si="2"/>
        <v>255.1162791</v>
      </c>
      <c r="K960" s="44">
        <f t="shared" si="3"/>
        <v>0.5326344576</v>
      </c>
      <c r="L960" s="41" t="str">
        <f>VLOOKUP(B960,'товар'!$A$1:$C$433,3,FALSE)</f>
        <v>Ярмарка</v>
      </c>
      <c r="M960" s="45">
        <f t="shared" si="4"/>
        <v>252.0909091</v>
      </c>
      <c r="N960" s="46">
        <f>VLOOKUP(H960,'клиенты'!$A$1:$F$435,5,FALSE)</f>
        <v>44787</v>
      </c>
      <c r="O960" s="41">
        <f t="shared" si="5"/>
        <v>356</v>
      </c>
      <c r="P960" s="41" t="str">
        <f>VLOOKUP(H960,'клиенты'!$A$2:$J$435,10,FALSE)</f>
        <v>Таджикистан</v>
      </c>
      <c r="Q960" s="47">
        <f t="shared" si="6"/>
        <v>46078.45901</v>
      </c>
      <c r="R960" s="48">
        <f t="shared" si="7"/>
        <v>43.04863373</v>
      </c>
      <c r="S960" s="41"/>
      <c r="T960" s="41"/>
      <c r="U960" s="41"/>
      <c r="V960" s="41"/>
      <c r="W960" s="41"/>
      <c r="X960" s="41"/>
      <c r="Y960" s="41"/>
      <c r="Z960" s="41"/>
    </row>
    <row r="961" ht="14.25" customHeight="1">
      <c r="A961" s="20">
        <v>960.0</v>
      </c>
      <c r="B961" s="20">
        <v>13.0</v>
      </c>
      <c r="C961" s="20">
        <v>181.0</v>
      </c>
      <c r="D961" s="20">
        <v>4.0</v>
      </c>
      <c r="E961" s="20">
        <f t="shared" si="1"/>
        <v>724</v>
      </c>
      <c r="F961" s="49">
        <v>45398.0</v>
      </c>
      <c r="G961" s="20" t="s">
        <v>44</v>
      </c>
      <c r="H961" s="20">
        <v>117.0</v>
      </c>
      <c r="I961" s="20" t="str">
        <f>VLOOKUP(B961,'товар'!$A$1:$C$433,2,FALSE)</f>
        <v>Макароны</v>
      </c>
      <c r="J961" s="50">
        <f t="shared" si="2"/>
        <v>265.4767442</v>
      </c>
      <c r="K961" s="51">
        <f t="shared" si="3"/>
        <v>-0.3182077001</v>
      </c>
      <c r="L961" s="20" t="str">
        <f>VLOOKUP(B961,'товар'!$A$1:$C$433,3,FALSE)</f>
        <v>Паста Зара</v>
      </c>
      <c r="M961" s="52">
        <f t="shared" si="4"/>
        <v>276.6756757</v>
      </c>
      <c r="N961" s="53">
        <f>VLOOKUP(H961,'клиенты'!$A$1:$F$435,5,FALSE)</f>
        <v>44706</v>
      </c>
      <c r="O961" s="20">
        <f t="shared" si="5"/>
        <v>692</v>
      </c>
      <c r="P961" s="20" t="str">
        <f>VLOOKUP(H961,'клиенты'!$A$2:$J$435,10,FALSE)</f>
        <v>Украина</v>
      </c>
      <c r="Q961" s="54">
        <f t="shared" si="6"/>
        <v>46078.45901</v>
      </c>
      <c r="R961" s="55">
        <f t="shared" si="7"/>
        <v>45.74863373</v>
      </c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41">
        <v>961.0</v>
      </c>
      <c r="B962" s="41">
        <v>141.0</v>
      </c>
      <c r="C962" s="41">
        <v>279.0</v>
      </c>
      <c r="D962" s="41">
        <v>1.0</v>
      </c>
      <c r="E962" s="41">
        <f t="shared" si="1"/>
        <v>279</v>
      </c>
      <c r="F962" s="42">
        <v>45324.0</v>
      </c>
      <c r="G962" s="41" t="s">
        <v>37</v>
      </c>
      <c r="H962" s="41">
        <v>243.0</v>
      </c>
      <c r="I962" s="41" t="str">
        <f>VLOOKUP(B962,'товар'!$A$1:$C$433,2,FALSE)</f>
        <v>Фрукты</v>
      </c>
      <c r="J962" s="43">
        <f t="shared" si="2"/>
        <v>274.1627907</v>
      </c>
      <c r="K962" s="44">
        <f t="shared" si="3"/>
        <v>0.01764356604</v>
      </c>
      <c r="L962" s="41" t="str">
        <f>VLOOKUP(B962,'товар'!$A$1:$C$433,3,FALSE)</f>
        <v>Фруктовый Рай</v>
      </c>
      <c r="M962" s="45">
        <f t="shared" si="4"/>
        <v>258.3076923</v>
      </c>
      <c r="N962" s="46">
        <f>VLOOKUP(H962,'клиенты'!$A$1:$F$435,5,FALSE)</f>
        <v>44681</v>
      </c>
      <c r="O962" s="41">
        <f t="shared" si="5"/>
        <v>643</v>
      </c>
      <c r="P962" s="41" t="str">
        <f>VLOOKUP(H962,'клиенты'!$A$2:$J$435,10,FALSE)</f>
        <v>Россия</v>
      </c>
      <c r="Q962" s="47">
        <f t="shared" si="6"/>
        <v>46078.45901</v>
      </c>
      <c r="R962" s="48">
        <f t="shared" si="7"/>
        <v>46.58196706</v>
      </c>
      <c r="S962" s="41"/>
      <c r="T962" s="41"/>
      <c r="U962" s="41"/>
      <c r="V962" s="41"/>
      <c r="W962" s="41"/>
      <c r="X962" s="41"/>
      <c r="Y962" s="41"/>
      <c r="Z962" s="41"/>
    </row>
    <row r="963" ht="14.25" customHeight="1">
      <c r="A963" s="20">
        <v>962.0</v>
      </c>
      <c r="B963" s="20">
        <v>120.0</v>
      </c>
      <c r="C963" s="20">
        <v>229.0</v>
      </c>
      <c r="D963" s="20">
        <v>5.0</v>
      </c>
      <c r="E963" s="20">
        <f t="shared" si="1"/>
        <v>1145</v>
      </c>
      <c r="F963" s="49">
        <v>44930.0</v>
      </c>
      <c r="G963" s="20" t="s">
        <v>36</v>
      </c>
      <c r="H963" s="20">
        <v>6.0</v>
      </c>
      <c r="I963" s="20" t="str">
        <f>VLOOKUP(B963,'товар'!$A$1:$C$433,2,FALSE)</f>
        <v>Хлеб</v>
      </c>
      <c r="J963" s="50">
        <f t="shared" si="2"/>
        <v>300.3181818</v>
      </c>
      <c r="K963" s="51">
        <f t="shared" si="3"/>
        <v>-0.2374754049</v>
      </c>
      <c r="L963" s="20" t="str">
        <f>VLOOKUP(B963,'товар'!$A$1:$C$433,3,FALSE)</f>
        <v>Дарница</v>
      </c>
      <c r="M963" s="52">
        <f t="shared" si="4"/>
        <v>264</v>
      </c>
      <c r="N963" s="53">
        <f>VLOOKUP(H963,'клиенты'!$A$1:$F$435,5,FALSE)</f>
        <v>44710</v>
      </c>
      <c r="O963" s="20">
        <f t="shared" si="5"/>
        <v>220</v>
      </c>
      <c r="P963" s="20" t="str">
        <f>VLOOKUP(H963,'клиенты'!$A$2:$J$435,10,FALSE)</f>
        <v>Украина</v>
      </c>
      <c r="Q963" s="54">
        <f t="shared" si="6"/>
        <v>46078.45901</v>
      </c>
      <c r="R963" s="55">
        <f t="shared" si="7"/>
        <v>45.61530039</v>
      </c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41">
        <v>963.0</v>
      </c>
      <c r="B964" s="41">
        <v>316.0</v>
      </c>
      <c r="C964" s="41">
        <v>97.0</v>
      </c>
      <c r="D964" s="41">
        <v>4.0</v>
      </c>
      <c r="E964" s="41">
        <f t="shared" si="1"/>
        <v>388</v>
      </c>
      <c r="F964" s="42">
        <v>44932.0</v>
      </c>
      <c r="G964" s="41" t="s">
        <v>48</v>
      </c>
      <c r="H964" s="41">
        <v>283.0</v>
      </c>
      <c r="I964" s="41" t="str">
        <f>VLOOKUP(B964,'товар'!$A$1:$C$433,2,FALSE)</f>
        <v>Макароны</v>
      </c>
      <c r="J964" s="43">
        <f t="shared" si="2"/>
        <v>265.4767442</v>
      </c>
      <c r="K964" s="44">
        <f t="shared" si="3"/>
        <v>-0.6346195962</v>
      </c>
      <c r="L964" s="41" t="str">
        <f>VLOOKUP(B964,'товар'!$A$1:$C$433,3,FALSE)</f>
        <v>Борилла</v>
      </c>
      <c r="M964" s="45">
        <f t="shared" si="4"/>
        <v>236.2758621</v>
      </c>
      <c r="N964" s="46">
        <f>VLOOKUP(H964,'клиенты'!$A$1:$F$435,5,FALSE)</f>
        <v>44889</v>
      </c>
      <c r="O964" s="41">
        <f t="shared" si="5"/>
        <v>43</v>
      </c>
      <c r="P964" s="41" t="str">
        <f>VLOOKUP(H964,'клиенты'!$A$2:$J$435,10,FALSE)</f>
        <v>Таджикистан</v>
      </c>
      <c r="Q964" s="47">
        <f t="shared" si="6"/>
        <v>46078.45901</v>
      </c>
      <c r="R964" s="48">
        <f t="shared" si="7"/>
        <v>39.64863373</v>
      </c>
      <c r="S964" s="41"/>
      <c r="T964" s="41"/>
      <c r="U964" s="41"/>
      <c r="V964" s="41"/>
      <c r="W964" s="41"/>
      <c r="X964" s="41"/>
      <c r="Y964" s="41"/>
      <c r="Z964" s="41"/>
    </row>
    <row r="965" ht="14.25" customHeight="1">
      <c r="A965" s="20">
        <v>964.0</v>
      </c>
      <c r="B965" s="20">
        <v>448.0</v>
      </c>
      <c r="C965" s="20">
        <v>484.0</v>
      </c>
      <c r="D965" s="20">
        <v>1.0</v>
      </c>
      <c r="E965" s="20">
        <f t="shared" si="1"/>
        <v>484</v>
      </c>
      <c r="F965" s="49">
        <v>45301.0</v>
      </c>
      <c r="G965" s="20" t="s">
        <v>37</v>
      </c>
      <c r="H965" s="20">
        <v>404.0</v>
      </c>
      <c r="I965" s="20" t="str">
        <f>VLOOKUP(B965,'товар'!$A$1:$C$433,2,FALSE)</f>
        <v>Йогурт</v>
      </c>
      <c r="J965" s="50">
        <f t="shared" si="2"/>
        <v>263.2542373</v>
      </c>
      <c r="K965" s="51">
        <f t="shared" si="3"/>
        <v>0.8385269122</v>
      </c>
      <c r="L965" s="20" t="str">
        <f>VLOOKUP(B965,'товар'!$A$1:$C$433,3,FALSE)</f>
        <v>Ростагроэкспорт</v>
      </c>
      <c r="M965" s="52">
        <f t="shared" si="4"/>
        <v>257.7826087</v>
      </c>
      <c r="N965" s="53">
        <f>VLOOKUP(H965,'клиенты'!$A$1:$F$435,5,FALSE)</f>
        <v>44913</v>
      </c>
      <c r="O965" s="20">
        <f t="shared" si="5"/>
        <v>388</v>
      </c>
      <c r="P965" s="20" t="str">
        <f>VLOOKUP(H965,'клиенты'!$A$2:$J$435,10,FALSE)</f>
        <v>Украина</v>
      </c>
      <c r="Q965" s="54">
        <f t="shared" si="6"/>
        <v>46078.45901</v>
      </c>
      <c r="R965" s="55">
        <f t="shared" si="7"/>
        <v>38.84863373</v>
      </c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41">
        <v>965.0</v>
      </c>
      <c r="B966" s="41">
        <v>143.0</v>
      </c>
      <c r="C966" s="41">
        <v>200.0</v>
      </c>
      <c r="D966" s="41">
        <v>4.0</v>
      </c>
      <c r="E966" s="41">
        <f t="shared" si="1"/>
        <v>800</v>
      </c>
      <c r="F966" s="42">
        <v>45306.0</v>
      </c>
      <c r="G966" s="41" t="s">
        <v>45</v>
      </c>
      <c r="H966" s="41">
        <v>379.0</v>
      </c>
      <c r="I966" s="41" t="str">
        <f>VLOOKUP(B966,'товар'!$A$1:$C$433,2,FALSE)</f>
        <v>Сахар</v>
      </c>
      <c r="J966" s="43">
        <f t="shared" si="2"/>
        <v>252.7627119</v>
      </c>
      <c r="K966" s="44">
        <f t="shared" si="3"/>
        <v>-0.2087440488</v>
      </c>
      <c r="L966" s="41" t="str">
        <f>VLOOKUP(B966,'товар'!$A$1:$C$433,3,FALSE)</f>
        <v>Агросахар</v>
      </c>
      <c r="M966" s="45">
        <f t="shared" si="4"/>
        <v>215.8571429</v>
      </c>
      <c r="N966" s="46">
        <f>VLOOKUP(H966,'клиенты'!$A$1:$F$435,5,FALSE)</f>
        <v>44581</v>
      </c>
      <c r="O966" s="41">
        <f t="shared" si="5"/>
        <v>725</v>
      </c>
      <c r="P966" s="41" t="str">
        <f>VLOOKUP(H966,'клиенты'!$A$2:$J$435,10,FALSE)</f>
        <v>Таджикистан</v>
      </c>
      <c r="Q966" s="47">
        <f t="shared" si="6"/>
        <v>46078.45901</v>
      </c>
      <c r="R966" s="48">
        <f t="shared" si="7"/>
        <v>49.91530039</v>
      </c>
      <c r="S966" s="41"/>
      <c r="T966" s="41"/>
      <c r="U966" s="41"/>
      <c r="V966" s="41"/>
      <c r="W966" s="41"/>
      <c r="X966" s="41"/>
      <c r="Y966" s="41"/>
      <c r="Z966" s="41"/>
    </row>
    <row r="967" ht="14.25" customHeight="1">
      <c r="A967" s="20">
        <v>966.0</v>
      </c>
      <c r="B967" s="20">
        <v>168.0</v>
      </c>
      <c r="C967" s="20">
        <v>206.0</v>
      </c>
      <c r="D967" s="20">
        <v>4.0</v>
      </c>
      <c r="E967" s="20">
        <f t="shared" si="1"/>
        <v>824</v>
      </c>
      <c r="F967" s="49">
        <v>45243.0</v>
      </c>
      <c r="G967" s="20" t="s">
        <v>50</v>
      </c>
      <c r="H967" s="20">
        <v>136.0</v>
      </c>
      <c r="I967" s="20" t="str">
        <f>VLOOKUP(B967,'товар'!$A$1:$C$433,2,FALSE)</f>
        <v>Крупа</v>
      </c>
      <c r="J967" s="50">
        <f t="shared" si="2"/>
        <v>255.1162791</v>
      </c>
      <c r="K967" s="51">
        <f t="shared" si="3"/>
        <v>-0.1925250684</v>
      </c>
      <c r="L967" s="20" t="str">
        <f>VLOOKUP(B967,'товар'!$A$1:$C$433,3,FALSE)</f>
        <v>Ярмарка</v>
      </c>
      <c r="M967" s="52">
        <f t="shared" si="4"/>
        <v>252.0909091</v>
      </c>
      <c r="N967" s="53">
        <f>VLOOKUP(H967,'клиенты'!$A$1:$F$435,5,FALSE)</f>
        <v>44860</v>
      </c>
      <c r="O967" s="20">
        <f t="shared" si="5"/>
        <v>383</v>
      </c>
      <c r="P967" s="20" t="str">
        <f>VLOOKUP(H967,'клиенты'!$A$2:$J$435,10,FALSE)</f>
        <v>Украина</v>
      </c>
      <c r="Q967" s="54">
        <f t="shared" si="6"/>
        <v>46078.45901</v>
      </c>
      <c r="R967" s="55">
        <f t="shared" si="7"/>
        <v>40.61530039</v>
      </c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41">
        <v>967.0</v>
      </c>
      <c r="B968" s="41">
        <v>435.0</v>
      </c>
      <c r="C968" s="41">
        <v>116.0</v>
      </c>
      <c r="D968" s="41">
        <v>4.0</v>
      </c>
      <c r="E968" s="41">
        <f t="shared" si="1"/>
        <v>464</v>
      </c>
      <c r="F968" s="42">
        <v>45037.0</v>
      </c>
      <c r="G968" s="41" t="s">
        <v>50</v>
      </c>
      <c r="H968" s="41">
        <v>20.0</v>
      </c>
      <c r="I968" s="41" t="str">
        <f>VLOOKUP(B968,'товар'!$A$1:$C$433,2,FALSE)</f>
        <v>Мясо</v>
      </c>
      <c r="J968" s="43">
        <f t="shared" si="2"/>
        <v>271.7454545</v>
      </c>
      <c r="K968" s="44">
        <f t="shared" si="3"/>
        <v>-0.5731299344</v>
      </c>
      <c r="L968" s="41" t="str">
        <f>VLOOKUP(B968,'товар'!$A$1:$C$433,3,FALSE)</f>
        <v>Снежана</v>
      </c>
      <c r="M968" s="45">
        <f t="shared" si="4"/>
        <v>272.3529412</v>
      </c>
      <c r="N968" s="46">
        <f>VLOOKUP(H968,'клиенты'!$A$1:$F$435,5,FALSE)</f>
        <v>44691</v>
      </c>
      <c r="O968" s="41">
        <f t="shared" si="5"/>
        <v>346</v>
      </c>
      <c r="P968" s="41" t="str">
        <f>VLOOKUP(H968,'клиенты'!$A$2:$J$435,10,FALSE)</f>
        <v>Узбекистан</v>
      </c>
      <c r="Q968" s="47">
        <f t="shared" si="6"/>
        <v>46078.45901</v>
      </c>
      <c r="R968" s="48">
        <f t="shared" si="7"/>
        <v>46.24863373</v>
      </c>
      <c r="S968" s="41"/>
      <c r="T968" s="41"/>
      <c r="U968" s="41"/>
      <c r="V968" s="41"/>
      <c r="W968" s="41"/>
      <c r="X968" s="41"/>
      <c r="Y968" s="41"/>
      <c r="Z968" s="41"/>
    </row>
    <row r="969" ht="14.25" customHeight="1">
      <c r="A969" s="20">
        <v>968.0</v>
      </c>
      <c r="B969" s="20">
        <v>375.0</v>
      </c>
      <c r="C969" s="20">
        <v>212.0</v>
      </c>
      <c r="D969" s="20">
        <v>3.0</v>
      </c>
      <c r="E969" s="20">
        <f t="shared" si="1"/>
        <v>636</v>
      </c>
      <c r="F969" s="49">
        <v>45009.0</v>
      </c>
      <c r="G969" s="20" t="s">
        <v>40</v>
      </c>
      <c r="H969" s="20">
        <v>369.0</v>
      </c>
      <c r="I969" s="20" t="str">
        <f>VLOOKUP(B969,'товар'!$A$1:$C$433,2,FALSE)</f>
        <v>Макароны</v>
      </c>
      <c r="J969" s="50">
        <f t="shared" si="2"/>
        <v>265.4767442</v>
      </c>
      <c r="K969" s="51">
        <f t="shared" si="3"/>
        <v>-0.2014366432</v>
      </c>
      <c r="L969" s="20" t="str">
        <f>VLOOKUP(B969,'товар'!$A$1:$C$433,3,FALSE)</f>
        <v>Борилла</v>
      </c>
      <c r="M969" s="52">
        <f t="shared" si="4"/>
        <v>236.2758621</v>
      </c>
      <c r="N969" s="53">
        <f>VLOOKUP(H969,'клиенты'!$A$1:$F$435,5,FALSE)</f>
        <v>44678</v>
      </c>
      <c r="O969" s="20">
        <f t="shared" si="5"/>
        <v>331</v>
      </c>
      <c r="P969" s="20" t="str">
        <f>VLOOKUP(H969,'клиенты'!$A$2:$J$435,10,FALSE)</f>
        <v>Россия</v>
      </c>
      <c r="Q969" s="54">
        <f t="shared" si="6"/>
        <v>46078.45901</v>
      </c>
      <c r="R969" s="55">
        <f t="shared" si="7"/>
        <v>46.68196706</v>
      </c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41">
        <v>969.0</v>
      </c>
      <c r="B970" s="41">
        <v>416.0</v>
      </c>
      <c r="C970" s="41">
        <v>202.0</v>
      </c>
      <c r="D970" s="41">
        <v>4.0</v>
      </c>
      <c r="E970" s="41">
        <f t="shared" si="1"/>
        <v>808</v>
      </c>
      <c r="F970" s="42">
        <v>45285.0</v>
      </c>
      <c r="G970" s="41" t="s">
        <v>52</v>
      </c>
      <c r="H970" s="41">
        <v>499.0</v>
      </c>
      <c r="I970" s="41" t="str">
        <f>VLOOKUP(B970,'товар'!$A$1:$C$433,2,FALSE)</f>
        <v>Рыба</v>
      </c>
      <c r="J970" s="43">
        <f t="shared" si="2"/>
        <v>258.5128205</v>
      </c>
      <c r="K970" s="44">
        <f t="shared" si="3"/>
        <v>-0.2186074192</v>
      </c>
      <c r="L970" s="41" t="str">
        <f>VLOOKUP(B970,'товар'!$A$1:$C$433,3,FALSE)</f>
        <v>Меридиан</v>
      </c>
      <c r="M970" s="45">
        <f t="shared" si="4"/>
        <v>260.6470588</v>
      </c>
      <c r="N970" s="46">
        <f>VLOOKUP(H970,'клиенты'!$A$1:$F$435,5,FALSE)</f>
        <v>44798</v>
      </c>
      <c r="O970" s="41">
        <f t="shared" si="5"/>
        <v>487</v>
      </c>
      <c r="P970" s="41" t="str">
        <f>VLOOKUP(H970,'клиенты'!$A$2:$J$435,10,FALSE)</f>
        <v>Беларусь</v>
      </c>
      <c r="Q970" s="47">
        <f t="shared" si="6"/>
        <v>46078.45901</v>
      </c>
      <c r="R970" s="48">
        <f t="shared" si="7"/>
        <v>42.68196706</v>
      </c>
      <c r="S970" s="41"/>
      <c r="T970" s="41"/>
      <c r="U970" s="41"/>
      <c r="V970" s="41"/>
      <c r="W970" s="41"/>
      <c r="X970" s="41"/>
      <c r="Y970" s="41"/>
      <c r="Z970" s="41"/>
    </row>
    <row r="971" ht="14.25" customHeight="1">
      <c r="A971" s="20">
        <v>970.0</v>
      </c>
      <c r="B971" s="20">
        <v>25.0</v>
      </c>
      <c r="C971" s="20">
        <v>332.0</v>
      </c>
      <c r="D971" s="20">
        <v>3.0</v>
      </c>
      <c r="E971" s="20">
        <f t="shared" si="1"/>
        <v>996</v>
      </c>
      <c r="F971" s="49">
        <v>45164.0</v>
      </c>
      <c r="G971" s="20" t="s">
        <v>48</v>
      </c>
      <c r="H971" s="20">
        <v>153.0</v>
      </c>
      <c r="I971" s="20" t="str">
        <f>VLOOKUP(B971,'товар'!$A$1:$C$433,2,FALSE)</f>
        <v>Чипсы</v>
      </c>
      <c r="J971" s="50">
        <f t="shared" si="2"/>
        <v>273.7254902</v>
      </c>
      <c r="K971" s="51">
        <f t="shared" si="3"/>
        <v>0.2128939828</v>
      </c>
      <c r="L971" s="20" t="str">
        <f>VLOOKUP(B971,'товар'!$A$1:$C$433,3,FALSE)</f>
        <v>Русская картошка</v>
      </c>
      <c r="M971" s="52">
        <f t="shared" si="4"/>
        <v>241.8333333</v>
      </c>
      <c r="N971" s="53">
        <f>VLOOKUP(H971,'клиенты'!$A$1:$F$435,5,FALSE)</f>
        <v>44802</v>
      </c>
      <c r="O971" s="20">
        <f t="shared" si="5"/>
        <v>362</v>
      </c>
      <c r="P971" s="20" t="str">
        <f>VLOOKUP(H971,'клиенты'!$A$2:$J$435,10,FALSE)</f>
        <v>Россия</v>
      </c>
      <c r="Q971" s="54">
        <f t="shared" si="6"/>
        <v>46078.45901</v>
      </c>
      <c r="R971" s="55">
        <f t="shared" si="7"/>
        <v>42.54863373</v>
      </c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41">
        <v>971.0</v>
      </c>
      <c r="B972" s="41">
        <v>236.0</v>
      </c>
      <c r="C972" s="41">
        <v>420.0</v>
      </c>
      <c r="D972" s="41">
        <v>5.0</v>
      </c>
      <c r="E972" s="41">
        <f t="shared" si="1"/>
        <v>2100</v>
      </c>
      <c r="F972" s="42">
        <v>45260.0</v>
      </c>
      <c r="G972" s="41" t="s">
        <v>35</v>
      </c>
      <c r="H972" s="41">
        <v>34.0</v>
      </c>
      <c r="I972" s="41" t="str">
        <f>VLOOKUP(B972,'товар'!$A$1:$C$433,2,FALSE)</f>
        <v>Печенье</v>
      </c>
      <c r="J972" s="43">
        <f t="shared" si="2"/>
        <v>283.4680851</v>
      </c>
      <c r="K972" s="44">
        <f t="shared" si="3"/>
        <v>0.4816482774</v>
      </c>
      <c r="L972" s="41" t="str">
        <f>VLOOKUP(B972,'товар'!$A$1:$C$433,3,FALSE)</f>
        <v>Посиделкино</v>
      </c>
      <c r="M972" s="45">
        <f t="shared" si="4"/>
        <v>321.6363636</v>
      </c>
      <c r="N972" s="46">
        <f>VLOOKUP(H972,'клиенты'!$A$1:$F$435,5,FALSE)</f>
        <v>44654</v>
      </c>
      <c r="O972" s="41">
        <f t="shared" si="5"/>
        <v>606</v>
      </c>
      <c r="P972" s="41" t="str">
        <f>VLOOKUP(H972,'клиенты'!$A$2:$J$435,10,FALSE)</f>
        <v>Таджикистан</v>
      </c>
      <c r="Q972" s="47">
        <f t="shared" si="6"/>
        <v>46078.45901</v>
      </c>
      <c r="R972" s="48">
        <f t="shared" si="7"/>
        <v>47.48196706</v>
      </c>
      <c r="S972" s="41"/>
      <c r="T972" s="41"/>
      <c r="U972" s="41"/>
      <c r="V972" s="41"/>
      <c r="W972" s="41"/>
      <c r="X972" s="41"/>
      <c r="Y972" s="41"/>
      <c r="Z972" s="41"/>
    </row>
    <row r="973" ht="14.25" customHeight="1">
      <c r="A973" s="20">
        <v>972.0</v>
      </c>
      <c r="B973" s="20">
        <v>418.0</v>
      </c>
      <c r="C973" s="20">
        <v>139.0</v>
      </c>
      <c r="D973" s="20">
        <v>2.0</v>
      </c>
      <c r="E973" s="20">
        <f t="shared" si="1"/>
        <v>278</v>
      </c>
      <c r="F973" s="49">
        <v>45395.0</v>
      </c>
      <c r="G973" s="20" t="s">
        <v>36</v>
      </c>
      <c r="H973" s="20">
        <v>337.0</v>
      </c>
      <c r="I973" s="20" t="str">
        <f>VLOOKUP(B973,'товар'!$A$1:$C$433,2,FALSE)</f>
        <v>Фрукты</v>
      </c>
      <c r="J973" s="50">
        <f t="shared" si="2"/>
        <v>274.1627907</v>
      </c>
      <c r="K973" s="51">
        <f t="shared" si="3"/>
        <v>-0.493001951</v>
      </c>
      <c r="L973" s="20" t="str">
        <f>VLOOKUP(B973,'товар'!$A$1:$C$433,3,FALSE)</f>
        <v>Green Garden</v>
      </c>
      <c r="M973" s="52">
        <f t="shared" si="4"/>
        <v>369.2</v>
      </c>
      <c r="N973" s="53">
        <f>VLOOKUP(H973,'клиенты'!$A$1:$F$435,5,FALSE)</f>
        <v>44875</v>
      </c>
      <c r="O973" s="20">
        <f t="shared" si="5"/>
        <v>520</v>
      </c>
      <c r="P973" s="20" t="str">
        <f>VLOOKUP(H973,'клиенты'!$A$2:$J$435,10,FALSE)</f>
        <v>Россия</v>
      </c>
      <c r="Q973" s="54">
        <f t="shared" si="6"/>
        <v>46078.45901</v>
      </c>
      <c r="R973" s="55">
        <f t="shared" si="7"/>
        <v>40.11530039</v>
      </c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41">
        <v>973.0</v>
      </c>
      <c r="B974" s="41">
        <v>141.0</v>
      </c>
      <c r="C974" s="41">
        <v>112.0</v>
      </c>
      <c r="D974" s="41">
        <v>4.0</v>
      </c>
      <c r="E974" s="41">
        <f t="shared" si="1"/>
        <v>448</v>
      </c>
      <c r="F974" s="42">
        <v>45032.0</v>
      </c>
      <c r="G974" s="41" t="s">
        <v>54</v>
      </c>
      <c r="H974" s="41">
        <v>200.0</v>
      </c>
      <c r="I974" s="41" t="str">
        <f>VLOOKUP(B974,'товар'!$A$1:$C$433,2,FALSE)</f>
        <v>Фрукты</v>
      </c>
      <c r="J974" s="43">
        <f t="shared" si="2"/>
        <v>274.1627907</v>
      </c>
      <c r="K974" s="44">
        <f t="shared" si="3"/>
        <v>-0.5914835864</v>
      </c>
      <c r="L974" s="41" t="str">
        <f>VLOOKUP(B974,'товар'!$A$1:$C$433,3,FALSE)</f>
        <v>Фруктовый Рай</v>
      </c>
      <c r="M974" s="45">
        <f t="shared" si="4"/>
        <v>258.3076923</v>
      </c>
      <c r="N974" s="46">
        <f>VLOOKUP(H974,'клиенты'!$A$1:$F$435,5,FALSE)</f>
        <v>44783</v>
      </c>
      <c r="O974" s="41">
        <f t="shared" si="5"/>
        <v>249</v>
      </c>
      <c r="P974" s="41" t="str">
        <f>VLOOKUP(H974,'клиенты'!$A$2:$J$435,10,FALSE)</f>
        <v>Узбекистан</v>
      </c>
      <c r="Q974" s="47">
        <f t="shared" si="6"/>
        <v>46078.45901</v>
      </c>
      <c r="R974" s="48">
        <f t="shared" si="7"/>
        <v>43.18196706</v>
      </c>
      <c r="S974" s="41"/>
      <c r="T974" s="41"/>
      <c r="U974" s="41"/>
      <c r="V974" s="41"/>
      <c r="W974" s="41"/>
      <c r="X974" s="41"/>
      <c r="Y974" s="41"/>
      <c r="Z974" s="41"/>
    </row>
    <row r="975" ht="14.25" customHeight="1">
      <c r="A975" s="20">
        <v>974.0</v>
      </c>
      <c r="B975" s="20">
        <v>294.0</v>
      </c>
      <c r="C975" s="20">
        <v>485.0</v>
      </c>
      <c r="D975" s="20">
        <v>3.0</v>
      </c>
      <c r="E975" s="20">
        <f t="shared" si="1"/>
        <v>1455</v>
      </c>
      <c r="F975" s="49">
        <v>45330.0</v>
      </c>
      <c r="G975" s="20" t="s">
        <v>47</v>
      </c>
      <c r="H975" s="20">
        <v>8.0</v>
      </c>
      <c r="I975" s="20" t="str">
        <f>VLOOKUP(B975,'товар'!$A$1:$C$433,2,FALSE)</f>
        <v>Сок</v>
      </c>
      <c r="J975" s="50">
        <f t="shared" si="2"/>
        <v>268.6034483</v>
      </c>
      <c r="K975" s="51">
        <f t="shared" si="3"/>
        <v>0.8056357918</v>
      </c>
      <c r="L975" s="20" t="str">
        <f>VLOOKUP(B975,'товар'!$A$1:$C$433,3,FALSE)</f>
        <v>Фруктовый сад</v>
      </c>
      <c r="M975" s="52">
        <f t="shared" si="4"/>
        <v>281.96875</v>
      </c>
      <c r="N975" s="53">
        <f>VLOOKUP(H975,'клиенты'!$A$1:$F$435,5,FALSE)</f>
        <v>44883</v>
      </c>
      <c r="O975" s="20">
        <f t="shared" si="5"/>
        <v>447</v>
      </c>
      <c r="P975" s="20" t="str">
        <f>VLOOKUP(H975,'клиенты'!$A$2:$J$435,10,FALSE)</f>
        <v>Беларусь</v>
      </c>
      <c r="Q975" s="54">
        <f t="shared" si="6"/>
        <v>46078.45901</v>
      </c>
      <c r="R975" s="55">
        <f t="shared" si="7"/>
        <v>39.84863373</v>
      </c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41">
        <v>975.0</v>
      </c>
      <c r="B976" s="41">
        <v>497.0</v>
      </c>
      <c r="C976" s="41">
        <v>120.0</v>
      </c>
      <c r="D976" s="41">
        <v>1.0</v>
      </c>
      <c r="E976" s="41">
        <f t="shared" si="1"/>
        <v>120</v>
      </c>
      <c r="F976" s="42">
        <v>45284.0</v>
      </c>
      <c r="G976" s="41" t="s">
        <v>50</v>
      </c>
      <c r="H976" s="41">
        <v>280.0</v>
      </c>
      <c r="I976" s="41" t="str">
        <f>VLOOKUP(B976,'товар'!$A$1:$C$433,2,FALSE)</f>
        <v>Конфеты</v>
      </c>
      <c r="J976" s="43">
        <f t="shared" si="2"/>
        <v>267.8548387</v>
      </c>
      <c r="K976" s="44">
        <f t="shared" si="3"/>
        <v>-0.5519961462</v>
      </c>
      <c r="L976" s="41" t="str">
        <f>VLOOKUP(B976,'товар'!$A$1:$C$433,3,FALSE)</f>
        <v>Бабаевский</v>
      </c>
      <c r="M976" s="45">
        <f t="shared" si="4"/>
        <v>250.2592593</v>
      </c>
      <c r="N976" s="46">
        <f>VLOOKUP(H976,'клиенты'!$A$1:$F$435,5,FALSE)</f>
        <v>44563</v>
      </c>
      <c r="O976" s="41">
        <f t="shared" si="5"/>
        <v>721</v>
      </c>
      <c r="P976" s="41" t="str">
        <f>VLOOKUP(H976,'клиенты'!$A$2:$J$435,10,FALSE)</f>
        <v>Россия</v>
      </c>
      <c r="Q976" s="47">
        <f t="shared" si="6"/>
        <v>46078.45901</v>
      </c>
      <c r="R976" s="48">
        <f t="shared" si="7"/>
        <v>50.51530039</v>
      </c>
      <c r="S976" s="41"/>
      <c r="T976" s="41"/>
      <c r="U976" s="41"/>
      <c r="V976" s="41"/>
      <c r="W976" s="41"/>
      <c r="X976" s="41"/>
      <c r="Y976" s="41"/>
      <c r="Z976" s="41"/>
    </row>
    <row r="977" ht="14.25" customHeight="1">
      <c r="A977" s="20">
        <v>976.0</v>
      </c>
      <c r="B977" s="20">
        <v>359.0</v>
      </c>
      <c r="C977" s="20">
        <v>359.0</v>
      </c>
      <c r="D977" s="20">
        <v>4.0</v>
      </c>
      <c r="E977" s="20">
        <f t="shared" si="1"/>
        <v>1436</v>
      </c>
      <c r="F977" s="49">
        <v>45382.0</v>
      </c>
      <c r="G977" s="20" t="s">
        <v>43</v>
      </c>
      <c r="H977" s="20">
        <v>94.0</v>
      </c>
      <c r="I977" s="20" t="str">
        <f>VLOOKUP(B977,'товар'!$A$1:$C$433,2,FALSE)</f>
        <v>Мясо</v>
      </c>
      <c r="J977" s="50">
        <f t="shared" si="2"/>
        <v>271.7454545</v>
      </c>
      <c r="K977" s="51">
        <f t="shared" si="3"/>
        <v>0.3210892547</v>
      </c>
      <c r="L977" s="20" t="str">
        <f>VLOOKUP(B977,'товар'!$A$1:$C$433,3,FALSE)</f>
        <v>Мираторг</v>
      </c>
      <c r="M977" s="52">
        <f t="shared" si="4"/>
        <v>316.5833333</v>
      </c>
      <c r="N977" s="53">
        <f>VLOOKUP(H977,'клиенты'!$A$1:$F$435,5,FALSE)</f>
        <v>44723</v>
      </c>
      <c r="O977" s="20">
        <f t="shared" si="5"/>
        <v>659</v>
      </c>
      <c r="P977" s="20" t="str">
        <f>VLOOKUP(H977,'клиенты'!$A$2:$J$435,10,FALSE)</f>
        <v>Украина</v>
      </c>
      <c r="Q977" s="54">
        <f t="shared" si="6"/>
        <v>46078.45901</v>
      </c>
      <c r="R977" s="55">
        <f t="shared" si="7"/>
        <v>45.18196706</v>
      </c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41">
        <v>977.0</v>
      </c>
      <c r="B978" s="41">
        <v>175.0</v>
      </c>
      <c r="C978" s="41">
        <v>198.0</v>
      </c>
      <c r="D978" s="41">
        <v>3.0</v>
      </c>
      <c r="E978" s="41">
        <f t="shared" si="1"/>
        <v>594</v>
      </c>
      <c r="F978" s="42">
        <v>45145.0</v>
      </c>
      <c r="G978" s="41" t="s">
        <v>52</v>
      </c>
      <c r="H978" s="41">
        <v>331.0</v>
      </c>
      <c r="I978" s="41" t="str">
        <f>VLOOKUP(B978,'товар'!$A$1:$C$433,2,FALSE)</f>
        <v>Овощи</v>
      </c>
      <c r="J978" s="43">
        <f t="shared" si="2"/>
        <v>250.4878049</v>
      </c>
      <c r="K978" s="44">
        <f t="shared" si="3"/>
        <v>-0.2095423564</v>
      </c>
      <c r="L978" s="41" t="str">
        <f>VLOOKUP(B978,'товар'!$A$1:$C$433,3,FALSE)</f>
        <v>Семко</v>
      </c>
      <c r="M978" s="45">
        <f t="shared" si="4"/>
        <v>208</v>
      </c>
      <c r="N978" s="46">
        <f>VLOOKUP(H978,'клиенты'!$A$1:$F$435,5,FALSE)</f>
        <v>44813</v>
      </c>
      <c r="O978" s="41">
        <f t="shared" si="5"/>
        <v>332</v>
      </c>
      <c r="P978" s="41" t="str">
        <f>VLOOKUP(H978,'клиенты'!$A$2:$J$435,10,FALSE)</f>
        <v>Узбекистан</v>
      </c>
      <c r="Q978" s="47">
        <f t="shared" si="6"/>
        <v>46078.45901</v>
      </c>
      <c r="R978" s="48">
        <f t="shared" si="7"/>
        <v>42.18196706</v>
      </c>
      <c r="S978" s="41"/>
      <c r="T978" s="41"/>
      <c r="U978" s="41"/>
      <c r="V978" s="41"/>
      <c r="W978" s="41"/>
      <c r="X978" s="41"/>
      <c r="Y978" s="41"/>
      <c r="Z978" s="41"/>
    </row>
    <row r="979" ht="14.25" customHeight="1">
      <c r="A979" s="20">
        <v>978.0</v>
      </c>
      <c r="B979" s="20">
        <v>236.0</v>
      </c>
      <c r="C979" s="20">
        <v>363.0</v>
      </c>
      <c r="D979" s="20">
        <v>4.0</v>
      </c>
      <c r="E979" s="20">
        <f t="shared" si="1"/>
        <v>1452</v>
      </c>
      <c r="F979" s="49">
        <v>45168.0</v>
      </c>
      <c r="G979" s="20" t="s">
        <v>46</v>
      </c>
      <c r="H979" s="20">
        <v>405.0</v>
      </c>
      <c r="I979" s="20" t="str">
        <f>VLOOKUP(B979,'товар'!$A$1:$C$433,2,FALSE)</f>
        <v>Печенье</v>
      </c>
      <c r="J979" s="50">
        <f t="shared" si="2"/>
        <v>283.4680851</v>
      </c>
      <c r="K979" s="51">
        <f t="shared" si="3"/>
        <v>0.2805674398</v>
      </c>
      <c r="L979" s="20" t="str">
        <f>VLOOKUP(B979,'товар'!$A$1:$C$433,3,FALSE)</f>
        <v>Посиделкино</v>
      </c>
      <c r="M979" s="52">
        <f t="shared" si="4"/>
        <v>321.6363636</v>
      </c>
      <c r="N979" s="53">
        <f>VLOOKUP(H979,'клиенты'!$A$1:$F$435,5,FALSE)</f>
        <v>44798</v>
      </c>
      <c r="O979" s="20">
        <f t="shared" si="5"/>
        <v>370</v>
      </c>
      <c r="P979" s="20" t="str">
        <f>VLOOKUP(H979,'клиенты'!$A$2:$J$435,10,FALSE)</f>
        <v>Украина</v>
      </c>
      <c r="Q979" s="54">
        <f t="shared" si="6"/>
        <v>46078.45901</v>
      </c>
      <c r="R979" s="55">
        <f t="shared" si="7"/>
        <v>42.68196706</v>
      </c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41">
        <v>979.0</v>
      </c>
      <c r="B980" s="41">
        <v>195.0</v>
      </c>
      <c r="C980" s="41">
        <v>103.0</v>
      </c>
      <c r="D980" s="41">
        <v>1.0</v>
      </c>
      <c r="E980" s="41">
        <f t="shared" si="1"/>
        <v>103</v>
      </c>
      <c r="F980" s="42">
        <v>44997.0</v>
      </c>
      <c r="G980" s="41" t="s">
        <v>41</v>
      </c>
      <c r="H980" s="41">
        <v>42.0</v>
      </c>
      <c r="I980" s="41" t="str">
        <f>VLOOKUP(B980,'товар'!$A$1:$C$433,2,FALSE)</f>
        <v>Хлеб</v>
      </c>
      <c r="J980" s="43">
        <f t="shared" si="2"/>
        <v>300.3181818</v>
      </c>
      <c r="K980" s="44">
        <f t="shared" si="3"/>
        <v>-0.6570304223</v>
      </c>
      <c r="L980" s="41" t="str">
        <f>VLOOKUP(B980,'товар'!$A$1:$C$433,3,FALSE)</f>
        <v>Каравай</v>
      </c>
      <c r="M980" s="45">
        <f t="shared" si="4"/>
        <v>331.1666667</v>
      </c>
      <c r="N980" s="46">
        <f>VLOOKUP(H980,'клиенты'!$A$1:$F$435,5,FALSE)</f>
        <v>44783</v>
      </c>
      <c r="O980" s="41">
        <f t="shared" si="5"/>
        <v>214</v>
      </c>
      <c r="P980" s="41" t="str">
        <f>VLOOKUP(H980,'клиенты'!$A$2:$J$435,10,FALSE)</f>
        <v>Таджикистан</v>
      </c>
      <c r="Q980" s="47">
        <f t="shared" si="6"/>
        <v>46078.45901</v>
      </c>
      <c r="R980" s="48">
        <f t="shared" si="7"/>
        <v>43.18196706</v>
      </c>
      <c r="S980" s="41"/>
      <c r="T980" s="41"/>
      <c r="U980" s="41"/>
      <c r="V980" s="41"/>
      <c r="W980" s="41"/>
      <c r="X980" s="41"/>
      <c r="Y980" s="41"/>
      <c r="Z980" s="41"/>
    </row>
    <row r="981" ht="14.25" customHeight="1">
      <c r="A981" s="20">
        <v>980.0</v>
      </c>
      <c r="B981" s="20">
        <v>364.0</v>
      </c>
      <c r="C981" s="20">
        <v>401.0</v>
      </c>
      <c r="D981" s="20">
        <v>2.0</v>
      </c>
      <c r="E981" s="20">
        <f t="shared" si="1"/>
        <v>802</v>
      </c>
      <c r="F981" s="49">
        <v>45081.0</v>
      </c>
      <c r="G981" s="20" t="s">
        <v>36</v>
      </c>
      <c r="H981" s="20">
        <v>271.0</v>
      </c>
      <c r="I981" s="20" t="str">
        <f>VLOOKUP(B981,'товар'!$A$1:$C$433,2,FALSE)</f>
        <v>Сахар</v>
      </c>
      <c r="J981" s="50">
        <f t="shared" si="2"/>
        <v>252.7627119</v>
      </c>
      <c r="K981" s="51">
        <f t="shared" si="3"/>
        <v>0.5864681821</v>
      </c>
      <c r="L981" s="20" t="str">
        <f>VLOOKUP(B981,'товар'!$A$1:$C$433,3,FALSE)</f>
        <v>Русский сахар</v>
      </c>
      <c r="M981" s="52">
        <f t="shared" si="4"/>
        <v>293.4117647</v>
      </c>
      <c r="N981" s="53">
        <f>VLOOKUP(H981,'клиенты'!$A$1:$F$435,5,FALSE)</f>
        <v>44892</v>
      </c>
      <c r="O981" s="20">
        <f t="shared" si="5"/>
        <v>189</v>
      </c>
      <c r="P981" s="20" t="str">
        <f>VLOOKUP(H981,'клиенты'!$A$2:$J$435,10,FALSE)</f>
        <v>Беларусь</v>
      </c>
      <c r="Q981" s="54">
        <f t="shared" si="6"/>
        <v>46078.45901</v>
      </c>
      <c r="R981" s="55">
        <f t="shared" si="7"/>
        <v>39.54863373</v>
      </c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41">
        <v>981.0</v>
      </c>
      <c r="B982" s="41">
        <v>347.0</v>
      </c>
      <c r="C982" s="41">
        <v>139.0</v>
      </c>
      <c r="D982" s="41">
        <v>1.0</v>
      </c>
      <c r="E982" s="41">
        <f t="shared" si="1"/>
        <v>139</v>
      </c>
      <c r="F982" s="42">
        <v>45318.0</v>
      </c>
      <c r="G982" s="41" t="s">
        <v>54</v>
      </c>
      <c r="H982" s="41">
        <v>56.0</v>
      </c>
      <c r="I982" s="41" t="str">
        <f>VLOOKUP(B982,'товар'!$A$1:$C$433,2,FALSE)</f>
        <v>Макароны</v>
      </c>
      <c r="J982" s="43">
        <f t="shared" si="2"/>
        <v>265.4767442</v>
      </c>
      <c r="K982" s="44">
        <f t="shared" si="3"/>
        <v>-0.4764136481</v>
      </c>
      <c r="L982" s="41" t="str">
        <f>VLOOKUP(B982,'товар'!$A$1:$C$433,3,FALSE)</f>
        <v>Паста Зара</v>
      </c>
      <c r="M982" s="45">
        <f t="shared" si="4"/>
        <v>276.6756757</v>
      </c>
      <c r="N982" s="46">
        <f>VLOOKUP(H982,'клиенты'!$A$1:$F$435,5,FALSE)</f>
        <v>44662</v>
      </c>
      <c r="O982" s="41">
        <f t="shared" si="5"/>
        <v>656</v>
      </c>
      <c r="P982" s="41" t="str">
        <f>VLOOKUP(H982,'клиенты'!$A$2:$J$435,10,FALSE)</f>
        <v>Таджикистан</v>
      </c>
      <c r="Q982" s="47">
        <f t="shared" si="6"/>
        <v>46078.45901</v>
      </c>
      <c r="R982" s="48">
        <f t="shared" si="7"/>
        <v>47.21530039</v>
      </c>
      <c r="S982" s="41"/>
      <c r="T982" s="41"/>
      <c r="U982" s="41"/>
      <c r="V982" s="41"/>
      <c r="W982" s="41"/>
      <c r="X982" s="41"/>
      <c r="Y982" s="41"/>
      <c r="Z982" s="41"/>
    </row>
    <row r="983" ht="14.25" customHeight="1">
      <c r="A983" s="20">
        <v>982.0</v>
      </c>
      <c r="B983" s="20">
        <v>149.0</v>
      </c>
      <c r="C983" s="20">
        <v>468.0</v>
      </c>
      <c r="D983" s="20">
        <v>1.0</v>
      </c>
      <c r="E983" s="20">
        <f t="shared" si="1"/>
        <v>468</v>
      </c>
      <c r="F983" s="49">
        <v>45377.0</v>
      </c>
      <c r="G983" s="20" t="s">
        <v>37</v>
      </c>
      <c r="H983" s="20">
        <v>427.0</v>
      </c>
      <c r="I983" s="20" t="str">
        <f>VLOOKUP(B983,'товар'!$A$1:$C$433,2,FALSE)</f>
        <v>Конфеты</v>
      </c>
      <c r="J983" s="50">
        <f t="shared" si="2"/>
        <v>267.8548387</v>
      </c>
      <c r="K983" s="51">
        <f t="shared" si="3"/>
        <v>0.7472150298</v>
      </c>
      <c r="L983" s="20" t="str">
        <f>VLOOKUP(B983,'товар'!$A$1:$C$433,3,FALSE)</f>
        <v>Бабаевский</v>
      </c>
      <c r="M983" s="52">
        <f t="shared" si="4"/>
        <v>250.2592593</v>
      </c>
      <c r="N983" s="53">
        <f>VLOOKUP(H983,'клиенты'!$A$1:$F$435,5,FALSE)</f>
        <v>44834</v>
      </c>
      <c r="O983" s="20">
        <f t="shared" si="5"/>
        <v>543</v>
      </c>
      <c r="P983" s="20" t="str">
        <f>VLOOKUP(H983,'клиенты'!$A$2:$J$435,10,FALSE)</f>
        <v>Россия</v>
      </c>
      <c r="Q983" s="54">
        <f t="shared" si="6"/>
        <v>46078.45901</v>
      </c>
      <c r="R983" s="55">
        <f t="shared" si="7"/>
        <v>41.48196706</v>
      </c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41">
        <v>983.0</v>
      </c>
      <c r="B984" s="41">
        <v>384.0</v>
      </c>
      <c r="C984" s="41">
        <v>100.0</v>
      </c>
      <c r="D984" s="41">
        <v>4.0</v>
      </c>
      <c r="E984" s="41">
        <f t="shared" si="1"/>
        <v>400</v>
      </c>
      <c r="F984" s="42">
        <v>45318.0</v>
      </c>
      <c r="G984" s="41" t="s">
        <v>52</v>
      </c>
      <c r="H984" s="41">
        <v>323.0</v>
      </c>
      <c r="I984" s="41" t="str">
        <f>VLOOKUP(B984,'товар'!$A$1:$C$433,2,FALSE)</f>
        <v>Сахар</v>
      </c>
      <c r="J984" s="43">
        <f t="shared" si="2"/>
        <v>252.7627119</v>
      </c>
      <c r="K984" s="44">
        <f t="shared" si="3"/>
        <v>-0.6043720244</v>
      </c>
      <c r="L984" s="41" t="str">
        <f>VLOOKUP(B984,'товар'!$A$1:$C$433,3,FALSE)</f>
        <v>Сладов</v>
      </c>
      <c r="M984" s="45">
        <f t="shared" si="4"/>
        <v>240.2666667</v>
      </c>
      <c r="N984" s="46">
        <f>VLOOKUP(H984,'клиенты'!$A$1:$F$435,5,FALSE)</f>
        <v>44821</v>
      </c>
      <c r="O984" s="41">
        <f t="shared" si="5"/>
        <v>497</v>
      </c>
      <c r="P984" s="41" t="str">
        <f>VLOOKUP(H984,'клиенты'!$A$2:$J$435,10,FALSE)</f>
        <v>Таджикистан</v>
      </c>
      <c r="Q984" s="47">
        <f t="shared" si="6"/>
        <v>46078.45901</v>
      </c>
      <c r="R984" s="48">
        <f t="shared" si="7"/>
        <v>41.91530039</v>
      </c>
      <c r="S984" s="41"/>
      <c r="T984" s="41"/>
      <c r="U984" s="41"/>
      <c r="V984" s="41"/>
      <c r="W984" s="41"/>
      <c r="X984" s="41"/>
      <c r="Y984" s="41"/>
      <c r="Z984" s="41"/>
    </row>
    <row r="985" ht="14.25" customHeight="1">
      <c r="A985" s="20">
        <v>984.0</v>
      </c>
      <c r="B985" s="20">
        <v>404.0</v>
      </c>
      <c r="C985" s="20">
        <v>304.0</v>
      </c>
      <c r="D985" s="20">
        <v>5.0</v>
      </c>
      <c r="E985" s="20">
        <f t="shared" si="1"/>
        <v>1520</v>
      </c>
      <c r="F985" s="49">
        <v>45288.0</v>
      </c>
      <c r="G985" s="20" t="s">
        <v>52</v>
      </c>
      <c r="H985" s="20">
        <v>17.0</v>
      </c>
      <c r="I985" s="20" t="str">
        <f>VLOOKUP(B985,'товар'!$A$1:$C$433,2,FALSE)</f>
        <v>Йогурт</v>
      </c>
      <c r="J985" s="50">
        <f t="shared" si="2"/>
        <v>263.2542373</v>
      </c>
      <c r="K985" s="51">
        <f t="shared" si="3"/>
        <v>0.1547772341</v>
      </c>
      <c r="L985" s="20" t="str">
        <f>VLOOKUP(B985,'товар'!$A$1:$C$433,3,FALSE)</f>
        <v>Ростагроэкспорт</v>
      </c>
      <c r="M985" s="52">
        <f t="shared" si="4"/>
        <v>257.7826087</v>
      </c>
      <c r="N985" s="53">
        <f>VLOOKUP(H985,'клиенты'!$A$1:$F$435,5,FALSE)</f>
        <v>44877</v>
      </c>
      <c r="O985" s="20">
        <f t="shared" si="5"/>
        <v>411</v>
      </c>
      <c r="P985" s="20" t="str">
        <f>VLOOKUP(H985,'клиенты'!$A$2:$J$435,10,FALSE)</f>
        <v>Таджикистан</v>
      </c>
      <c r="Q985" s="54">
        <f t="shared" si="6"/>
        <v>46078.45901</v>
      </c>
      <c r="R985" s="55">
        <f t="shared" si="7"/>
        <v>40.04863373</v>
      </c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41">
        <v>985.0</v>
      </c>
      <c r="B986" s="41">
        <v>469.0</v>
      </c>
      <c r="C986" s="41">
        <v>357.0</v>
      </c>
      <c r="D986" s="41">
        <v>4.0</v>
      </c>
      <c r="E986" s="41">
        <f t="shared" si="1"/>
        <v>1428</v>
      </c>
      <c r="F986" s="42">
        <v>45377.0</v>
      </c>
      <c r="G986" s="41" t="s">
        <v>49</v>
      </c>
      <c r="H986" s="41">
        <v>165.0</v>
      </c>
      <c r="I986" s="41" t="str">
        <f>VLOOKUP(B986,'товар'!$A$1:$C$433,2,FALSE)</f>
        <v>Сахар</v>
      </c>
      <c r="J986" s="43">
        <f t="shared" si="2"/>
        <v>252.7627119</v>
      </c>
      <c r="K986" s="44">
        <f t="shared" si="3"/>
        <v>0.4123918729</v>
      </c>
      <c r="L986" s="41" t="str">
        <f>VLOOKUP(B986,'товар'!$A$1:$C$433,3,FALSE)</f>
        <v>Сладов</v>
      </c>
      <c r="M986" s="45">
        <f t="shared" si="4"/>
        <v>240.2666667</v>
      </c>
      <c r="N986" s="46">
        <f>VLOOKUP(H986,'клиенты'!$A$1:$F$435,5,FALSE)</f>
        <v>44599</v>
      </c>
      <c r="O986" s="41">
        <f t="shared" si="5"/>
        <v>778</v>
      </c>
      <c r="P986" s="41" t="str">
        <f>VLOOKUP(H986,'клиенты'!$A$2:$J$435,10,FALSE)</f>
        <v>Таджикистан</v>
      </c>
      <c r="Q986" s="47">
        <f t="shared" si="6"/>
        <v>46078.45901</v>
      </c>
      <c r="R986" s="48">
        <f t="shared" si="7"/>
        <v>49.31530039</v>
      </c>
      <c r="S986" s="41"/>
      <c r="T986" s="41"/>
      <c r="U986" s="41"/>
      <c r="V986" s="41"/>
      <c r="W986" s="41"/>
      <c r="X986" s="41"/>
      <c r="Y986" s="41"/>
      <c r="Z986" s="41"/>
    </row>
    <row r="987" ht="14.25" customHeight="1">
      <c r="A987" s="20">
        <v>986.0</v>
      </c>
      <c r="B987" s="20">
        <v>134.0</v>
      </c>
      <c r="C987" s="20">
        <v>89.0</v>
      </c>
      <c r="D987" s="20">
        <v>5.0</v>
      </c>
      <c r="E987" s="20">
        <f t="shared" si="1"/>
        <v>445</v>
      </c>
      <c r="F987" s="49">
        <v>44983.0</v>
      </c>
      <c r="G987" s="20" t="s">
        <v>40</v>
      </c>
      <c r="H987" s="20">
        <v>403.0</v>
      </c>
      <c r="I987" s="20" t="str">
        <f>VLOOKUP(B987,'товар'!$A$1:$C$433,2,FALSE)</f>
        <v>Рыба</v>
      </c>
      <c r="J987" s="50">
        <f t="shared" si="2"/>
        <v>258.5128205</v>
      </c>
      <c r="K987" s="51">
        <f t="shared" si="3"/>
        <v>-0.6557230708</v>
      </c>
      <c r="L987" s="20" t="str">
        <f>VLOOKUP(B987,'товар'!$A$1:$C$433,3,FALSE)</f>
        <v>Меридиан</v>
      </c>
      <c r="M987" s="52">
        <f t="shared" si="4"/>
        <v>260.6470588</v>
      </c>
      <c r="N987" s="53">
        <f>VLOOKUP(H987,'клиенты'!$A$1:$F$435,5,FALSE)</f>
        <v>44594</v>
      </c>
      <c r="O987" s="20">
        <f t="shared" si="5"/>
        <v>389</v>
      </c>
      <c r="P987" s="20" t="str">
        <f>VLOOKUP(H987,'клиенты'!$A$2:$J$435,10,FALSE)</f>
        <v>Россия</v>
      </c>
      <c r="Q987" s="54">
        <f t="shared" si="6"/>
        <v>46078.45901</v>
      </c>
      <c r="R987" s="55">
        <f t="shared" si="7"/>
        <v>49.48196706</v>
      </c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41">
        <v>987.0</v>
      </c>
      <c r="B988" s="41">
        <v>361.0</v>
      </c>
      <c r="C988" s="41">
        <v>283.0</v>
      </c>
      <c r="D988" s="41">
        <v>5.0</v>
      </c>
      <c r="E988" s="41">
        <f t="shared" si="1"/>
        <v>1415</v>
      </c>
      <c r="F988" s="42">
        <v>45133.0</v>
      </c>
      <c r="G988" s="41" t="s">
        <v>45</v>
      </c>
      <c r="H988" s="41">
        <v>274.0</v>
      </c>
      <c r="I988" s="41" t="str">
        <f>VLOOKUP(B988,'товар'!$A$1:$C$433,2,FALSE)</f>
        <v>Мясо</v>
      </c>
      <c r="J988" s="43">
        <f t="shared" si="2"/>
        <v>271.7454545</v>
      </c>
      <c r="K988" s="44">
        <f t="shared" si="3"/>
        <v>0.04141576341</v>
      </c>
      <c r="L988" s="41" t="str">
        <f>VLOOKUP(B988,'товар'!$A$1:$C$433,3,FALSE)</f>
        <v>Сава</v>
      </c>
      <c r="M988" s="45">
        <f t="shared" si="4"/>
        <v>212.8125</v>
      </c>
      <c r="N988" s="46">
        <f>VLOOKUP(H988,'клиенты'!$A$1:$F$435,5,FALSE)</f>
        <v>44607</v>
      </c>
      <c r="O988" s="41">
        <f t="shared" si="5"/>
        <v>526</v>
      </c>
      <c r="P988" s="41" t="str">
        <f>VLOOKUP(H988,'клиенты'!$A$2:$J$435,10,FALSE)</f>
        <v>Россия</v>
      </c>
      <c r="Q988" s="47">
        <f t="shared" si="6"/>
        <v>46078.45901</v>
      </c>
      <c r="R988" s="48">
        <f t="shared" si="7"/>
        <v>49.04863373</v>
      </c>
      <c r="S988" s="41"/>
      <c r="T988" s="41"/>
      <c r="U988" s="41"/>
      <c r="V988" s="41"/>
      <c r="W988" s="41"/>
      <c r="X988" s="41"/>
      <c r="Y988" s="41"/>
      <c r="Z988" s="41"/>
    </row>
    <row r="989" ht="14.25" customHeight="1">
      <c r="A989" s="20">
        <v>988.0</v>
      </c>
      <c r="B989" s="20">
        <v>110.0</v>
      </c>
      <c r="C989" s="20">
        <v>280.0</v>
      </c>
      <c r="D989" s="20">
        <v>3.0</v>
      </c>
      <c r="E989" s="20">
        <f t="shared" si="1"/>
        <v>840</v>
      </c>
      <c r="F989" s="49">
        <v>45121.0</v>
      </c>
      <c r="G989" s="20" t="s">
        <v>48</v>
      </c>
      <c r="H989" s="20">
        <v>61.0</v>
      </c>
      <c r="I989" s="20" t="str">
        <f>VLOOKUP(B989,'товар'!$A$1:$C$433,2,FALSE)</f>
        <v>Макароны</v>
      </c>
      <c r="J989" s="50">
        <f t="shared" si="2"/>
        <v>265.4767442</v>
      </c>
      <c r="K989" s="51">
        <f t="shared" si="3"/>
        <v>0.05470632035</v>
      </c>
      <c r="L989" s="20" t="str">
        <f>VLOOKUP(B989,'товар'!$A$1:$C$433,3,FALSE)</f>
        <v>Паста Зара</v>
      </c>
      <c r="M989" s="52">
        <f t="shared" si="4"/>
        <v>276.6756757</v>
      </c>
      <c r="N989" s="53">
        <f>VLOOKUP(H989,'клиенты'!$A$1:$F$435,5,FALSE)</f>
        <v>44769</v>
      </c>
      <c r="O989" s="20">
        <f t="shared" si="5"/>
        <v>352</v>
      </c>
      <c r="P989" s="20" t="str">
        <f>VLOOKUP(H989,'клиенты'!$A$2:$J$435,10,FALSE)</f>
        <v>Таджикистан</v>
      </c>
      <c r="Q989" s="54">
        <f t="shared" si="6"/>
        <v>46078.45901</v>
      </c>
      <c r="R989" s="55">
        <f t="shared" si="7"/>
        <v>43.64863373</v>
      </c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41">
        <v>989.0</v>
      </c>
      <c r="B990" s="41">
        <v>280.0</v>
      </c>
      <c r="C990" s="41">
        <v>459.0</v>
      </c>
      <c r="D990" s="41">
        <v>4.0</v>
      </c>
      <c r="E990" s="41">
        <f t="shared" si="1"/>
        <v>1836</v>
      </c>
      <c r="F990" s="42">
        <v>45273.0</v>
      </c>
      <c r="G990" s="41" t="s">
        <v>39</v>
      </c>
      <c r="H990" s="41">
        <v>262.0</v>
      </c>
      <c r="I990" s="41" t="str">
        <f>VLOOKUP(B990,'товар'!$A$1:$C$433,2,FALSE)</f>
        <v>Сыр</v>
      </c>
      <c r="J990" s="43">
        <f t="shared" si="2"/>
        <v>262.6349206</v>
      </c>
      <c r="K990" s="44">
        <f t="shared" si="3"/>
        <v>0.7476731536</v>
      </c>
      <c r="L990" s="41" t="str">
        <f>VLOOKUP(B990,'товар'!$A$1:$C$433,3,FALSE)</f>
        <v>President</v>
      </c>
      <c r="M990" s="45">
        <f t="shared" si="4"/>
        <v>238.7222222</v>
      </c>
      <c r="N990" s="46">
        <f>VLOOKUP(H990,'клиенты'!$A$1:$F$435,5,FALSE)</f>
        <v>44778</v>
      </c>
      <c r="O990" s="41">
        <f t="shared" si="5"/>
        <v>495</v>
      </c>
      <c r="P990" s="41" t="str">
        <f>VLOOKUP(H990,'клиенты'!$A$2:$J$435,10,FALSE)</f>
        <v>Таджикистан</v>
      </c>
      <c r="Q990" s="47">
        <f t="shared" si="6"/>
        <v>46078.45901</v>
      </c>
      <c r="R990" s="48">
        <f t="shared" si="7"/>
        <v>43.34863373</v>
      </c>
      <c r="S990" s="41"/>
      <c r="T990" s="41"/>
      <c r="U990" s="41"/>
      <c r="V990" s="41"/>
      <c r="W990" s="41"/>
      <c r="X990" s="41"/>
      <c r="Y990" s="41"/>
      <c r="Z990" s="41"/>
    </row>
    <row r="991" ht="14.25" customHeight="1">
      <c r="A991" s="20">
        <v>990.0</v>
      </c>
      <c r="B991" s="20">
        <v>43.0</v>
      </c>
      <c r="C991" s="20">
        <v>244.0</v>
      </c>
      <c r="D991" s="20">
        <v>4.0</v>
      </c>
      <c r="E991" s="20">
        <f t="shared" si="1"/>
        <v>976</v>
      </c>
      <c r="F991" s="49">
        <v>45392.0</v>
      </c>
      <c r="G991" s="20" t="s">
        <v>50</v>
      </c>
      <c r="H991" s="20">
        <v>323.0</v>
      </c>
      <c r="I991" s="20" t="str">
        <f>VLOOKUP(B991,'товар'!$A$1:$C$433,2,FALSE)</f>
        <v>Печенье</v>
      </c>
      <c r="J991" s="50">
        <f t="shared" si="2"/>
        <v>283.4680851</v>
      </c>
      <c r="K991" s="51">
        <f t="shared" si="3"/>
        <v>-0.1392329055</v>
      </c>
      <c r="L991" s="20" t="str">
        <f>VLOOKUP(B991,'товар'!$A$1:$C$433,3,FALSE)</f>
        <v>КДВ</v>
      </c>
      <c r="M991" s="52">
        <f t="shared" si="4"/>
        <v>323.0769231</v>
      </c>
      <c r="N991" s="53">
        <f>VLOOKUP(H991,'клиенты'!$A$1:$F$435,5,FALSE)</f>
        <v>44821</v>
      </c>
      <c r="O991" s="20">
        <f t="shared" si="5"/>
        <v>571</v>
      </c>
      <c r="P991" s="20" t="str">
        <f>VLOOKUP(H991,'клиенты'!$A$2:$J$435,10,FALSE)</f>
        <v>Таджикистан</v>
      </c>
      <c r="Q991" s="54">
        <f t="shared" si="6"/>
        <v>46078.45901</v>
      </c>
      <c r="R991" s="55">
        <f t="shared" si="7"/>
        <v>41.91530039</v>
      </c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41">
        <v>991.0</v>
      </c>
      <c r="B992" s="41">
        <v>434.0</v>
      </c>
      <c r="C992" s="41">
        <v>299.0</v>
      </c>
      <c r="D992" s="41">
        <v>2.0</v>
      </c>
      <c r="E992" s="41">
        <f t="shared" si="1"/>
        <v>598</v>
      </c>
      <c r="F992" s="42">
        <v>45144.0</v>
      </c>
      <c r="G992" s="41" t="s">
        <v>44</v>
      </c>
      <c r="H992" s="41">
        <v>481.0</v>
      </c>
      <c r="I992" s="41" t="str">
        <f>VLOOKUP(B992,'товар'!$A$1:$C$433,2,FALSE)</f>
        <v>Сыр</v>
      </c>
      <c r="J992" s="43">
        <f t="shared" si="2"/>
        <v>262.6349206</v>
      </c>
      <c r="K992" s="44">
        <f t="shared" si="3"/>
        <v>0.1384624683</v>
      </c>
      <c r="L992" s="41" t="str">
        <f>VLOOKUP(B992,'товар'!$A$1:$C$433,3,FALSE)</f>
        <v>Сырная долина</v>
      </c>
      <c r="M992" s="45">
        <f t="shared" si="4"/>
        <v>271</v>
      </c>
      <c r="N992" s="46">
        <f>VLOOKUP(H992,'клиенты'!$A$1:$F$435,5,FALSE)</f>
        <v>44756</v>
      </c>
      <c r="O992" s="41">
        <f t="shared" si="5"/>
        <v>388</v>
      </c>
      <c r="P992" s="41" t="str">
        <f>VLOOKUP(H992,'клиенты'!$A$2:$J$435,10,FALSE)</f>
        <v>Беларусь</v>
      </c>
      <c r="Q992" s="47">
        <f t="shared" si="6"/>
        <v>46078.45901</v>
      </c>
      <c r="R992" s="48">
        <f t="shared" si="7"/>
        <v>44.08196706</v>
      </c>
      <c r="S992" s="41"/>
      <c r="T992" s="41"/>
      <c r="U992" s="41"/>
      <c r="V992" s="41"/>
      <c r="W992" s="41"/>
      <c r="X992" s="41"/>
      <c r="Y992" s="41"/>
      <c r="Z992" s="41"/>
    </row>
    <row r="993" ht="14.25" customHeight="1">
      <c r="A993" s="20">
        <v>992.0</v>
      </c>
      <c r="B993" s="20">
        <v>183.0</v>
      </c>
      <c r="C993" s="20">
        <v>73.0</v>
      </c>
      <c r="D993" s="20">
        <v>5.0</v>
      </c>
      <c r="E993" s="20">
        <f t="shared" si="1"/>
        <v>365</v>
      </c>
      <c r="F993" s="49">
        <v>45317.0</v>
      </c>
      <c r="G993" s="20" t="s">
        <v>54</v>
      </c>
      <c r="H993" s="20">
        <v>478.0</v>
      </c>
      <c r="I993" s="20" t="str">
        <f>VLOOKUP(B993,'товар'!$A$1:$C$433,2,FALSE)</f>
        <v>Конфеты</v>
      </c>
      <c r="J993" s="50">
        <f t="shared" si="2"/>
        <v>267.8548387</v>
      </c>
      <c r="K993" s="51">
        <f t="shared" si="3"/>
        <v>-0.7274643223</v>
      </c>
      <c r="L993" s="20" t="str">
        <f>VLOOKUP(B993,'товар'!$A$1:$C$433,3,FALSE)</f>
        <v>Бабаевский</v>
      </c>
      <c r="M993" s="52">
        <f t="shared" si="4"/>
        <v>250.2592593</v>
      </c>
      <c r="N993" s="53">
        <f>VLOOKUP(H993,'клиенты'!$A$1:$F$435,5,FALSE)</f>
        <v>44726</v>
      </c>
      <c r="O993" s="20">
        <f t="shared" si="5"/>
        <v>591</v>
      </c>
      <c r="P993" s="20" t="str">
        <f>VLOOKUP(H993,'клиенты'!$A$2:$J$435,10,FALSE)</f>
        <v>Украина</v>
      </c>
      <c r="Q993" s="54">
        <f t="shared" si="6"/>
        <v>46078.45901</v>
      </c>
      <c r="R993" s="55">
        <f t="shared" si="7"/>
        <v>45.08196706</v>
      </c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41">
        <v>993.0</v>
      </c>
      <c r="B994" s="41">
        <v>224.0</v>
      </c>
      <c r="C994" s="41">
        <v>421.0</v>
      </c>
      <c r="D994" s="41">
        <v>3.0</v>
      </c>
      <c r="E994" s="41">
        <f t="shared" si="1"/>
        <v>1263</v>
      </c>
      <c r="F994" s="42">
        <v>45093.0</v>
      </c>
      <c r="G994" s="41" t="s">
        <v>39</v>
      </c>
      <c r="H994" s="41">
        <v>497.0</v>
      </c>
      <c r="I994" s="41" t="str">
        <f>VLOOKUP(B994,'товар'!$A$1:$C$433,2,FALSE)</f>
        <v>Чипсы</v>
      </c>
      <c r="J994" s="43">
        <f t="shared" si="2"/>
        <v>273.7254902</v>
      </c>
      <c r="K994" s="44">
        <f t="shared" si="3"/>
        <v>0.5380372493</v>
      </c>
      <c r="L994" s="41" t="str">
        <f>VLOOKUP(B994,'товар'!$A$1:$C$433,3,FALSE)</f>
        <v>Pringles</v>
      </c>
      <c r="M994" s="45">
        <f t="shared" si="4"/>
        <v>280.2380952</v>
      </c>
      <c r="N994" s="46">
        <f>VLOOKUP(H994,'клиенты'!$A$1:$F$435,5,FALSE)</f>
        <v>44826</v>
      </c>
      <c r="O994" s="41">
        <f t="shared" si="5"/>
        <v>267</v>
      </c>
      <c r="P994" s="41" t="str">
        <f>VLOOKUP(H994,'клиенты'!$A$2:$J$435,10,FALSE)</f>
        <v>Узбекистан</v>
      </c>
      <c r="Q994" s="47">
        <f t="shared" si="6"/>
        <v>46078.45901</v>
      </c>
      <c r="R994" s="48">
        <f t="shared" si="7"/>
        <v>41.74863373</v>
      </c>
      <c r="S994" s="41"/>
      <c r="T994" s="41"/>
      <c r="U994" s="41"/>
      <c r="V994" s="41"/>
      <c r="W994" s="41"/>
      <c r="X994" s="41"/>
      <c r="Y994" s="41"/>
      <c r="Z994" s="41"/>
    </row>
    <row r="995" ht="14.25" customHeight="1">
      <c r="A995" s="20">
        <v>994.0</v>
      </c>
      <c r="B995" s="20">
        <v>235.0</v>
      </c>
      <c r="C995" s="20">
        <v>345.0</v>
      </c>
      <c r="D995" s="20">
        <v>3.0</v>
      </c>
      <c r="E995" s="20">
        <f t="shared" si="1"/>
        <v>1035</v>
      </c>
      <c r="F995" s="49">
        <v>45301.0</v>
      </c>
      <c r="G995" s="20" t="s">
        <v>45</v>
      </c>
      <c r="H995" s="20">
        <v>406.0</v>
      </c>
      <c r="I995" s="20" t="str">
        <f>VLOOKUP(B995,'товар'!$A$1:$C$433,2,FALSE)</f>
        <v>Хлеб</v>
      </c>
      <c r="J995" s="50">
        <f t="shared" si="2"/>
        <v>300.3181818</v>
      </c>
      <c r="K995" s="51">
        <f t="shared" si="3"/>
        <v>0.1487815953</v>
      </c>
      <c r="L995" s="20" t="str">
        <f>VLOOKUP(B995,'товар'!$A$1:$C$433,3,FALSE)</f>
        <v>Русский Хлеб</v>
      </c>
      <c r="M995" s="52">
        <f t="shared" si="4"/>
        <v>316.6</v>
      </c>
      <c r="N995" s="53">
        <f>VLOOKUP(H995,'клиенты'!$A$1:$F$435,5,FALSE)</f>
        <v>44895</v>
      </c>
      <c r="O995" s="20">
        <f t="shared" si="5"/>
        <v>406</v>
      </c>
      <c r="P995" s="20" t="str">
        <f>VLOOKUP(H995,'клиенты'!$A$2:$J$435,10,FALSE)</f>
        <v>Украина</v>
      </c>
      <c r="Q995" s="54">
        <f t="shared" si="6"/>
        <v>46078.45901</v>
      </c>
      <c r="R995" s="55">
        <f t="shared" si="7"/>
        <v>39.44863373</v>
      </c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41">
        <v>995.0</v>
      </c>
      <c r="B996" s="41">
        <v>477.0</v>
      </c>
      <c r="C996" s="41">
        <v>50.0</v>
      </c>
      <c r="D996" s="41">
        <v>1.0</v>
      </c>
      <c r="E996" s="41">
        <f t="shared" si="1"/>
        <v>50</v>
      </c>
      <c r="F996" s="42">
        <v>45145.0</v>
      </c>
      <c r="G996" s="41" t="s">
        <v>41</v>
      </c>
      <c r="H996" s="41">
        <v>58.0</v>
      </c>
      <c r="I996" s="41" t="str">
        <f>VLOOKUP(B996,'товар'!$A$1:$C$433,2,FALSE)</f>
        <v>Макароны</v>
      </c>
      <c r="J996" s="43">
        <f t="shared" si="2"/>
        <v>265.4767442</v>
      </c>
      <c r="K996" s="44">
        <f t="shared" si="3"/>
        <v>-0.8116595857</v>
      </c>
      <c r="L996" s="41" t="str">
        <f>VLOOKUP(B996,'товар'!$A$1:$C$433,3,FALSE)</f>
        <v>Борилла</v>
      </c>
      <c r="M996" s="45">
        <f t="shared" si="4"/>
        <v>236.2758621</v>
      </c>
      <c r="N996" s="46">
        <f>VLOOKUP(H996,'клиенты'!$A$1:$F$435,5,FALSE)</f>
        <v>44628</v>
      </c>
      <c r="O996" s="41">
        <f t="shared" si="5"/>
        <v>517</v>
      </c>
      <c r="P996" s="41" t="str">
        <f>VLOOKUP(H996,'клиенты'!$A$2:$J$435,10,FALSE)</f>
        <v>Беларусь</v>
      </c>
      <c r="Q996" s="47">
        <f t="shared" si="6"/>
        <v>46078.45901</v>
      </c>
      <c r="R996" s="48">
        <f t="shared" si="7"/>
        <v>48.34863373</v>
      </c>
      <c r="S996" s="41"/>
      <c r="T996" s="41"/>
      <c r="U996" s="41"/>
      <c r="V996" s="41"/>
      <c r="W996" s="41"/>
      <c r="X996" s="41"/>
      <c r="Y996" s="41"/>
      <c r="Z996" s="41"/>
    </row>
    <row r="997" ht="14.25" customHeight="1">
      <c r="A997" s="20">
        <v>996.0</v>
      </c>
      <c r="B997" s="20">
        <v>242.0</v>
      </c>
      <c r="C997" s="20">
        <v>441.0</v>
      </c>
      <c r="D997" s="20">
        <v>1.0</v>
      </c>
      <c r="E997" s="20">
        <f t="shared" si="1"/>
        <v>441</v>
      </c>
      <c r="F997" s="49">
        <v>44934.0</v>
      </c>
      <c r="G997" s="20" t="s">
        <v>36</v>
      </c>
      <c r="H997" s="20">
        <v>312.0</v>
      </c>
      <c r="I997" s="20" t="str">
        <f>VLOOKUP(B997,'товар'!$A$1:$C$433,2,FALSE)</f>
        <v>Овощи</v>
      </c>
      <c r="J997" s="50">
        <f t="shared" si="2"/>
        <v>250.4878049</v>
      </c>
      <c r="K997" s="51">
        <f t="shared" si="3"/>
        <v>0.7605647517</v>
      </c>
      <c r="L997" s="20" t="str">
        <f>VLOOKUP(B997,'товар'!$A$1:$C$433,3,FALSE)</f>
        <v>Овощной ряд</v>
      </c>
      <c r="M997" s="52">
        <f t="shared" si="4"/>
        <v>303.8235294</v>
      </c>
      <c r="N997" s="53">
        <f>VLOOKUP(H997,'клиенты'!$A$1:$F$435,5,FALSE)</f>
        <v>44886</v>
      </c>
      <c r="O997" s="20">
        <f t="shared" si="5"/>
        <v>48</v>
      </c>
      <c r="P997" s="20" t="str">
        <f>VLOOKUP(H997,'клиенты'!$A$2:$J$435,10,FALSE)</f>
        <v>Россия</v>
      </c>
      <c r="Q997" s="54">
        <f t="shared" si="6"/>
        <v>46078.45901</v>
      </c>
      <c r="R997" s="55">
        <f t="shared" si="7"/>
        <v>39.74863373</v>
      </c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41">
        <v>997.0</v>
      </c>
      <c r="B998" s="41">
        <v>423.0</v>
      </c>
      <c r="C998" s="41">
        <v>187.0</v>
      </c>
      <c r="D998" s="41">
        <v>5.0</v>
      </c>
      <c r="E998" s="41">
        <f t="shared" si="1"/>
        <v>935</v>
      </c>
      <c r="F998" s="42">
        <v>45247.0</v>
      </c>
      <c r="G998" s="41" t="s">
        <v>45</v>
      </c>
      <c r="H998" s="41">
        <v>136.0</v>
      </c>
      <c r="I998" s="41" t="str">
        <f>VLOOKUP(B998,'товар'!$A$1:$C$433,2,FALSE)</f>
        <v>Чипсы</v>
      </c>
      <c r="J998" s="43">
        <f t="shared" si="2"/>
        <v>273.7254902</v>
      </c>
      <c r="K998" s="44">
        <f t="shared" si="3"/>
        <v>-0.3168338109</v>
      </c>
      <c r="L998" s="41" t="str">
        <f>VLOOKUP(B998,'товар'!$A$1:$C$433,3,FALSE)</f>
        <v>Pringles</v>
      </c>
      <c r="M998" s="45">
        <f t="shared" si="4"/>
        <v>280.2380952</v>
      </c>
      <c r="N998" s="46">
        <f>VLOOKUP(H998,'клиенты'!$A$1:$F$435,5,FALSE)</f>
        <v>44860</v>
      </c>
      <c r="O998" s="41">
        <f t="shared" si="5"/>
        <v>387</v>
      </c>
      <c r="P998" s="41" t="str">
        <f>VLOOKUP(H998,'клиенты'!$A$2:$J$435,10,FALSE)</f>
        <v>Украина</v>
      </c>
      <c r="Q998" s="47">
        <f t="shared" si="6"/>
        <v>46078.45901</v>
      </c>
      <c r="R998" s="48">
        <f t="shared" si="7"/>
        <v>40.61530039</v>
      </c>
      <c r="S998" s="41"/>
      <c r="T998" s="41"/>
      <c r="U998" s="41"/>
      <c r="V998" s="41"/>
      <c r="W998" s="41"/>
      <c r="X998" s="41"/>
      <c r="Y998" s="41"/>
      <c r="Z998" s="41"/>
    </row>
    <row r="999" ht="14.25" customHeight="1">
      <c r="A999" s="20">
        <v>998.0</v>
      </c>
      <c r="B999" s="20">
        <v>414.0</v>
      </c>
      <c r="C999" s="20">
        <v>170.0</v>
      </c>
      <c r="D999" s="20">
        <v>1.0</v>
      </c>
      <c r="E999" s="20">
        <f t="shared" si="1"/>
        <v>170</v>
      </c>
      <c r="F999" s="49">
        <v>45248.0</v>
      </c>
      <c r="G999" s="20" t="s">
        <v>53</v>
      </c>
      <c r="H999" s="20">
        <v>328.0</v>
      </c>
      <c r="I999" s="20" t="str">
        <f>VLOOKUP(B999,'товар'!$A$1:$C$433,2,FALSE)</f>
        <v>Фрукты</v>
      </c>
      <c r="J999" s="50">
        <f t="shared" si="2"/>
        <v>274.1627907</v>
      </c>
      <c r="K999" s="51">
        <f t="shared" si="3"/>
        <v>-0.3799304436</v>
      </c>
      <c r="L999" s="20" t="str">
        <f>VLOOKUP(B999,'товар'!$A$1:$C$433,3,FALSE)</f>
        <v>Экзотик</v>
      </c>
      <c r="M999" s="52">
        <f t="shared" si="4"/>
        <v>253.6875</v>
      </c>
      <c r="N999" s="53">
        <f>VLOOKUP(H999,'клиенты'!$A$1:$F$435,5,FALSE)</f>
        <v>44568</v>
      </c>
      <c r="O999" s="20">
        <f t="shared" si="5"/>
        <v>680</v>
      </c>
      <c r="P999" s="20" t="str">
        <f>VLOOKUP(H999,'клиенты'!$A$2:$J$435,10,FALSE)</f>
        <v>Россия</v>
      </c>
      <c r="Q999" s="54">
        <f t="shared" si="6"/>
        <v>46078.45901</v>
      </c>
      <c r="R999" s="55">
        <f t="shared" si="7"/>
        <v>50.34863373</v>
      </c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41">
        <v>999.0</v>
      </c>
      <c r="B1000" s="41">
        <v>110.0</v>
      </c>
      <c r="C1000" s="41">
        <v>114.0</v>
      </c>
      <c r="D1000" s="41">
        <v>3.0</v>
      </c>
      <c r="E1000" s="41">
        <f t="shared" si="1"/>
        <v>342</v>
      </c>
      <c r="F1000" s="42">
        <v>44990.0</v>
      </c>
      <c r="G1000" s="41" t="s">
        <v>50</v>
      </c>
      <c r="H1000" s="41">
        <v>172.0</v>
      </c>
      <c r="I1000" s="41" t="str">
        <f>VLOOKUP(B1000,'товар'!$A$1:$C$433,2,FALSE)</f>
        <v>Макароны</v>
      </c>
      <c r="J1000" s="43">
        <f t="shared" si="2"/>
        <v>265.4767442</v>
      </c>
      <c r="K1000" s="44">
        <f t="shared" si="3"/>
        <v>-0.5705838553</v>
      </c>
      <c r="L1000" s="41" t="str">
        <f>VLOOKUP(B1000,'товар'!$A$1:$C$433,3,FALSE)</f>
        <v>Паста Зара</v>
      </c>
      <c r="M1000" s="45">
        <f t="shared" si="4"/>
        <v>276.6756757</v>
      </c>
      <c r="N1000" s="46">
        <f>VLOOKUP(H1000,'клиенты'!$A$1:$F$435,5,FALSE)</f>
        <v>44737</v>
      </c>
      <c r="O1000" s="41">
        <f t="shared" si="5"/>
        <v>253</v>
      </c>
      <c r="P1000" s="41" t="str">
        <f>VLOOKUP(H1000,'клиенты'!$A$2:$J$435,10,FALSE)</f>
        <v>Россия</v>
      </c>
      <c r="Q1000" s="47">
        <f t="shared" si="6"/>
        <v>46078.45901</v>
      </c>
      <c r="R1000" s="48">
        <f t="shared" si="7"/>
        <v>44.71530039</v>
      </c>
      <c r="S1000" s="41"/>
      <c r="T1000" s="41"/>
      <c r="U1000" s="41"/>
      <c r="V1000" s="41"/>
      <c r="W1000" s="41"/>
      <c r="X1000" s="41"/>
      <c r="Y1000" s="41"/>
      <c r="Z1000" s="41"/>
    </row>
    <row r="1001" ht="14.25" customHeight="1">
      <c r="A1001" s="20">
        <v>1000.0</v>
      </c>
      <c r="B1001" s="20">
        <v>296.0</v>
      </c>
      <c r="C1001" s="20">
        <v>453.0</v>
      </c>
      <c r="D1001" s="20">
        <v>1.0</v>
      </c>
      <c r="E1001" s="20">
        <f t="shared" si="1"/>
        <v>453</v>
      </c>
      <c r="F1001" s="49">
        <v>45265.0</v>
      </c>
      <c r="G1001" s="20" t="s">
        <v>41</v>
      </c>
      <c r="H1001" s="20">
        <v>167.0</v>
      </c>
      <c r="I1001" s="20" t="str">
        <f>VLOOKUP(B1001,'товар'!$A$1:$C$433,2,FALSE)</f>
        <v>Крупа</v>
      </c>
      <c r="J1001" s="50">
        <f t="shared" si="2"/>
        <v>255.1162791</v>
      </c>
      <c r="K1001" s="51">
        <f t="shared" si="3"/>
        <v>0.7756608933</v>
      </c>
      <c r="L1001" s="20" t="str">
        <f>VLOOKUP(B1001,'товар'!$A$1:$C$433,3,FALSE)</f>
        <v>Мистраль</v>
      </c>
      <c r="M1001" s="52">
        <f t="shared" si="4"/>
        <v>250.3076923</v>
      </c>
      <c r="N1001" s="53">
        <f>VLOOKUP(H1001,'клиенты'!$A$1:$F$435,5,FALSE)</f>
        <v>44563</v>
      </c>
      <c r="O1001" s="20">
        <f t="shared" si="5"/>
        <v>702</v>
      </c>
      <c r="P1001" s="20" t="str">
        <f>VLOOKUP(H1001,'клиенты'!$A$2:$J$435,10,FALSE)</f>
        <v>Узбекистан</v>
      </c>
      <c r="Q1001" s="54">
        <f t="shared" si="6"/>
        <v>46078.45901</v>
      </c>
      <c r="R1001" s="55">
        <f t="shared" si="7"/>
        <v>50.51530039</v>
      </c>
      <c r="S1001" s="20"/>
      <c r="T1001" s="20"/>
      <c r="U1001" s="20"/>
      <c r="V1001" s="20"/>
      <c r="W1001" s="20"/>
      <c r="X1001" s="20"/>
      <c r="Y1001" s="20"/>
      <c r="Z1001" s="20"/>
    </row>
  </sheetData>
  <autoFilter ref="$R$1:$R$1001"/>
  <conditionalFormatting sqref="K2:K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15.43"/>
    <col customWidth="1" min="4" max="26" width="8.71"/>
  </cols>
  <sheetData>
    <row r="1" ht="14.25" customHeight="1">
      <c r="A1" s="56" t="s">
        <v>187</v>
      </c>
      <c r="B1" s="56" t="s">
        <v>201</v>
      </c>
      <c r="C1" s="56" t="s">
        <v>202</v>
      </c>
    </row>
    <row r="2" ht="14.25" customHeight="1">
      <c r="A2" s="57">
        <v>300.0</v>
      </c>
      <c r="B2" s="57" t="s">
        <v>169</v>
      </c>
      <c r="C2" s="57" t="s">
        <v>135</v>
      </c>
    </row>
    <row r="3" ht="14.25" customHeight="1">
      <c r="A3" s="57">
        <v>486.0</v>
      </c>
      <c r="B3" s="57" t="s">
        <v>171</v>
      </c>
      <c r="C3" s="57" t="s">
        <v>138</v>
      </c>
    </row>
    <row r="4" ht="14.25" customHeight="1">
      <c r="A4" s="57">
        <v>76.0</v>
      </c>
      <c r="B4" s="57" t="s">
        <v>166</v>
      </c>
      <c r="C4" s="57" t="s">
        <v>142</v>
      </c>
    </row>
    <row r="5" ht="14.25" customHeight="1">
      <c r="A5" s="57">
        <v>240.0</v>
      </c>
      <c r="B5" s="57" t="s">
        <v>162</v>
      </c>
      <c r="C5" s="57" t="s">
        <v>140</v>
      </c>
    </row>
    <row r="6" ht="14.25" customHeight="1">
      <c r="A6" s="57">
        <v>32.0</v>
      </c>
      <c r="B6" s="57" t="s">
        <v>165</v>
      </c>
      <c r="C6" s="57" t="s">
        <v>151</v>
      </c>
    </row>
    <row r="7" ht="14.25" customHeight="1">
      <c r="A7" s="57">
        <v>162.0</v>
      </c>
      <c r="B7" s="57" t="s">
        <v>170</v>
      </c>
      <c r="C7" s="57" t="s">
        <v>100</v>
      </c>
    </row>
    <row r="8" ht="14.25" customHeight="1">
      <c r="A8" s="57">
        <v>323.0</v>
      </c>
      <c r="B8" s="57" t="s">
        <v>168</v>
      </c>
      <c r="C8" s="57" t="s">
        <v>119</v>
      </c>
    </row>
    <row r="9" ht="14.25" customHeight="1">
      <c r="A9" s="57">
        <v>60.0</v>
      </c>
      <c r="B9" s="57" t="s">
        <v>160</v>
      </c>
      <c r="C9" s="57" t="s">
        <v>106</v>
      </c>
    </row>
    <row r="10" ht="14.25" customHeight="1">
      <c r="A10" s="57">
        <v>401.0</v>
      </c>
      <c r="B10" s="57" t="s">
        <v>175</v>
      </c>
      <c r="C10" s="57" t="s">
        <v>96</v>
      </c>
    </row>
    <row r="11" ht="14.25" customHeight="1">
      <c r="A11" s="57">
        <v>100.0</v>
      </c>
      <c r="B11" s="57" t="s">
        <v>157</v>
      </c>
      <c r="C11" s="57" t="s">
        <v>122</v>
      </c>
    </row>
    <row r="12" ht="14.25" customHeight="1">
      <c r="A12" s="57">
        <v>217.0</v>
      </c>
      <c r="B12" s="57" t="s">
        <v>164</v>
      </c>
      <c r="C12" s="57" t="s">
        <v>91</v>
      </c>
    </row>
    <row r="13" ht="14.25" customHeight="1">
      <c r="A13" s="57">
        <v>445.0</v>
      </c>
      <c r="B13" s="57" t="s">
        <v>169</v>
      </c>
      <c r="C13" s="57" t="s">
        <v>136</v>
      </c>
    </row>
    <row r="14" ht="14.25" customHeight="1">
      <c r="A14" s="57">
        <v>284.0</v>
      </c>
      <c r="B14" s="57" t="s">
        <v>164</v>
      </c>
      <c r="C14" s="57" t="s">
        <v>147</v>
      </c>
    </row>
    <row r="15" ht="14.25" customHeight="1">
      <c r="A15" s="57">
        <v>116.0</v>
      </c>
      <c r="B15" s="57" t="s">
        <v>171</v>
      </c>
      <c r="C15" s="57" t="s">
        <v>83</v>
      </c>
    </row>
    <row r="16" ht="14.25" customHeight="1">
      <c r="A16" s="57">
        <v>378.0</v>
      </c>
      <c r="B16" s="57" t="s">
        <v>170</v>
      </c>
      <c r="C16" s="57" t="s">
        <v>100</v>
      </c>
    </row>
    <row r="17" ht="14.25" customHeight="1">
      <c r="A17" s="57">
        <v>299.0</v>
      </c>
      <c r="B17" s="57" t="s">
        <v>175</v>
      </c>
      <c r="C17" s="57" t="s">
        <v>120</v>
      </c>
    </row>
    <row r="18" ht="14.25" customHeight="1">
      <c r="A18" s="57">
        <v>359.0</v>
      </c>
      <c r="B18" s="57" t="s">
        <v>164</v>
      </c>
      <c r="C18" s="57" t="s">
        <v>42</v>
      </c>
    </row>
    <row r="19" ht="14.25" customHeight="1">
      <c r="A19" s="57">
        <v>337.0</v>
      </c>
      <c r="B19" s="57" t="s">
        <v>162</v>
      </c>
      <c r="C19" s="57" t="s">
        <v>105</v>
      </c>
    </row>
    <row r="20" ht="14.25" customHeight="1">
      <c r="A20" s="57">
        <v>226.0</v>
      </c>
      <c r="B20" s="57" t="s">
        <v>172</v>
      </c>
      <c r="C20" s="57" t="s">
        <v>90</v>
      </c>
    </row>
    <row r="21" ht="14.25" customHeight="1">
      <c r="A21" s="57">
        <v>310.0</v>
      </c>
      <c r="B21" s="57" t="s">
        <v>162</v>
      </c>
      <c r="C21" s="57" t="s">
        <v>105</v>
      </c>
    </row>
    <row r="22" ht="14.25" customHeight="1">
      <c r="A22" s="57">
        <v>137.0</v>
      </c>
      <c r="B22" s="57" t="s">
        <v>173</v>
      </c>
      <c r="C22" s="57" t="s">
        <v>125</v>
      </c>
    </row>
    <row r="23" ht="14.25" customHeight="1">
      <c r="A23" s="57">
        <v>385.0</v>
      </c>
      <c r="B23" s="57" t="s">
        <v>162</v>
      </c>
      <c r="C23" s="57" t="s">
        <v>79</v>
      </c>
    </row>
    <row r="24" ht="14.25" customHeight="1">
      <c r="A24" s="57">
        <v>451.0</v>
      </c>
      <c r="B24" s="57" t="s">
        <v>167</v>
      </c>
      <c r="C24" s="57" t="s">
        <v>114</v>
      </c>
    </row>
    <row r="25" ht="14.25" customHeight="1">
      <c r="A25" s="57">
        <v>7.0</v>
      </c>
      <c r="B25" s="57" t="s">
        <v>172</v>
      </c>
      <c r="C25" s="57" t="s">
        <v>137</v>
      </c>
    </row>
    <row r="26" ht="14.25" customHeight="1">
      <c r="A26" s="57">
        <v>495.0</v>
      </c>
      <c r="B26" s="57" t="s">
        <v>175</v>
      </c>
      <c r="C26" s="57" t="s">
        <v>96</v>
      </c>
    </row>
    <row r="27" ht="14.25" customHeight="1">
      <c r="A27" s="57">
        <v>415.0</v>
      </c>
      <c r="B27" s="57" t="s">
        <v>176</v>
      </c>
      <c r="C27" s="57" t="s">
        <v>104</v>
      </c>
    </row>
    <row r="28" ht="14.25" customHeight="1">
      <c r="A28" s="57">
        <v>176.0</v>
      </c>
      <c r="B28" s="57" t="s">
        <v>169</v>
      </c>
      <c r="C28" s="57" t="s">
        <v>135</v>
      </c>
    </row>
    <row r="29" ht="14.25" customHeight="1">
      <c r="A29" s="57">
        <v>181.0</v>
      </c>
      <c r="B29" s="57" t="s">
        <v>163</v>
      </c>
      <c r="C29" s="57" t="s">
        <v>86</v>
      </c>
    </row>
    <row r="30" ht="14.25" customHeight="1">
      <c r="A30" s="57">
        <v>399.0</v>
      </c>
      <c r="B30" s="57" t="s">
        <v>174</v>
      </c>
      <c r="C30" s="57" t="s">
        <v>102</v>
      </c>
    </row>
    <row r="31" ht="14.25" customHeight="1">
      <c r="A31" s="57">
        <v>382.0</v>
      </c>
      <c r="B31" s="57" t="s">
        <v>165</v>
      </c>
      <c r="C31" s="57" t="s">
        <v>92</v>
      </c>
    </row>
    <row r="32" ht="14.25" customHeight="1">
      <c r="A32" s="57">
        <v>103.0</v>
      </c>
      <c r="B32" s="57" t="s">
        <v>168</v>
      </c>
      <c r="C32" s="57" t="s">
        <v>145</v>
      </c>
    </row>
    <row r="33" ht="14.25" customHeight="1">
      <c r="A33" s="57">
        <v>104.0</v>
      </c>
      <c r="B33" s="57" t="s">
        <v>157</v>
      </c>
      <c r="C33" s="57" t="s">
        <v>122</v>
      </c>
    </row>
    <row r="34" ht="14.25" customHeight="1">
      <c r="A34" s="57">
        <v>213.0</v>
      </c>
      <c r="B34" s="57" t="s">
        <v>169</v>
      </c>
      <c r="C34" s="57" t="s">
        <v>135</v>
      </c>
    </row>
    <row r="35" ht="14.25" customHeight="1">
      <c r="A35" s="57">
        <v>157.0</v>
      </c>
      <c r="B35" s="57" t="s">
        <v>172</v>
      </c>
      <c r="C35" s="57" t="s">
        <v>137</v>
      </c>
    </row>
    <row r="36" ht="14.25" customHeight="1">
      <c r="A36" s="57">
        <v>237.0</v>
      </c>
      <c r="B36" s="57" t="s">
        <v>159</v>
      </c>
      <c r="C36" s="57" t="s">
        <v>98</v>
      </c>
    </row>
    <row r="37" ht="14.25" customHeight="1">
      <c r="A37" s="57">
        <v>8.0</v>
      </c>
      <c r="B37" s="57" t="s">
        <v>162</v>
      </c>
      <c r="C37" s="57" t="s">
        <v>105</v>
      </c>
    </row>
    <row r="38" ht="14.25" customHeight="1">
      <c r="A38" s="57">
        <v>65.0</v>
      </c>
      <c r="B38" s="57" t="s">
        <v>174</v>
      </c>
      <c r="C38" s="57" t="s">
        <v>102</v>
      </c>
    </row>
    <row r="39" ht="14.25" customHeight="1">
      <c r="A39" s="57">
        <v>45.0</v>
      </c>
      <c r="B39" s="57" t="s">
        <v>170</v>
      </c>
      <c r="C39" s="57" t="s">
        <v>133</v>
      </c>
    </row>
    <row r="40" ht="14.25" customHeight="1">
      <c r="A40" s="57">
        <v>36.0</v>
      </c>
      <c r="B40" s="57" t="s">
        <v>162</v>
      </c>
      <c r="C40" s="57" t="s">
        <v>141</v>
      </c>
    </row>
    <row r="41" ht="14.25" customHeight="1">
      <c r="A41" s="57">
        <v>443.0</v>
      </c>
      <c r="B41" s="57" t="s">
        <v>160</v>
      </c>
      <c r="C41" s="57" t="s">
        <v>106</v>
      </c>
    </row>
    <row r="42" ht="14.25" customHeight="1">
      <c r="A42" s="57">
        <v>384.0</v>
      </c>
      <c r="B42" s="57" t="s">
        <v>169</v>
      </c>
      <c r="C42" s="57" t="s">
        <v>136</v>
      </c>
    </row>
    <row r="43" ht="14.25" customHeight="1">
      <c r="A43" s="57">
        <v>41.0</v>
      </c>
      <c r="B43" s="57" t="s">
        <v>167</v>
      </c>
      <c r="C43" s="57" t="s">
        <v>87</v>
      </c>
    </row>
    <row r="44" ht="14.25" customHeight="1">
      <c r="A44" s="57">
        <v>484.0</v>
      </c>
      <c r="B44" s="57" t="s">
        <v>166</v>
      </c>
      <c r="C44" s="57" t="s">
        <v>80</v>
      </c>
    </row>
    <row r="45" ht="14.25" customHeight="1">
      <c r="A45" s="57">
        <v>390.0</v>
      </c>
      <c r="B45" s="57" t="s">
        <v>170</v>
      </c>
      <c r="C45" s="57" t="s">
        <v>124</v>
      </c>
    </row>
    <row r="46" ht="14.25" customHeight="1">
      <c r="A46" s="57">
        <v>57.0</v>
      </c>
      <c r="B46" s="57" t="s">
        <v>166</v>
      </c>
      <c r="C46" s="57" t="s">
        <v>142</v>
      </c>
    </row>
    <row r="47" ht="14.25" customHeight="1">
      <c r="A47" s="57">
        <v>285.0</v>
      </c>
      <c r="B47" s="57" t="s">
        <v>162</v>
      </c>
      <c r="C47" s="57" t="s">
        <v>105</v>
      </c>
    </row>
    <row r="48" ht="14.25" customHeight="1">
      <c r="A48" s="57">
        <v>444.0</v>
      </c>
      <c r="B48" s="57" t="s">
        <v>157</v>
      </c>
      <c r="C48" s="57" t="s">
        <v>130</v>
      </c>
    </row>
    <row r="49" ht="14.25" customHeight="1">
      <c r="A49" s="57">
        <v>35.0</v>
      </c>
      <c r="B49" s="57" t="s">
        <v>161</v>
      </c>
      <c r="C49" s="57" t="s">
        <v>143</v>
      </c>
    </row>
    <row r="50" ht="14.25" customHeight="1">
      <c r="A50" s="57">
        <v>296.0</v>
      </c>
      <c r="B50" s="57" t="s">
        <v>161</v>
      </c>
      <c r="C50" s="57" t="s">
        <v>143</v>
      </c>
    </row>
    <row r="51" ht="14.25" customHeight="1">
      <c r="A51" s="57">
        <v>227.0</v>
      </c>
      <c r="B51" s="57" t="s">
        <v>162</v>
      </c>
      <c r="C51" s="57" t="s">
        <v>79</v>
      </c>
    </row>
    <row r="52" ht="14.25" customHeight="1">
      <c r="A52" s="57">
        <v>167.0</v>
      </c>
      <c r="B52" s="57" t="s">
        <v>164</v>
      </c>
      <c r="C52" s="57" t="s">
        <v>147</v>
      </c>
    </row>
    <row r="53" ht="14.25" customHeight="1">
      <c r="A53" s="57">
        <v>146.0</v>
      </c>
      <c r="B53" s="57" t="s">
        <v>170</v>
      </c>
      <c r="C53" s="57" t="s">
        <v>133</v>
      </c>
    </row>
    <row r="54" ht="14.25" customHeight="1">
      <c r="A54" s="57">
        <v>338.0</v>
      </c>
      <c r="B54" s="57" t="s">
        <v>172</v>
      </c>
      <c r="C54" s="57" t="s">
        <v>137</v>
      </c>
    </row>
    <row r="55" ht="14.25" customHeight="1">
      <c r="A55" s="57">
        <v>155.0</v>
      </c>
      <c r="B55" s="57" t="s">
        <v>157</v>
      </c>
      <c r="C55" s="57" t="s">
        <v>130</v>
      </c>
    </row>
    <row r="56" ht="14.25" customHeight="1">
      <c r="A56" s="57">
        <v>239.0</v>
      </c>
      <c r="B56" s="57" t="s">
        <v>157</v>
      </c>
      <c r="C56" s="57" t="s">
        <v>130</v>
      </c>
    </row>
    <row r="57" ht="14.25" customHeight="1">
      <c r="A57" s="57">
        <v>158.0</v>
      </c>
      <c r="B57" s="57" t="s">
        <v>169</v>
      </c>
      <c r="C57" s="57" t="s">
        <v>136</v>
      </c>
    </row>
    <row r="58" ht="14.25" customHeight="1">
      <c r="A58" s="57">
        <v>147.0</v>
      </c>
      <c r="B58" s="57" t="s">
        <v>159</v>
      </c>
      <c r="C58" s="57" t="s">
        <v>128</v>
      </c>
    </row>
    <row r="59" ht="14.25" customHeight="1">
      <c r="A59" s="57">
        <v>311.0</v>
      </c>
      <c r="B59" s="57" t="s">
        <v>162</v>
      </c>
      <c r="C59" s="57" t="s">
        <v>105</v>
      </c>
    </row>
    <row r="60" ht="14.25" customHeight="1">
      <c r="A60" s="57">
        <v>465.0</v>
      </c>
      <c r="B60" s="57" t="s">
        <v>157</v>
      </c>
      <c r="C60" s="57" t="s">
        <v>122</v>
      </c>
    </row>
    <row r="61" ht="14.25" customHeight="1">
      <c r="A61" s="57">
        <v>449.0</v>
      </c>
      <c r="B61" s="57" t="s">
        <v>164</v>
      </c>
      <c r="C61" s="57" t="s">
        <v>91</v>
      </c>
    </row>
    <row r="62" ht="14.25" customHeight="1">
      <c r="A62" s="57">
        <v>144.0</v>
      </c>
      <c r="B62" s="57" t="s">
        <v>162</v>
      </c>
      <c r="C62" s="57" t="s">
        <v>141</v>
      </c>
    </row>
    <row r="63" ht="14.25" customHeight="1">
      <c r="A63" s="57">
        <v>375.0</v>
      </c>
      <c r="B63" s="57" t="s">
        <v>162</v>
      </c>
      <c r="C63" s="57" t="s">
        <v>140</v>
      </c>
    </row>
    <row r="64" ht="14.25" customHeight="1">
      <c r="A64" s="57">
        <v>408.0</v>
      </c>
      <c r="B64" s="57" t="s">
        <v>157</v>
      </c>
      <c r="C64" s="57" t="s">
        <v>130</v>
      </c>
    </row>
    <row r="65" ht="14.25" customHeight="1">
      <c r="A65" s="57">
        <v>425.0</v>
      </c>
      <c r="B65" s="57" t="s">
        <v>171</v>
      </c>
      <c r="C65" s="57" t="s">
        <v>83</v>
      </c>
    </row>
    <row r="66" ht="14.25" customHeight="1">
      <c r="A66" s="57">
        <v>277.0</v>
      </c>
      <c r="B66" s="57" t="s">
        <v>175</v>
      </c>
      <c r="C66" s="57" t="s">
        <v>96</v>
      </c>
    </row>
    <row r="67" ht="14.25" customHeight="1">
      <c r="A67" s="57">
        <v>130.0</v>
      </c>
      <c r="B67" s="57" t="s">
        <v>171</v>
      </c>
      <c r="C67" s="57" t="s">
        <v>138</v>
      </c>
    </row>
    <row r="68" ht="14.25" customHeight="1">
      <c r="A68" s="57">
        <v>30.0</v>
      </c>
      <c r="B68" s="57" t="s">
        <v>176</v>
      </c>
      <c r="C68" s="57" t="s">
        <v>104</v>
      </c>
    </row>
    <row r="69" ht="14.25" customHeight="1">
      <c r="A69" s="57">
        <v>75.0</v>
      </c>
      <c r="B69" s="57" t="s">
        <v>166</v>
      </c>
      <c r="C69" s="57" t="s">
        <v>129</v>
      </c>
    </row>
    <row r="70" ht="14.25" customHeight="1">
      <c r="A70" s="57">
        <v>118.0</v>
      </c>
      <c r="B70" s="57" t="s">
        <v>169</v>
      </c>
      <c r="C70" s="57" t="s">
        <v>135</v>
      </c>
    </row>
    <row r="71" ht="14.25" customHeight="1">
      <c r="A71" s="57">
        <v>19.0</v>
      </c>
      <c r="B71" s="57" t="s">
        <v>164</v>
      </c>
      <c r="C71" s="57" t="s">
        <v>111</v>
      </c>
    </row>
    <row r="72" ht="14.25" customHeight="1">
      <c r="A72" s="57">
        <v>204.0</v>
      </c>
      <c r="B72" s="57" t="s">
        <v>166</v>
      </c>
      <c r="C72" s="57" t="s">
        <v>142</v>
      </c>
    </row>
    <row r="73" ht="14.25" customHeight="1">
      <c r="A73" s="57">
        <v>304.0</v>
      </c>
      <c r="B73" s="57" t="s">
        <v>159</v>
      </c>
      <c r="C73" s="57" t="s">
        <v>98</v>
      </c>
    </row>
    <row r="74" ht="14.25" customHeight="1">
      <c r="A74" s="57">
        <v>189.0</v>
      </c>
      <c r="B74" s="57" t="s">
        <v>174</v>
      </c>
      <c r="C74" s="57" t="s">
        <v>117</v>
      </c>
    </row>
    <row r="75" ht="14.25" customHeight="1">
      <c r="A75" s="57">
        <v>392.0</v>
      </c>
      <c r="B75" s="57" t="s">
        <v>160</v>
      </c>
      <c r="C75" s="57" t="s">
        <v>144</v>
      </c>
    </row>
    <row r="76" ht="14.25" customHeight="1">
      <c r="A76" s="57">
        <v>10.0</v>
      </c>
      <c r="B76" s="57" t="s">
        <v>170</v>
      </c>
      <c r="C76" s="57" t="s">
        <v>100</v>
      </c>
    </row>
    <row r="77" ht="14.25" customHeight="1">
      <c r="A77" s="57">
        <v>64.0</v>
      </c>
      <c r="B77" s="57" t="s">
        <v>158</v>
      </c>
      <c r="C77" s="57" t="s">
        <v>110</v>
      </c>
    </row>
    <row r="78" ht="14.25" customHeight="1">
      <c r="A78" s="57">
        <v>334.0</v>
      </c>
      <c r="B78" s="57" t="s">
        <v>163</v>
      </c>
      <c r="C78" s="57" t="s">
        <v>107</v>
      </c>
    </row>
    <row r="79" ht="14.25" customHeight="1">
      <c r="A79" s="57">
        <v>345.0</v>
      </c>
      <c r="B79" s="57" t="s">
        <v>159</v>
      </c>
      <c r="C79" s="57" t="s">
        <v>98</v>
      </c>
    </row>
    <row r="80" ht="14.25" customHeight="1">
      <c r="A80" s="57">
        <v>281.0</v>
      </c>
      <c r="B80" s="57" t="s">
        <v>175</v>
      </c>
      <c r="C80" s="57" t="s">
        <v>120</v>
      </c>
    </row>
    <row r="81" ht="14.25" customHeight="1">
      <c r="A81" s="57">
        <v>276.0</v>
      </c>
      <c r="B81" s="57" t="s">
        <v>158</v>
      </c>
      <c r="C81" s="57" t="s">
        <v>89</v>
      </c>
    </row>
    <row r="82" ht="14.25" customHeight="1">
      <c r="A82" s="57">
        <v>234.0</v>
      </c>
      <c r="B82" s="57" t="s">
        <v>175</v>
      </c>
      <c r="C82" s="57" t="s">
        <v>96</v>
      </c>
    </row>
    <row r="83" ht="14.25" customHeight="1">
      <c r="A83" s="57">
        <v>319.0</v>
      </c>
      <c r="B83" s="57" t="s">
        <v>157</v>
      </c>
      <c r="C83" s="57" t="s">
        <v>130</v>
      </c>
    </row>
    <row r="84" ht="14.25" customHeight="1">
      <c r="A84" s="57">
        <v>24.0</v>
      </c>
      <c r="B84" s="57" t="s">
        <v>157</v>
      </c>
      <c r="C84" s="57" t="s">
        <v>99</v>
      </c>
    </row>
    <row r="85" ht="14.25" customHeight="1">
      <c r="A85" s="57">
        <v>357.0</v>
      </c>
      <c r="B85" s="57" t="s">
        <v>164</v>
      </c>
      <c r="C85" s="57" t="s">
        <v>111</v>
      </c>
    </row>
    <row r="86" ht="14.25" customHeight="1">
      <c r="A86" s="57">
        <v>265.0</v>
      </c>
      <c r="B86" s="57" t="s">
        <v>164</v>
      </c>
      <c r="C86" s="57" t="s">
        <v>42</v>
      </c>
    </row>
    <row r="87" ht="14.25" customHeight="1">
      <c r="A87" s="57">
        <v>102.0</v>
      </c>
      <c r="B87" s="57" t="s">
        <v>166</v>
      </c>
      <c r="C87" s="57" t="s">
        <v>129</v>
      </c>
    </row>
    <row r="88" ht="14.25" customHeight="1">
      <c r="A88" s="57">
        <v>212.0</v>
      </c>
      <c r="B88" s="57" t="s">
        <v>176</v>
      </c>
      <c r="C88" s="57" t="s">
        <v>84</v>
      </c>
    </row>
    <row r="89" ht="14.25" customHeight="1">
      <c r="A89" s="57">
        <v>215.0</v>
      </c>
      <c r="B89" s="57" t="s">
        <v>170</v>
      </c>
      <c r="C89" s="57" t="s">
        <v>100</v>
      </c>
    </row>
    <row r="90" ht="14.25" customHeight="1">
      <c r="A90" s="57">
        <v>364.0</v>
      </c>
      <c r="B90" s="57" t="s">
        <v>169</v>
      </c>
      <c r="C90" s="57" t="s">
        <v>94</v>
      </c>
    </row>
    <row r="91" ht="14.25" customHeight="1">
      <c r="A91" s="57">
        <v>499.0</v>
      </c>
      <c r="B91" s="57" t="s">
        <v>166</v>
      </c>
      <c r="C91" s="57" t="s">
        <v>82</v>
      </c>
    </row>
    <row r="92" ht="14.25" customHeight="1">
      <c r="A92" s="57">
        <v>202.0</v>
      </c>
      <c r="B92" s="57" t="s">
        <v>165</v>
      </c>
      <c r="C92" s="57" t="s">
        <v>92</v>
      </c>
    </row>
    <row r="93" ht="14.25" customHeight="1">
      <c r="A93" s="57">
        <v>244.0</v>
      </c>
      <c r="B93" s="57" t="s">
        <v>164</v>
      </c>
      <c r="C93" s="57" t="s">
        <v>147</v>
      </c>
    </row>
    <row r="94" ht="14.25" customHeight="1">
      <c r="A94" s="57">
        <v>363.0</v>
      </c>
      <c r="B94" s="57" t="s">
        <v>174</v>
      </c>
      <c r="C94" s="57" t="s">
        <v>117</v>
      </c>
    </row>
    <row r="95" ht="14.25" customHeight="1">
      <c r="A95" s="57">
        <v>434.0</v>
      </c>
      <c r="B95" s="57" t="s">
        <v>172</v>
      </c>
      <c r="C95" s="57" t="s">
        <v>113</v>
      </c>
    </row>
    <row r="96" ht="14.25" customHeight="1">
      <c r="A96" s="57">
        <v>305.0</v>
      </c>
      <c r="B96" s="57" t="s">
        <v>166</v>
      </c>
      <c r="C96" s="57" t="s">
        <v>82</v>
      </c>
    </row>
    <row r="97" ht="14.25" customHeight="1">
      <c r="A97" s="57">
        <v>37.0</v>
      </c>
      <c r="B97" s="57" t="s">
        <v>171</v>
      </c>
      <c r="C97" s="57" t="s">
        <v>138</v>
      </c>
    </row>
    <row r="98" ht="14.25" customHeight="1">
      <c r="A98" s="57">
        <v>242.0</v>
      </c>
      <c r="B98" s="57" t="s">
        <v>165</v>
      </c>
      <c r="C98" s="57" t="s">
        <v>92</v>
      </c>
    </row>
    <row r="99" ht="14.25" customHeight="1">
      <c r="A99" s="57">
        <v>332.0</v>
      </c>
      <c r="B99" s="57" t="s">
        <v>175</v>
      </c>
      <c r="C99" s="57" t="s">
        <v>101</v>
      </c>
    </row>
    <row r="100" ht="14.25" customHeight="1">
      <c r="A100" s="57">
        <v>452.0</v>
      </c>
      <c r="B100" s="57" t="s">
        <v>173</v>
      </c>
      <c r="C100" s="57" t="s">
        <v>125</v>
      </c>
    </row>
    <row r="101" ht="14.25" customHeight="1">
      <c r="A101" s="57">
        <v>132.0</v>
      </c>
      <c r="B101" s="57" t="s">
        <v>168</v>
      </c>
      <c r="C101" s="57" t="s">
        <v>119</v>
      </c>
    </row>
    <row r="102" ht="14.25" customHeight="1">
      <c r="A102" s="57">
        <v>457.0</v>
      </c>
      <c r="B102" s="57" t="s">
        <v>170</v>
      </c>
      <c r="C102" s="57" t="s">
        <v>112</v>
      </c>
    </row>
    <row r="103" ht="14.25" customHeight="1">
      <c r="A103" s="57">
        <v>250.0</v>
      </c>
      <c r="B103" s="57" t="s">
        <v>173</v>
      </c>
      <c r="C103" s="57" t="s">
        <v>103</v>
      </c>
    </row>
    <row r="104" ht="14.25" customHeight="1">
      <c r="A104" s="57">
        <v>195.0</v>
      </c>
      <c r="B104" s="57" t="s">
        <v>174</v>
      </c>
      <c r="C104" s="57" t="s">
        <v>78</v>
      </c>
    </row>
    <row r="105" ht="14.25" customHeight="1">
      <c r="A105" s="57">
        <v>186.0</v>
      </c>
      <c r="B105" s="57" t="s">
        <v>172</v>
      </c>
      <c r="C105" s="57" t="s">
        <v>137</v>
      </c>
    </row>
    <row r="106" ht="14.25" customHeight="1">
      <c r="A106" s="57">
        <v>490.0</v>
      </c>
      <c r="B106" s="57" t="s">
        <v>172</v>
      </c>
      <c r="C106" s="57" t="s">
        <v>113</v>
      </c>
    </row>
    <row r="107" ht="14.25" customHeight="1">
      <c r="A107" s="57">
        <v>72.0</v>
      </c>
      <c r="B107" s="57" t="s">
        <v>159</v>
      </c>
      <c r="C107" s="57" t="s">
        <v>128</v>
      </c>
    </row>
    <row r="108" ht="14.25" customHeight="1">
      <c r="A108" s="57">
        <v>430.0</v>
      </c>
      <c r="B108" s="57" t="s">
        <v>175</v>
      </c>
      <c r="C108" s="57" t="s">
        <v>132</v>
      </c>
    </row>
    <row r="109" ht="14.25" customHeight="1">
      <c r="A109" s="57">
        <v>223.0</v>
      </c>
      <c r="B109" s="57" t="s">
        <v>175</v>
      </c>
      <c r="C109" s="57" t="s">
        <v>96</v>
      </c>
    </row>
    <row r="110" ht="14.25" customHeight="1">
      <c r="A110" s="57">
        <v>164.0</v>
      </c>
      <c r="B110" s="57" t="s">
        <v>163</v>
      </c>
      <c r="C110" s="57" t="s">
        <v>81</v>
      </c>
    </row>
    <row r="111" ht="14.25" customHeight="1">
      <c r="A111" s="57">
        <v>393.0</v>
      </c>
      <c r="B111" s="57" t="s">
        <v>168</v>
      </c>
      <c r="C111" s="57" t="s">
        <v>95</v>
      </c>
    </row>
    <row r="112" ht="14.25" customHeight="1">
      <c r="A112" s="57">
        <v>166.0</v>
      </c>
      <c r="B112" s="57" t="s">
        <v>170</v>
      </c>
      <c r="C112" s="57" t="s">
        <v>133</v>
      </c>
    </row>
    <row r="113" ht="14.25" customHeight="1">
      <c r="A113" s="57">
        <v>249.0</v>
      </c>
      <c r="B113" s="57" t="s">
        <v>175</v>
      </c>
      <c r="C113" s="57" t="s">
        <v>120</v>
      </c>
    </row>
    <row r="114" ht="14.25" customHeight="1">
      <c r="A114" s="57">
        <v>83.0</v>
      </c>
      <c r="B114" s="57" t="s">
        <v>170</v>
      </c>
      <c r="C114" s="57" t="s">
        <v>124</v>
      </c>
    </row>
    <row r="115" ht="14.25" customHeight="1">
      <c r="A115" s="57">
        <v>236.0</v>
      </c>
      <c r="B115" s="57" t="s">
        <v>166</v>
      </c>
      <c r="C115" s="57" t="s">
        <v>82</v>
      </c>
    </row>
    <row r="116" ht="14.25" customHeight="1">
      <c r="A116" s="57">
        <v>379.0</v>
      </c>
      <c r="B116" s="57" t="s">
        <v>157</v>
      </c>
      <c r="C116" s="57" t="s">
        <v>93</v>
      </c>
    </row>
    <row r="117" ht="14.25" customHeight="1">
      <c r="A117" s="57">
        <v>431.0</v>
      </c>
      <c r="B117" s="57" t="s">
        <v>165</v>
      </c>
      <c r="C117" s="57" t="s">
        <v>131</v>
      </c>
    </row>
    <row r="118" ht="14.25" customHeight="1">
      <c r="A118" s="57">
        <v>463.0</v>
      </c>
      <c r="B118" s="57" t="s">
        <v>160</v>
      </c>
      <c r="C118" s="57" t="s">
        <v>144</v>
      </c>
    </row>
    <row r="119" ht="14.25" customHeight="1">
      <c r="A119" s="57">
        <v>494.0</v>
      </c>
      <c r="B119" s="57" t="s">
        <v>172</v>
      </c>
      <c r="C119" s="57" t="s">
        <v>113</v>
      </c>
    </row>
    <row r="120" ht="14.25" customHeight="1">
      <c r="A120" s="57">
        <v>394.0</v>
      </c>
      <c r="B120" s="57" t="s">
        <v>160</v>
      </c>
      <c r="C120" s="57" t="s">
        <v>144</v>
      </c>
    </row>
    <row r="121" ht="14.25" customHeight="1">
      <c r="A121" s="57">
        <v>380.0</v>
      </c>
      <c r="B121" s="57" t="s">
        <v>159</v>
      </c>
      <c r="C121" s="57" t="s">
        <v>128</v>
      </c>
    </row>
    <row r="122" ht="14.25" customHeight="1">
      <c r="A122" s="57">
        <v>309.0</v>
      </c>
      <c r="B122" s="57" t="s">
        <v>159</v>
      </c>
      <c r="C122" s="57" t="s">
        <v>98</v>
      </c>
    </row>
    <row r="123" ht="14.25" customHeight="1">
      <c r="A123" s="57">
        <v>112.0</v>
      </c>
      <c r="B123" s="57" t="s">
        <v>163</v>
      </c>
      <c r="C123" s="57" t="s">
        <v>81</v>
      </c>
    </row>
    <row r="124" ht="14.25" customHeight="1">
      <c r="A124" s="57">
        <v>81.0</v>
      </c>
      <c r="B124" s="57" t="s">
        <v>175</v>
      </c>
      <c r="C124" s="57" t="s">
        <v>101</v>
      </c>
    </row>
    <row r="125" ht="14.25" customHeight="1">
      <c r="A125" s="57">
        <v>4.0</v>
      </c>
      <c r="B125" s="57" t="s">
        <v>167</v>
      </c>
      <c r="C125" s="57" t="s">
        <v>114</v>
      </c>
    </row>
    <row r="126" ht="14.25" customHeight="1">
      <c r="A126" s="57">
        <v>209.0</v>
      </c>
      <c r="B126" s="57" t="s">
        <v>174</v>
      </c>
      <c r="C126" s="57" t="s">
        <v>88</v>
      </c>
    </row>
    <row r="127" ht="14.25" customHeight="1">
      <c r="A127" s="57">
        <v>156.0</v>
      </c>
      <c r="B127" s="57" t="s">
        <v>173</v>
      </c>
      <c r="C127" s="57" t="s">
        <v>103</v>
      </c>
    </row>
    <row r="128" ht="14.25" customHeight="1">
      <c r="A128" s="57">
        <v>441.0</v>
      </c>
      <c r="B128" s="57" t="s">
        <v>175</v>
      </c>
      <c r="C128" s="57" t="s">
        <v>120</v>
      </c>
    </row>
    <row r="129" ht="14.25" customHeight="1">
      <c r="A129" s="57">
        <v>180.0</v>
      </c>
      <c r="B129" s="57" t="s">
        <v>176</v>
      </c>
      <c r="C129" s="57" t="s">
        <v>134</v>
      </c>
    </row>
    <row r="130" ht="14.25" customHeight="1">
      <c r="A130" s="57">
        <v>438.0</v>
      </c>
      <c r="B130" s="57" t="s">
        <v>160</v>
      </c>
      <c r="C130" s="57" t="s">
        <v>123</v>
      </c>
    </row>
    <row r="131" ht="14.25" customHeight="1">
      <c r="A131" s="57">
        <v>232.0</v>
      </c>
      <c r="B131" s="57" t="s">
        <v>163</v>
      </c>
      <c r="C131" s="57" t="s">
        <v>86</v>
      </c>
    </row>
    <row r="132" ht="14.25" customHeight="1">
      <c r="A132" s="57">
        <v>206.0</v>
      </c>
      <c r="B132" s="57" t="s">
        <v>163</v>
      </c>
      <c r="C132" s="57" t="s">
        <v>107</v>
      </c>
    </row>
    <row r="133" ht="14.25" customHeight="1">
      <c r="A133" s="57">
        <v>295.0</v>
      </c>
      <c r="B133" s="57" t="s">
        <v>166</v>
      </c>
      <c r="C133" s="57" t="s">
        <v>129</v>
      </c>
    </row>
    <row r="134" ht="14.25" customHeight="1">
      <c r="A134" s="57">
        <v>221.0</v>
      </c>
      <c r="B134" s="57" t="s">
        <v>176</v>
      </c>
      <c r="C134" s="57" t="s">
        <v>104</v>
      </c>
    </row>
    <row r="135" ht="14.25" customHeight="1">
      <c r="A135" s="57">
        <v>333.0</v>
      </c>
      <c r="B135" s="57" t="s">
        <v>168</v>
      </c>
      <c r="C135" s="57" t="s">
        <v>145</v>
      </c>
    </row>
    <row r="136" ht="14.25" customHeight="1">
      <c r="A136" s="57">
        <v>498.0</v>
      </c>
      <c r="B136" s="57" t="s">
        <v>163</v>
      </c>
      <c r="C136" s="57" t="s">
        <v>107</v>
      </c>
    </row>
    <row r="137" ht="14.25" customHeight="1">
      <c r="A137" s="57">
        <v>476.0</v>
      </c>
      <c r="B137" s="57" t="s">
        <v>168</v>
      </c>
      <c r="C137" s="57" t="s">
        <v>97</v>
      </c>
    </row>
    <row r="138" ht="14.25" customHeight="1">
      <c r="A138" s="57">
        <v>126.0</v>
      </c>
      <c r="B138" s="57" t="s">
        <v>169</v>
      </c>
      <c r="C138" s="57" t="s">
        <v>94</v>
      </c>
    </row>
    <row r="139" ht="14.25" customHeight="1">
      <c r="A139" s="57">
        <v>255.0</v>
      </c>
      <c r="B139" s="57" t="s">
        <v>160</v>
      </c>
      <c r="C139" s="57" t="s">
        <v>123</v>
      </c>
    </row>
    <row r="140" ht="14.25" customHeight="1">
      <c r="A140" s="57">
        <v>138.0</v>
      </c>
      <c r="B140" s="57" t="s">
        <v>172</v>
      </c>
      <c r="C140" s="57" t="s">
        <v>113</v>
      </c>
    </row>
    <row r="141" ht="14.25" customHeight="1">
      <c r="A141" s="57">
        <v>403.0</v>
      </c>
      <c r="B141" s="57" t="s">
        <v>175</v>
      </c>
      <c r="C141" s="57" t="s">
        <v>132</v>
      </c>
    </row>
    <row r="142" ht="14.25" customHeight="1">
      <c r="A142" s="57">
        <v>280.0</v>
      </c>
      <c r="B142" s="57" t="s">
        <v>172</v>
      </c>
      <c r="C142" s="57" t="s">
        <v>137</v>
      </c>
    </row>
    <row r="143" ht="14.25" customHeight="1">
      <c r="A143" s="57">
        <v>356.0</v>
      </c>
      <c r="B143" s="57" t="s">
        <v>166</v>
      </c>
      <c r="C143" s="57" t="s">
        <v>82</v>
      </c>
    </row>
    <row r="144" ht="14.25" customHeight="1">
      <c r="A144" s="57">
        <v>282.0</v>
      </c>
      <c r="B144" s="57" t="s">
        <v>167</v>
      </c>
      <c r="C144" s="57" t="s">
        <v>87</v>
      </c>
    </row>
    <row r="145" ht="14.25" customHeight="1">
      <c r="A145" s="57">
        <v>459.0</v>
      </c>
      <c r="B145" s="57" t="s">
        <v>161</v>
      </c>
      <c r="C145" s="57" t="s">
        <v>118</v>
      </c>
    </row>
    <row r="146" ht="14.25" customHeight="1">
      <c r="A146" s="57">
        <v>402.0</v>
      </c>
      <c r="B146" s="57" t="s">
        <v>174</v>
      </c>
      <c r="C146" s="57" t="s">
        <v>78</v>
      </c>
    </row>
    <row r="147" ht="14.25" customHeight="1">
      <c r="A147" s="57">
        <v>320.0</v>
      </c>
      <c r="B147" s="57" t="s">
        <v>159</v>
      </c>
      <c r="C147" s="57" t="s">
        <v>128</v>
      </c>
    </row>
    <row r="148" ht="14.25" customHeight="1">
      <c r="A148" s="57">
        <v>447.0</v>
      </c>
      <c r="B148" s="57" t="s">
        <v>157</v>
      </c>
      <c r="C148" s="57" t="s">
        <v>130</v>
      </c>
    </row>
    <row r="149" ht="14.25" customHeight="1">
      <c r="A149" s="57">
        <v>406.0</v>
      </c>
      <c r="B149" s="57" t="s">
        <v>170</v>
      </c>
      <c r="C149" s="57" t="s">
        <v>100</v>
      </c>
    </row>
    <row r="150" ht="14.25" customHeight="1">
      <c r="A150" s="57">
        <v>391.0</v>
      </c>
      <c r="B150" s="57" t="s">
        <v>168</v>
      </c>
      <c r="C150" s="57" t="s">
        <v>97</v>
      </c>
    </row>
    <row r="151" ht="14.25" customHeight="1">
      <c r="A151" s="57">
        <v>82.0</v>
      </c>
      <c r="B151" s="57" t="s">
        <v>172</v>
      </c>
      <c r="C151" s="57" t="s">
        <v>150</v>
      </c>
    </row>
    <row r="152" ht="14.25" customHeight="1">
      <c r="A152" s="57">
        <v>243.0</v>
      </c>
      <c r="B152" s="57" t="s">
        <v>167</v>
      </c>
      <c r="C152" s="57" t="s">
        <v>114</v>
      </c>
    </row>
    <row r="153" ht="14.25" customHeight="1">
      <c r="A153" s="57">
        <v>432.0</v>
      </c>
      <c r="B153" s="57" t="s">
        <v>162</v>
      </c>
      <c r="C153" s="57" t="s">
        <v>140</v>
      </c>
    </row>
    <row r="154" ht="14.25" customHeight="1">
      <c r="A154" s="57">
        <v>159.0</v>
      </c>
      <c r="B154" s="57" t="s">
        <v>161</v>
      </c>
      <c r="C154" s="57" t="s">
        <v>118</v>
      </c>
    </row>
    <row r="155" ht="14.25" customHeight="1">
      <c r="A155" s="57">
        <v>197.0</v>
      </c>
      <c r="B155" s="57" t="s">
        <v>166</v>
      </c>
      <c r="C155" s="57" t="s">
        <v>142</v>
      </c>
    </row>
    <row r="156" ht="14.25" customHeight="1">
      <c r="A156" s="57">
        <v>110.0</v>
      </c>
      <c r="B156" s="57" t="s">
        <v>162</v>
      </c>
      <c r="C156" s="57" t="s">
        <v>105</v>
      </c>
    </row>
    <row r="157" ht="14.25" customHeight="1">
      <c r="A157" s="57">
        <v>288.0</v>
      </c>
      <c r="B157" s="57" t="s">
        <v>172</v>
      </c>
      <c r="C157" s="57" t="s">
        <v>150</v>
      </c>
    </row>
    <row r="158" ht="14.25" customHeight="1">
      <c r="A158" s="57">
        <v>493.0</v>
      </c>
      <c r="B158" s="57" t="s">
        <v>165</v>
      </c>
      <c r="C158" s="57" t="s">
        <v>92</v>
      </c>
    </row>
    <row r="159" ht="14.25" customHeight="1">
      <c r="A159" s="57">
        <v>446.0</v>
      </c>
      <c r="B159" s="57" t="s">
        <v>176</v>
      </c>
      <c r="C159" s="57" t="s">
        <v>84</v>
      </c>
    </row>
    <row r="160" ht="14.25" customHeight="1">
      <c r="A160" s="57">
        <v>428.0</v>
      </c>
      <c r="B160" s="57" t="s">
        <v>159</v>
      </c>
      <c r="C160" s="57" t="s">
        <v>128</v>
      </c>
    </row>
    <row r="161" ht="14.25" customHeight="1">
      <c r="A161" s="57">
        <v>192.0</v>
      </c>
      <c r="B161" s="57" t="s">
        <v>164</v>
      </c>
      <c r="C161" s="57" t="s">
        <v>111</v>
      </c>
    </row>
    <row r="162" ht="14.25" customHeight="1">
      <c r="A162" s="57">
        <v>69.0</v>
      </c>
      <c r="B162" s="57" t="s">
        <v>176</v>
      </c>
      <c r="C162" s="57" t="s">
        <v>116</v>
      </c>
    </row>
    <row r="163" ht="14.25" customHeight="1">
      <c r="A163" s="57">
        <v>270.0</v>
      </c>
      <c r="B163" s="57" t="s">
        <v>171</v>
      </c>
      <c r="C163" s="57" t="s">
        <v>139</v>
      </c>
    </row>
    <row r="164" ht="14.25" customHeight="1">
      <c r="A164" s="57">
        <v>348.0</v>
      </c>
      <c r="B164" s="57" t="s">
        <v>176</v>
      </c>
      <c r="C164" s="57" t="s">
        <v>116</v>
      </c>
    </row>
    <row r="165" ht="14.25" customHeight="1">
      <c r="A165" s="57">
        <v>321.0</v>
      </c>
      <c r="B165" s="57" t="s">
        <v>164</v>
      </c>
      <c r="C165" s="57" t="s">
        <v>147</v>
      </c>
    </row>
    <row r="166" ht="14.25" customHeight="1">
      <c r="A166" s="57">
        <v>341.0</v>
      </c>
      <c r="B166" s="57" t="s">
        <v>162</v>
      </c>
      <c r="C166" s="57" t="s">
        <v>79</v>
      </c>
    </row>
    <row r="167" ht="14.25" customHeight="1">
      <c r="A167" s="57">
        <v>473.0</v>
      </c>
      <c r="B167" s="57" t="s">
        <v>174</v>
      </c>
      <c r="C167" s="57" t="s">
        <v>102</v>
      </c>
    </row>
    <row r="168" ht="14.25" customHeight="1">
      <c r="A168" s="57">
        <v>482.0</v>
      </c>
      <c r="B168" s="57" t="s">
        <v>161</v>
      </c>
      <c r="C168" s="57" t="s">
        <v>143</v>
      </c>
    </row>
    <row r="169" ht="14.25" customHeight="1">
      <c r="A169" s="57">
        <v>169.0</v>
      </c>
      <c r="B169" s="57" t="s">
        <v>173</v>
      </c>
      <c r="C169" s="57" t="s">
        <v>121</v>
      </c>
    </row>
    <row r="170" ht="14.25" customHeight="1">
      <c r="A170" s="57">
        <v>397.0</v>
      </c>
      <c r="B170" s="57" t="s">
        <v>157</v>
      </c>
      <c r="C170" s="57" t="s">
        <v>122</v>
      </c>
    </row>
    <row r="171" ht="14.25" customHeight="1">
      <c r="A171" s="57">
        <v>436.0</v>
      </c>
      <c r="B171" s="57" t="s">
        <v>165</v>
      </c>
      <c r="C171" s="57" t="s">
        <v>131</v>
      </c>
    </row>
    <row r="172" ht="14.25" customHeight="1">
      <c r="A172" s="57">
        <v>369.0</v>
      </c>
      <c r="B172" s="57" t="s">
        <v>163</v>
      </c>
      <c r="C172" s="57" t="s">
        <v>107</v>
      </c>
    </row>
    <row r="173" ht="14.25" customHeight="1">
      <c r="A173" s="57">
        <v>361.0</v>
      </c>
      <c r="B173" s="57" t="s">
        <v>164</v>
      </c>
      <c r="C173" s="57" t="s">
        <v>147</v>
      </c>
    </row>
    <row r="174" ht="14.25" customHeight="1">
      <c r="A174" s="57">
        <v>87.0</v>
      </c>
      <c r="B174" s="57" t="s">
        <v>160</v>
      </c>
      <c r="C174" s="57" t="s">
        <v>106</v>
      </c>
    </row>
    <row r="175" ht="14.25" customHeight="1">
      <c r="A175" s="57">
        <v>376.0</v>
      </c>
      <c r="B175" s="57" t="s">
        <v>159</v>
      </c>
      <c r="C175" s="57" t="s">
        <v>109</v>
      </c>
    </row>
    <row r="176" ht="14.25" customHeight="1">
      <c r="A176" s="57">
        <v>111.0</v>
      </c>
      <c r="B176" s="57" t="s">
        <v>169</v>
      </c>
      <c r="C176" s="57" t="s">
        <v>136</v>
      </c>
    </row>
    <row r="177" ht="14.25" customHeight="1">
      <c r="A177" s="57">
        <v>344.0</v>
      </c>
      <c r="B177" s="57" t="s">
        <v>170</v>
      </c>
      <c r="C177" s="57" t="s">
        <v>124</v>
      </c>
    </row>
    <row r="178" ht="14.25" customHeight="1">
      <c r="A178" s="57">
        <v>462.0</v>
      </c>
      <c r="B178" s="57" t="s">
        <v>167</v>
      </c>
      <c r="C178" s="57" t="s">
        <v>114</v>
      </c>
    </row>
    <row r="179" ht="14.25" customHeight="1">
      <c r="A179" s="57">
        <v>279.0</v>
      </c>
      <c r="B179" s="57" t="s">
        <v>161</v>
      </c>
      <c r="C179" s="57" t="s">
        <v>127</v>
      </c>
    </row>
    <row r="180" ht="14.25" customHeight="1">
      <c r="A180" s="57">
        <v>322.0</v>
      </c>
      <c r="B180" s="57" t="s">
        <v>161</v>
      </c>
      <c r="C180" s="57" t="s">
        <v>127</v>
      </c>
    </row>
    <row r="181" ht="14.25" customHeight="1">
      <c r="A181" s="57">
        <v>317.0</v>
      </c>
      <c r="B181" s="57" t="s">
        <v>170</v>
      </c>
      <c r="C181" s="57" t="s">
        <v>100</v>
      </c>
    </row>
    <row r="182" ht="14.25" customHeight="1">
      <c r="A182" s="57">
        <v>25.0</v>
      </c>
      <c r="B182" s="57" t="s">
        <v>176</v>
      </c>
      <c r="C182" s="57" t="s">
        <v>134</v>
      </c>
    </row>
    <row r="183" ht="14.25" customHeight="1">
      <c r="A183" s="57">
        <v>410.0</v>
      </c>
      <c r="B183" s="57" t="s">
        <v>176</v>
      </c>
      <c r="C183" s="57" t="s">
        <v>84</v>
      </c>
    </row>
    <row r="184" ht="14.25" customHeight="1">
      <c r="A184" s="57">
        <v>207.0</v>
      </c>
      <c r="B184" s="57" t="s">
        <v>169</v>
      </c>
      <c r="C184" s="57" t="s">
        <v>146</v>
      </c>
    </row>
    <row r="185" ht="14.25" customHeight="1">
      <c r="A185" s="57">
        <v>131.0</v>
      </c>
      <c r="B185" s="57" t="s">
        <v>170</v>
      </c>
      <c r="C185" s="57" t="s">
        <v>124</v>
      </c>
    </row>
    <row r="186" ht="14.25" customHeight="1">
      <c r="A186" s="57">
        <v>96.0</v>
      </c>
      <c r="B186" s="57" t="s">
        <v>171</v>
      </c>
      <c r="C186" s="57" t="s">
        <v>108</v>
      </c>
    </row>
    <row r="187" ht="14.25" customHeight="1">
      <c r="A187" s="57">
        <v>268.0</v>
      </c>
      <c r="B187" s="57" t="s">
        <v>167</v>
      </c>
      <c r="C187" s="57" t="s">
        <v>143</v>
      </c>
    </row>
    <row r="188" ht="14.25" customHeight="1">
      <c r="A188" s="57">
        <v>358.0</v>
      </c>
      <c r="B188" s="57" t="s">
        <v>159</v>
      </c>
      <c r="C188" s="57" t="s">
        <v>115</v>
      </c>
    </row>
    <row r="189" ht="14.25" customHeight="1">
      <c r="A189" s="57">
        <v>160.0</v>
      </c>
      <c r="B189" s="57" t="s">
        <v>161</v>
      </c>
      <c r="C189" s="57" t="s">
        <v>143</v>
      </c>
    </row>
    <row r="190" ht="14.25" customHeight="1">
      <c r="A190" s="57">
        <v>23.0</v>
      </c>
      <c r="B190" s="57" t="s">
        <v>168</v>
      </c>
      <c r="C190" s="57" t="s">
        <v>145</v>
      </c>
    </row>
    <row r="191" ht="14.25" customHeight="1">
      <c r="A191" s="57">
        <v>49.0</v>
      </c>
      <c r="B191" s="57" t="s">
        <v>167</v>
      </c>
      <c r="C191" s="57" t="s">
        <v>87</v>
      </c>
    </row>
    <row r="192" ht="14.25" customHeight="1">
      <c r="A192" s="57">
        <v>485.0</v>
      </c>
      <c r="B192" s="57" t="s">
        <v>162</v>
      </c>
      <c r="C192" s="57" t="s">
        <v>140</v>
      </c>
    </row>
    <row r="193" ht="14.25" customHeight="1">
      <c r="A193" s="57">
        <v>40.0</v>
      </c>
      <c r="B193" s="57" t="s">
        <v>158</v>
      </c>
      <c r="C193" s="57" t="s">
        <v>153</v>
      </c>
    </row>
    <row r="194" ht="14.25" customHeight="1">
      <c r="A194" s="57">
        <v>275.0</v>
      </c>
      <c r="B194" s="57" t="s">
        <v>172</v>
      </c>
      <c r="C194" s="57" t="s">
        <v>113</v>
      </c>
    </row>
    <row r="195" ht="14.25" customHeight="1">
      <c r="A195" s="57">
        <v>205.0</v>
      </c>
      <c r="B195" s="57" t="s">
        <v>162</v>
      </c>
      <c r="C195" s="57" t="s">
        <v>140</v>
      </c>
    </row>
    <row r="196" ht="14.25" customHeight="1">
      <c r="A196" s="57">
        <v>219.0</v>
      </c>
      <c r="B196" s="57" t="s">
        <v>157</v>
      </c>
      <c r="C196" s="57" t="s">
        <v>99</v>
      </c>
    </row>
    <row r="197" ht="14.25" customHeight="1">
      <c r="A197" s="57">
        <v>435.0</v>
      </c>
      <c r="B197" s="57" t="s">
        <v>164</v>
      </c>
      <c r="C197" s="57" t="s">
        <v>111</v>
      </c>
    </row>
    <row r="198" ht="14.25" customHeight="1">
      <c r="A198" s="57">
        <v>26.0</v>
      </c>
      <c r="B198" s="57" t="s">
        <v>164</v>
      </c>
      <c r="C198" s="57" t="s">
        <v>147</v>
      </c>
    </row>
    <row r="199" ht="14.25" customHeight="1">
      <c r="A199" s="57">
        <v>273.0</v>
      </c>
      <c r="B199" s="57" t="s">
        <v>159</v>
      </c>
      <c r="C199" s="57" t="s">
        <v>109</v>
      </c>
    </row>
    <row r="200" ht="14.25" customHeight="1">
      <c r="A200" s="57">
        <v>340.0</v>
      </c>
      <c r="B200" s="57" t="s">
        <v>172</v>
      </c>
      <c r="C200" s="57" t="s">
        <v>90</v>
      </c>
    </row>
    <row r="201" ht="14.25" customHeight="1">
      <c r="A201" s="57">
        <v>34.0</v>
      </c>
      <c r="B201" s="57" t="s">
        <v>161</v>
      </c>
      <c r="C201" s="57" t="s">
        <v>126</v>
      </c>
    </row>
    <row r="202" ht="14.25" customHeight="1">
      <c r="A202" s="57">
        <v>117.0</v>
      </c>
      <c r="B202" s="57" t="s">
        <v>162</v>
      </c>
      <c r="C202" s="57" t="s">
        <v>141</v>
      </c>
    </row>
    <row r="203" ht="14.25" customHeight="1">
      <c r="A203" s="57">
        <v>201.0</v>
      </c>
      <c r="B203" s="57" t="s">
        <v>166</v>
      </c>
      <c r="C203" s="57" t="s">
        <v>129</v>
      </c>
    </row>
    <row r="204" ht="14.25" customHeight="1">
      <c r="A204" s="57">
        <v>377.0</v>
      </c>
      <c r="B204" s="57" t="s">
        <v>158</v>
      </c>
      <c r="C204" s="57" t="s">
        <v>110</v>
      </c>
    </row>
    <row r="205" ht="14.25" customHeight="1">
      <c r="A205" s="57">
        <v>251.0</v>
      </c>
      <c r="B205" s="57" t="s">
        <v>165</v>
      </c>
      <c r="C205" s="57" t="s">
        <v>131</v>
      </c>
    </row>
    <row r="206" ht="14.25" customHeight="1">
      <c r="A206" s="57">
        <v>409.0</v>
      </c>
      <c r="B206" s="57" t="s">
        <v>173</v>
      </c>
      <c r="C206" s="57" t="s">
        <v>121</v>
      </c>
    </row>
    <row r="207" ht="14.25" customHeight="1">
      <c r="A207" s="57">
        <v>422.0</v>
      </c>
      <c r="B207" s="57" t="s">
        <v>160</v>
      </c>
      <c r="C207" s="57" t="s">
        <v>123</v>
      </c>
    </row>
    <row r="208" ht="14.25" customHeight="1">
      <c r="A208" s="57">
        <v>222.0</v>
      </c>
      <c r="B208" s="57" t="s">
        <v>163</v>
      </c>
      <c r="C208" s="57" t="s">
        <v>86</v>
      </c>
    </row>
    <row r="209" ht="14.25" customHeight="1">
      <c r="A209" s="57">
        <v>497.0</v>
      </c>
      <c r="B209" s="57" t="s">
        <v>159</v>
      </c>
      <c r="C209" s="57" t="s">
        <v>128</v>
      </c>
    </row>
    <row r="210" ht="14.25" customHeight="1">
      <c r="A210" s="57">
        <v>351.0</v>
      </c>
      <c r="B210" s="57" t="s">
        <v>176</v>
      </c>
      <c r="C210" s="57" t="s">
        <v>134</v>
      </c>
    </row>
    <row r="211" ht="14.25" customHeight="1">
      <c r="A211" s="57">
        <v>464.0</v>
      </c>
      <c r="B211" s="57" t="s">
        <v>172</v>
      </c>
      <c r="C211" s="57" t="s">
        <v>113</v>
      </c>
    </row>
    <row r="212" ht="14.25" customHeight="1">
      <c r="A212" s="57">
        <v>241.0</v>
      </c>
      <c r="B212" s="57" t="s">
        <v>158</v>
      </c>
      <c r="C212" s="57" t="s">
        <v>110</v>
      </c>
    </row>
    <row r="213" ht="14.25" customHeight="1">
      <c r="A213" s="57">
        <v>258.0</v>
      </c>
      <c r="B213" s="57" t="s">
        <v>168</v>
      </c>
      <c r="C213" s="57" t="s">
        <v>145</v>
      </c>
    </row>
    <row r="214" ht="14.25" customHeight="1">
      <c r="A214" s="57">
        <v>216.0</v>
      </c>
      <c r="B214" s="57" t="s">
        <v>160</v>
      </c>
      <c r="C214" s="57" t="s">
        <v>144</v>
      </c>
    </row>
    <row r="215" ht="14.25" customHeight="1">
      <c r="A215" s="57">
        <v>272.0</v>
      </c>
      <c r="B215" s="57" t="s">
        <v>161</v>
      </c>
      <c r="C215" s="57" t="s">
        <v>126</v>
      </c>
    </row>
    <row r="216" ht="14.25" customHeight="1">
      <c r="A216" s="57">
        <v>225.0</v>
      </c>
      <c r="B216" s="57" t="s">
        <v>171</v>
      </c>
      <c r="C216" s="57" t="s">
        <v>138</v>
      </c>
    </row>
    <row r="217" ht="14.25" customHeight="1">
      <c r="A217" s="57">
        <v>467.0</v>
      </c>
      <c r="B217" s="57" t="s">
        <v>162</v>
      </c>
      <c r="C217" s="57" t="s">
        <v>140</v>
      </c>
    </row>
    <row r="218" ht="14.25" customHeight="1">
      <c r="A218" s="57">
        <v>139.0</v>
      </c>
      <c r="B218" s="57" t="s">
        <v>157</v>
      </c>
      <c r="C218" s="57" t="s">
        <v>122</v>
      </c>
    </row>
    <row r="219" ht="14.25" customHeight="1">
      <c r="A219" s="57">
        <v>404.0</v>
      </c>
      <c r="B219" s="57" t="s">
        <v>157</v>
      </c>
      <c r="C219" s="57" t="s">
        <v>122</v>
      </c>
    </row>
    <row r="220" ht="14.25" customHeight="1">
      <c r="A220" s="57">
        <v>328.0</v>
      </c>
      <c r="B220" s="57" t="s">
        <v>176</v>
      </c>
      <c r="C220" s="57" t="s">
        <v>134</v>
      </c>
    </row>
    <row r="221" ht="14.25" customHeight="1">
      <c r="A221" s="57">
        <v>424.0</v>
      </c>
      <c r="B221" s="57" t="s">
        <v>166</v>
      </c>
      <c r="C221" s="57" t="s">
        <v>80</v>
      </c>
    </row>
    <row r="222" ht="14.25" customHeight="1">
      <c r="A222" s="57">
        <v>86.0</v>
      </c>
      <c r="B222" s="57" t="s">
        <v>169</v>
      </c>
      <c r="C222" s="57" t="s">
        <v>94</v>
      </c>
    </row>
    <row r="223" ht="14.25" customHeight="1">
      <c r="A223" s="57">
        <v>17.0</v>
      </c>
      <c r="B223" s="57" t="s">
        <v>160</v>
      </c>
      <c r="C223" s="57" t="s">
        <v>106</v>
      </c>
    </row>
    <row r="224" ht="14.25" customHeight="1">
      <c r="A224" s="57">
        <v>43.0</v>
      </c>
      <c r="B224" s="57" t="s">
        <v>166</v>
      </c>
      <c r="C224" s="57" t="s">
        <v>80</v>
      </c>
    </row>
    <row r="225" ht="14.25" customHeight="1">
      <c r="A225" s="57">
        <v>5.0</v>
      </c>
      <c r="B225" s="57" t="s">
        <v>162</v>
      </c>
      <c r="C225" s="57" t="s">
        <v>141</v>
      </c>
    </row>
    <row r="226" ht="14.25" customHeight="1">
      <c r="A226" s="57">
        <v>298.0</v>
      </c>
      <c r="B226" s="57" t="s">
        <v>161</v>
      </c>
      <c r="C226" s="57" t="s">
        <v>127</v>
      </c>
    </row>
    <row r="227" ht="14.25" customHeight="1">
      <c r="A227" s="57">
        <v>421.0</v>
      </c>
      <c r="B227" s="57" t="s">
        <v>175</v>
      </c>
      <c r="C227" s="57" t="s">
        <v>96</v>
      </c>
    </row>
    <row r="228" ht="14.25" customHeight="1">
      <c r="A228" s="57">
        <v>483.0</v>
      </c>
      <c r="B228" s="57" t="s">
        <v>158</v>
      </c>
      <c r="C228" s="57" t="s">
        <v>89</v>
      </c>
    </row>
    <row r="229" ht="14.25" customHeight="1">
      <c r="A229" s="57">
        <v>414.0</v>
      </c>
      <c r="B229" s="57" t="s">
        <v>173</v>
      </c>
      <c r="C229" s="57" t="s">
        <v>125</v>
      </c>
    </row>
    <row r="230" ht="14.25" customHeight="1">
      <c r="A230" s="57">
        <v>389.0</v>
      </c>
      <c r="B230" s="57" t="s">
        <v>175</v>
      </c>
      <c r="C230" s="57" t="s">
        <v>132</v>
      </c>
    </row>
    <row r="231" ht="14.25" customHeight="1">
      <c r="A231" s="57">
        <v>367.0</v>
      </c>
      <c r="B231" s="57" t="s">
        <v>158</v>
      </c>
      <c r="C231" s="57" t="s">
        <v>110</v>
      </c>
    </row>
    <row r="232" ht="14.25" customHeight="1">
      <c r="A232" s="57">
        <v>128.0</v>
      </c>
      <c r="B232" s="57" t="s">
        <v>164</v>
      </c>
      <c r="C232" s="57" t="s">
        <v>42</v>
      </c>
    </row>
    <row r="233" ht="14.25" customHeight="1">
      <c r="A233" s="57">
        <v>368.0</v>
      </c>
      <c r="B233" s="57" t="s">
        <v>172</v>
      </c>
      <c r="C233" s="57" t="s">
        <v>113</v>
      </c>
    </row>
    <row r="234" ht="14.25" customHeight="1">
      <c r="A234" s="57">
        <v>74.0</v>
      </c>
      <c r="B234" s="57" t="s">
        <v>158</v>
      </c>
      <c r="C234" s="57" t="s">
        <v>85</v>
      </c>
    </row>
    <row r="235" ht="14.25" customHeight="1">
      <c r="A235" s="57">
        <v>149.0</v>
      </c>
      <c r="B235" s="57" t="s">
        <v>159</v>
      </c>
      <c r="C235" s="57" t="s">
        <v>128</v>
      </c>
    </row>
    <row r="236" ht="14.25" customHeight="1">
      <c r="A236" s="57">
        <v>229.0</v>
      </c>
      <c r="B236" s="57" t="s">
        <v>164</v>
      </c>
      <c r="C236" s="57" t="s">
        <v>147</v>
      </c>
    </row>
    <row r="237" ht="14.25" customHeight="1">
      <c r="A237" s="57">
        <v>28.0</v>
      </c>
      <c r="B237" s="57" t="s">
        <v>161</v>
      </c>
      <c r="C237" s="57" t="s">
        <v>118</v>
      </c>
    </row>
    <row r="238" ht="14.25" customHeight="1">
      <c r="A238" s="57">
        <v>260.0</v>
      </c>
      <c r="B238" s="57" t="s">
        <v>171</v>
      </c>
      <c r="C238" s="57" t="s">
        <v>83</v>
      </c>
    </row>
    <row r="239" ht="14.25" customHeight="1">
      <c r="A239" s="57">
        <v>140.0</v>
      </c>
      <c r="B239" s="57" t="s">
        <v>167</v>
      </c>
      <c r="C239" s="57" t="s">
        <v>114</v>
      </c>
    </row>
    <row r="240" ht="14.25" customHeight="1">
      <c r="A240" s="57">
        <v>67.0</v>
      </c>
      <c r="B240" s="57" t="s">
        <v>157</v>
      </c>
      <c r="C240" s="57" t="s">
        <v>99</v>
      </c>
    </row>
    <row r="241" ht="14.25" customHeight="1">
      <c r="A241" s="57">
        <v>448.0</v>
      </c>
      <c r="B241" s="57" t="s">
        <v>157</v>
      </c>
      <c r="C241" s="57" t="s">
        <v>122</v>
      </c>
    </row>
    <row r="242" ht="14.25" customHeight="1">
      <c r="A242" s="57">
        <v>331.0</v>
      </c>
      <c r="B242" s="57" t="s">
        <v>171</v>
      </c>
      <c r="C242" s="57" t="s">
        <v>108</v>
      </c>
    </row>
    <row r="243" ht="14.25" customHeight="1">
      <c r="A243" s="57">
        <v>325.0</v>
      </c>
      <c r="B243" s="57" t="s">
        <v>170</v>
      </c>
      <c r="C243" s="57" t="s">
        <v>133</v>
      </c>
    </row>
    <row r="244" ht="14.25" customHeight="1">
      <c r="A244" s="57">
        <v>346.0</v>
      </c>
      <c r="B244" s="57" t="s">
        <v>175</v>
      </c>
      <c r="C244" s="57" t="s">
        <v>96</v>
      </c>
    </row>
    <row r="245" ht="14.25" customHeight="1">
      <c r="A245" s="57">
        <v>115.0</v>
      </c>
      <c r="B245" s="57" t="s">
        <v>172</v>
      </c>
      <c r="C245" s="57" t="s">
        <v>137</v>
      </c>
    </row>
    <row r="246" ht="14.25" customHeight="1">
      <c r="A246" s="57">
        <v>360.0</v>
      </c>
      <c r="B246" s="57" t="s">
        <v>171</v>
      </c>
      <c r="C246" s="57" t="s">
        <v>139</v>
      </c>
    </row>
    <row r="247" ht="14.25" customHeight="1">
      <c r="A247" s="57">
        <v>230.0</v>
      </c>
      <c r="B247" s="57" t="s">
        <v>170</v>
      </c>
      <c r="C247" s="57" t="s">
        <v>100</v>
      </c>
    </row>
    <row r="248" ht="14.25" customHeight="1">
      <c r="A248" s="57">
        <v>353.0</v>
      </c>
      <c r="B248" s="57" t="s">
        <v>162</v>
      </c>
      <c r="C248" s="57" t="s">
        <v>105</v>
      </c>
    </row>
    <row r="249" ht="14.25" customHeight="1">
      <c r="A249" s="57">
        <v>188.0</v>
      </c>
      <c r="B249" s="57" t="s">
        <v>163</v>
      </c>
      <c r="C249" s="57" t="s">
        <v>149</v>
      </c>
    </row>
    <row r="250" ht="14.25" customHeight="1">
      <c r="A250" s="57">
        <v>405.0</v>
      </c>
      <c r="B250" s="57" t="s">
        <v>174</v>
      </c>
      <c r="C250" s="57" t="s">
        <v>78</v>
      </c>
    </row>
    <row r="251" ht="14.25" customHeight="1">
      <c r="A251" s="57">
        <v>99.0</v>
      </c>
      <c r="B251" s="57" t="s">
        <v>165</v>
      </c>
      <c r="C251" s="57" t="s">
        <v>148</v>
      </c>
    </row>
    <row r="252" ht="14.25" customHeight="1">
      <c r="A252" s="57">
        <v>196.0</v>
      </c>
      <c r="B252" s="57" t="s">
        <v>159</v>
      </c>
      <c r="C252" s="57" t="s">
        <v>98</v>
      </c>
    </row>
    <row r="253" ht="14.25" customHeight="1">
      <c r="A253" s="57">
        <v>271.0</v>
      </c>
      <c r="B253" s="57" t="s">
        <v>172</v>
      </c>
      <c r="C253" s="57" t="s">
        <v>113</v>
      </c>
    </row>
    <row r="254" ht="14.25" customHeight="1">
      <c r="A254" s="57">
        <v>210.0</v>
      </c>
      <c r="B254" s="57" t="s">
        <v>158</v>
      </c>
      <c r="C254" s="57" t="s">
        <v>110</v>
      </c>
    </row>
    <row r="255" ht="14.25" customHeight="1">
      <c r="A255" s="57">
        <v>178.0</v>
      </c>
      <c r="B255" s="57" t="s">
        <v>157</v>
      </c>
      <c r="C255" s="57" t="s">
        <v>122</v>
      </c>
    </row>
    <row r="256" ht="14.25" customHeight="1">
      <c r="A256" s="57">
        <v>423.0</v>
      </c>
      <c r="B256" s="57" t="s">
        <v>176</v>
      </c>
      <c r="C256" s="57" t="s">
        <v>104</v>
      </c>
    </row>
    <row r="257" ht="14.25" customHeight="1">
      <c r="A257" s="57">
        <v>70.0</v>
      </c>
      <c r="B257" s="57" t="s">
        <v>167</v>
      </c>
      <c r="C257" s="57" t="s">
        <v>143</v>
      </c>
    </row>
    <row r="258" ht="14.25" customHeight="1">
      <c r="A258" s="57">
        <v>335.0</v>
      </c>
      <c r="B258" s="57" t="s">
        <v>174</v>
      </c>
      <c r="C258" s="57" t="s">
        <v>78</v>
      </c>
    </row>
    <row r="259" ht="14.25" customHeight="1">
      <c r="A259" s="57">
        <v>427.0</v>
      </c>
      <c r="B259" s="57" t="s">
        <v>174</v>
      </c>
      <c r="C259" s="57" t="s">
        <v>88</v>
      </c>
    </row>
    <row r="260" ht="14.25" customHeight="1">
      <c r="A260" s="57">
        <v>303.0</v>
      </c>
      <c r="B260" s="57" t="s">
        <v>173</v>
      </c>
      <c r="C260" s="57" t="s">
        <v>121</v>
      </c>
    </row>
    <row r="261" ht="14.25" customHeight="1">
      <c r="A261" s="57">
        <v>398.0</v>
      </c>
      <c r="B261" s="57" t="s">
        <v>170</v>
      </c>
      <c r="C261" s="57" t="s">
        <v>100</v>
      </c>
    </row>
    <row r="262" ht="14.25" customHeight="1">
      <c r="A262" s="57">
        <v>290.0</v>
      </c>
      <c r="B262" s="57" t="s">
        <v>169</v>
      </c>
      <c r="C262" s="57" t="s">
        <v>135</v>
      </c>
    </row>
    <row r="263" ht="14.25" customHeight="1">
      <c r="A263" s="57">
        <v>386.0</v>
      </c>
      <c r="B263" s="57" t="s">
        <v>161</v>
      </c>
      <c r="C263" s="57" t="s">
        <v>127</v>
      </c>
    </row>
    <row r="264" ht="14.25" customHeight="1">
      <c r="A264" s="57">
        <v>350.0</v>
      </c>
      <c r="B264" s="57" t="s">
        <v>173</v>
      </c>
      <c r="C264" s="57" t="s">
        <v>103</v>
      </c>
    </row>
    <row r="265" ht="14.25" customHeight="1">
      <c r="A265" s="57">
        <v>329.0</v>
      </c>
      <c r="B265" s="57" t="s">
        <v>171</v>
      </c>
      <c r="C265" s="57" t="s">
        <v>139</v>
      </c>
    </row>
    <row r="266" ht="14.25" customHeight="1">
      <c r="A266" s="57">
        <v>233.0</v>
      </c>
      <c r="B266" s="57" t="s">
        <v>157</v>
      </c>
      <c r="C266" s="57" t="s">
        <v>122</v>
      </c>
    </row>
    <row r="267" ht="14.25" customHeight="1">
      <c r="A267" s="57">
        <v>293.0</v>
      </c>
      <c r="B267" s="57" t="s">
        <v>159</v>
      </c>
      <c r="C267" s="57" t="s">
        <v>128</v>
      </c>
    </row>
    <row r="268" ht="14.25" customHeight="1">
      <c r="A268" s="57">
        <v>286.0</v>
      </c>
      <c r="B268" s="57" t="s">
        <v>157</v>
      </c>
      <c r="C268" s="57" t="s">
        <v>122</v>
      </c>
    </row>
    <row r="269" ht="14.25" customHeight="1">
      <c r="A269" s="57">
        <v>11.0</v>
      </c>
      <c r="B269" s="57" t="s">
        <v>174</v>
      </c>
      <c r="C269" s="57" t="s">
        <v>88</v>
      </c>
    </row>
    <row r="270" ht="14.25" customHeight="1">
      <c r="A270" s="57">
        <v>142.0</v>
      </c>
      <c r="B270" s="57" t="s">
        <v>173</v>
      </c>
      <c r="C270" s="57" t="s">
        <v>121</v>
      </c>
    </row>
    <row r="271" ht="14.25" customHeight="1">
      <c r="A271" s="57">
        <v>466.0</v>
      </c>
      <c r="B271" s="57" t="s">
        <v>173</v>
      </c>
      <c r="C271" s="57" t="s">
        <v>77</v>
      </c>
    </row>
    <row r="272" ht="14.25" customHeight="1">
      <c r="A272" s="57">
        <v>71.0</v>
      </c>
      <c r="B272" s="57" t="s">
        <v>166</v>
      </c>
      <c r="C272" s="57" t="s">
        <v>129</v>
      </c>
    </row>
    <row r="273" ht="14.25" customHeight="1">
      <c r="A273" s="57">
        <v>480.0</v>
      </c>
      <c r="B273" s="57" t="s">
        <v>163</v>
      </c>
      <c r="C273" s="57" t="s">
        <v>81</v>
      </c>
    </row>
    <row r="274" ht="14.25" customHeight="1">
      <c r="A274" s="57">
        <v>129.0</v>
      </c>
      <c r="B274" s="57" t="s">
        <v>164</v>
      </c>
      <c r="C274" s="57" t="s">
        <v>91</v>
      </c>
    </row>
    <row r="275" ht="14.25" customHeight="1">
      <c r="A275" s="57">
        <v>283.0</v>
      </c>
      <c r="B275" s="57" t="s">
        <v>159</v>
      </c>
      <c r="C275" s="57" t="s">
        <v>98</v>
      </c>
    </row>
    <row r="276" ht="14.25" customHeight="1">
      <c r="A276" s="57">
        <v>313.0</v>
      </c>
      <c r="B276" s="57" t="s">
        <v>159</v>
      </c>
      <c r="C276" s="57" t="s">
        <v>128</v>
      </c>
    </row>
    <row r="277" ht="14.25" customHeight="1">
      <c r="A277" s="57">
        <v>18.0</v>
      </c>
      <c r="B277" s="57" t="s">
        <v>168</v>
      </c>
      <c r="C277" s="57" t="s">
        <v>119</v>
      </c>
    </row>
    <row r="278" ht="14.25" customHeight="1">
      <c r="A278" s="57">
        <v>145.0</v>
      </c>
      <c r="B278" s="57" t="s">
        <v>165</v>
      </c>
      <c r="C278" s="57" t="s">
        <v>148</v>
      </c>
    </row>
    <row r="279" ht="14.25" customHeight="1">
      <c r="A279" s="57">
        <v>491.0</v>
      </c>
      <c r="B279" s="57" t="s">
        <v>165</v>
      </c>
      <c r="C279" s="57" t="s">
        <v>151</v>
      </c>
    </row>
    <row r="280" ht="14.25" customHeight="1">
      <c r="A280" s="57">
        <v>29.0</v>
      </c>
      <c r="B280" s="57" t="s">
        <v>171</v>
      </c>
      <c r="C280" s="57" t="s">
        <v>138</v>
      </c>
    </row>
    <row r="281" ht="14.25" customHeight="1">
      <c r="A281" s="57">
        <v>50.0</v>
      </c>
      <c r="B281" s="57" t="s">
        <v>170</v>
      </c>
      <c r="C281" s="57" t="s">
        <v>133</v>
      </c>
    </row>
    <row r="282" ht="14.25" customHeight="1">
      <c r="A282" s="57">
        <v>336.0</v>
      </c>
      <c r="B282" s="57" t="s">
        <v>176</v>
      </c>
      <c r="C282" s="57" t="s">
        <v>116</v>
      </c>
    </row>
    <row r="283" ht="14.25" customHeight="1">
      <c r="A283" s="57">
        <v>440.0</v>
      </c>
      <c r="B283" s="57" t="s">
        <v>173</v>
      </c>
      <c r="C283" s="57" t="s">
        <v>121</v>
      </c>
    </row>
    <row r="284" ht="14.25" customHeight="1">
      <c r="A284" s="57">
        <v>51.0</v>
      </c>
      <c r="B284" s="57" t="s">
        <v>158</v>
      </c>
      <c r="C284" s="57" t="s">
        <v>89</v>
      </c>
    </row>
    <row r="285" ht="14.25" customHeight="1">
      <c r="A285" s="57">
        <v>371.0</v>
      </c>
      <c r="B285" s="57" t="s">
        <v>169</v>
      </c>
      <c r="C285" s="57" t="s">
        <v>94</v>
      </c>
    </row>
    <row r="286" ht="14.25" customHeight="1">
      <c r="A286" s="57">
        <v>14.0</v>
      </c>
      <c r="B286" s="57" t="s">
        <v>170</v>
      </c>
      <c r="C286" s="57" t="s">
        <v>112</v>
      </c>
    </row>
    <row r="287" ht="14.25" customHeight="1">
      <c r="A287" s="57">
        <v>312.0</v>
      </c>
      <c r="B287" s="57" t="s">
        <v>174</v>
      </c>
      <c r="C287" s="57" t="s">
        <v>78</v>
      </c>
    </row>
    <row r="288" ht="14.25" customHeight="1">
      <c r="A288" s="57">
        <v>477.0</v>
      </c>
      <c r="B288" s="57" t="s">
        <v>162</v>
      </c>
      <c r="C288" s="57" t="s">
        <v>140</v>
      </c>
    </row>
    <row r="289" ht="14.25" customHeight="1">
      <c r="A289" s="57">
        <v>91.0</v>
      </c>
      <c r="B289" s="57" t="s">
        <v>172</v>
      </c>
      <c r="C289" s="57" t="s">
        <v>113</v>
      </c>
    </row>
    <row r="290" ht="14.25" customHeight="1">
      <c r="A290" s="57">
        <v>52.0</v>
      </c>
      <c r="B290" s="57" t="s">
        <v>171</v>
      </c>
      <c r="C290" s="57" t="s">
        <v>138</v>
      </c>
    </row>
    <row r="291" ht="14.25" customHeight="1">
      <c r="A291" s="57">
        <v>383.0</v>
      </c>
      <c r="B291" s="57" t="s">
        <v>173</v>
      </c>
      <c r="C291" s="57" t="s">
        <v>121</v>
      </c>
    </row>
    <row r="292" ht="14.25" customHeight="1">
      <c r="A292" s="57">
        <v>252.0</v>
      </c>
      <c r="B292" s="57" t="s">
        <v>175</v>
      </c>
      <c r="C292" s="57" t="s">
        <v>120</v>
      </c>
    </row>
    <row r="293" ht="14.25" customHeight="1">
      <c r="A293" s="57">
        <v>365.0</v>
      </c>
      <c r="B293" s="57" t="s">
        <v>164</v>
      </c>
      <c r="C293" s="57" t="s">
        <v>91</v>
      </c>
    </row>
    <row r="294" ht="14.25" customHeight="1">
      <c r="A294" s="57">
        <v>420.0</v>
      </c>
      <c r="B294" s="57" t="s">
        <v>174</v>
      </c>
      <c r="C294" s="57" t="s">
        <v>102</v>
      </c>
    </row>
    <row r="295" ht="14.25" customHeight="1">
      <c r="A295" s="57">
        <v>97.0</v>
      </c>
      <c r="B295" s="57" t="s">
        <v>166</v>
      </c>
      <c r="C295" s="57" t="s">
        <v>80</v>
      </c>
    </row>
    <row r="296" ht="14.25" customHeight="1">
      <c r="A296" s="57">
        <v>47.0</v>
      </c>
      <c r="B296" s="57" t="s">
        <v>164</v>
      </c>
      <c r="C296" s="57" t="s">
        <v>111</v>
      </c>
    </row>
    <row r="297" ht="14.25" customHeight="1">
      <c r="A297" s="57">
        <v>187.0</v>
      </c>
      <c r="B297" s="57" t="s">
        <v>162</v>
      </c>
      <c r="C297" s="57" t="s">
        <v>105</v>
      </c>
    </row>
    <row r="298" ht="14.25" customHeight="1">
      <c r="A298" s="57">
        <v>429.0</v>
      </c>
      <c r="B298" s="57" t="s">
        <v>161</v>
      </c>
      <c r="C298" s="57" t="s">
        <v>127</v>
      </c>
    </row>
    <row r="299" ht="14.25" customHeight="1">
      <c r="A299" s="57">
        <v>93.0</v>
      </c>
      <c r="B299" s="57" t="s">
        <v>175</v>
      </c>
      <c r="C299" s="57" t="s">
        <v>96</v>
      </c>
    </row>
    <row r="300" ht="14.25" customHeight="1">
      <c r="A300" s="57">
        <v>198.0</v>
      </c>
      <c r="B300" s="57" t="s">
        <v>164</v>
      </c>
      <c r="C300" s="57" t="s">
        <v>42</v>
      </c>
    </row>
    <row r="301" ht="14.25" customHeight="1">
      <c r="A301" s="57">
        <v>362.0</v>
      </c>
      <c r="B301" s="57" t="s">
        <v>174</v>
      </c>
      <c r="C301" s="57" t="s">
        <v>88</v>
      </c>
    </row>
    <row r="302" ht="14.25" customHeight="1">
      <c r="A302" s="57">
        <v>461.0</v>
      </c>
      <c r="B302" s="57" t="s">
        <v>173</v>
      </c>
      <c r="C302" s="57" t="s">
        <v>77</v>
      </c>
    </row>
    <row r="303" ht="14.25" customHeight="1">
      <c r="A303" s="57">
        <v>84.0</v>
      </c>
      <c r="B303" s="57" t="s">
        <v>160</v>
      </c>
      <c r="C303" s="57" t="s">
        <v>152</v>
      </c>
    </row>
    <row r="304" ht="14.25" customHeight="1">
      <c r="A304" s="57">
        <v>172.0</v>
      </c>
      <c r="B304" s="57" t="s">
        <v>173</v>
      </c>
      <c r="C304" s="57" t="s">
        <v>77</v>
      </c>
    </row>
    <row r="305" ht="14.25" customHeight="1">
      <c r="A305" s="57">
        <v>171.0</v>
      </c>
      <c r="B305" s="57" t="s">
        <v>175</v>
      </c>
      <c r="C305" s="57" t="s">
        <v>96</v>
      </c>
    </row>
    <row r="306" ht="14.25" customHeight="1">
      <c r="A306" s="57">
        <v>194.0</v>
      </c>
      <c r="B306" s="57" t="s">
        <v>171</v>
      </c>
      <c r="C306" s="57" t="s">
        <v>108</v>
      </c>
    </row>
    <row r="307" ht="14.25" customHeight="1">
      <c r="A307" s="57">
        <v>235.0</v>
      </c>
      <c r="B307" s="57" t="s">
        <v>174</v>
      </c>
      <c r="C307" s="57" t="s">
        <v>88</v>
      </c>
    </row>
    <row r="308" ht="14.25" customHeight="1">
      <c r="A308" s="57">
        <v>458.0</v>
      </c>
      <c r="B308" s="57" t="s">
        <v>162</v>
      </c>
      <c r="C308" s="57" t="s">
        <v>140</v>
      </c>
    </row>
    <row r="309" ht="14.25" customHeight="1">
      <c r="A309" s="57">
        <v>193.0</v>
      </c>
      <c r="B309" s="57" t="s">
        <v>171</v>
      </c>
      <c r="C309" s="57" t="s">
        <v>108</v>
      </c>
    </row>
    <row r="310" ht="14.25" customHeight="1">
      <c r="A310" s="57">
        <v>450.0</v>
      </c>
      <c r="B310" s="57" t="s">
        <v>174</v>
      </c>
      <c r="C310" s="57" t="s">
        <v>102</v>
      </c>
    </row>
    <row r="311" ht="14.25" customHeight="1">
      <c r="A311" s="57">
        <v>163.0</v>
      </c>
      <c r="B311" s="57" t="s">
        <v>171</v>
      </c>
      <c r="C311" s="57" t="s">
        <v>83</v>
      </c>
    </row>
    <row r="312" ht="14.25" customHeight="1">
      <c r="A312" s="57">
        <v>12.0</v>
      </c>
      <c r="B312" s="57" t="s">
        <v>162</v>
      </c>
      <c r="C312" s="57" t="s">
        <v>79</v>
      </c>
    </row>
    <row r="313" ht="14.25" customHeight="1">
      <c r="A313" s="57">
        <v>61.0</v>
      </c>
      <c r="B313" s="57" t="s">
        <v>157</v>
      </c>
      <c r="C313" s="57" t="s">
        <v>130</v>
      </c>
    </row>
    <row r="314" ht="14.25" customHeight="1">
      <c r="A314" s="57">
        <v>15.0</v>
      </c>
      <c r="B314" s="57" t="s">
        <v>169</v>
      </c>
      <c r="C314" s="57" t="s">
        <v>146</v>
      </c>
    </row>
    <row r="315" ht="14.25" customHeight="1">
      <c r="A315" s="57">
        <v>90.0</v>
      </c>
      <c r="B315" s="57" t="s">
        <v>160</v>
      </c>
      <c r="C315" s="57" t="s">
        <v>123</v>
      </c>
    </row>
    <row r="316" ht="14.25" customHeight="1">
      <c r="A316" s="57">
        <v>396.0</v>
      </c>
      <c r="B316" s="57" t="s">
        <v>163</v>
      </c>
      <c r="C316" s="57" t="s">
        <v>107</v>
      </c>
    </row>
    <row r="317" ht="14.25" customHeight="1">
      <c r="A317" s="57">
        <v>481.0</v>
      </c>
      <c r="B317" s="57" t="s">
        <v>176</v>
      </c>
      <c r="C317" s="57" t="s">
        <v>104</v>
      </c>
    </row>
    <row r="318" ht="14.25" customHeight="1">
      <c r="A318" s="57">
        <v>246.0</v>
      </c>
      <c r="B318" s="57" t="s">
        <v>172</v>
      </c>
      <c r="C318" s="57" t="s">
        <v>137</v>
      </c>
    </row>
    <row r="319" ht="14.25" customHeight="1">
      <c r="A319" s="57">
        <v>174.0</v>
      </c>
      <c r="B319" s="57" t="s">
        <v>175</v>
      </c>
      <c r="C319" s="57" t="s">
        <v>132</v>
      </c>
    </row>
    <row r="320" ht="14.25" customHeight="1">
      <c r="A320" s="57">
        <v>479.0</v>
      </c>
      <c r="B320" s="57" t="s">
        <v>165</v>
      </c>
      <c r="C320" s="57" t="s">
        <v>131</v>
      </c>
    </row>
    <row r="321" ht="14.25" customHeight="1">
      <c r="A321" s="57">
        <v>224.0</v>
      </c>
      <c r="B321" s="57" t="s">
        <v>176</v>
      </c>
      <c r="C321" s="57" t="s">
        <v>104</v>
      </c>
    </row>
    <row r="322" ht="14.25" customHeight="1">
      <c r="A322" s="57">
        <v>42.0</v>
      </c>
      <c r="B322" s="57" t="s">
        <v>167</v>
      </c>
      <c r="C322" s="57" t="s">
        <v>143</v>
      </c>
    </row>
    <row r="323" ht="14.25" customHeight="1">
      <c r="A323" s="57">
        <v>267.0</v>
      </c>
      <c r="B323" s="57" t="s">
        <v>165</v>
      </c>
      <c r="C323" s="57" t="s">
        <v>148</v>
      </c>
    </row>
    <row r="324" ht="14.25" customHeight="1">
      <c r="A324" s="57">
        <v>161.0</v>
      </c>
      <c r="B324" s="57" t="s">
        <v>163</v>
      </c>
      <c r="C324" s="57" t="s">
        <v>86</v>
      </c>
    </row>
    <row r="325" ht="14.25" customHeight="1">
      <c r="A325" s="57">
        <v>315.0</v>
      </c>
      <c r="B325" s="57" t="s">
        <v>157</v>
      </c>
      <c r="C325" s="57" t="s">
        <v>99</v>
      </c>
    </row>
    <row r="326" ht="14.25" customHeight="1">
      <c r="A326" s="57">
        <v>121.0</v>
      </c>
      <c r="B326" s="57" t="s">
        <v>176</v>
      </c>
      <c r="C326" s="57" t="s">
        <v>104</v>
      </c>
    </row>
    <row r="327" ht="14.25" customHeight="1">
      <c r="A327" s="57">
        <v>433.0</v>
      </c>
      <c r="B327" s="57" t="s">
        <v>168</v>
      </c>
      <c r="C327" s="57" t="s">
        <v>119</v>
      </c>
    </row>
    <row r="328" ht="14.25" customHeight="1">
      <c r="A328" s="57">
        <v>453.0</v>
      </c>
      <c r="B328" s="57" t="s">
        <v>162</v>
      </c>
      <c r="C328" s="57" t="s">
        <v>79</v>
      </c>
    </row>
    <row r="329" ht="14.25" customHeight="1">
      <c r="A329" s="57">
        <v>248.0</v>
      </c>
      <c r="B329" s="57" t="s">
        <v>159</v>
      </c>
      <c r="C329" s="57" t="s">
        <v>109</v>
      </c>
    </row>
    <row r="330" ht="14.25" customHeight="1">
      <c r="A330" s="57">
        <v>492.0</v>
      </c>
      <c r="B330" s="57" t="s">
        <v>168</v>
      </c>
      <c r="C330" s="57" t="s">
        <v>95</v>
      </c>
    </row>
    <row r="331" ht="14.25" customHeight="1">
      <c r="A331" s="57">
        <v>122.0</v>
      </c>
      <c r="B331" s="57" t="s">
        <v>173</v>
      </c>
      <c r="C331" s="57" t="s">
        <v>103</v>
      </c>
    </row>
    <row r="332" ht="14.25" customHeight="1">
      <c r="A332" s="57">
        <v>62.0</v>
      </c>
      <c r="B332" s="57" t="s">
        <v>168</v>
      </c>
      <c r="C332" s="57" t="s">
        <v>97</v>
      </c>
    </row>
    <row r="333" ht="14.25" customHeight="1">
      <c r="A333" s="57">
        <v>119.0</v>
      </c>
      <c r="B333" s="57" t="s">
        <v>166</v>
      </c>
      <c r="C333" s="57" t="s">
        <v>80</v>
      </c>
    </row>
    <row r="334" ht="14.25" customHeight="1">
      <c r="A334" s="57">
        <v>388.0</v>
      </c>
      <c r="B334" s="57" t="s">
        <v>168</v>
      </c>
      <c r="C334" s="57" t="s">
        <v>119</v>
      </c>
    </row>
    <row r="335" ht="14.25" customHeight="1">
      <c r="A335" s="57">
        <v>66.0</v>
      </c>
      <c r="B335" s="57" t="s">
        <v>160</v>
      </c>
      <c r="C335" s="57" t="s">
        <v>144</v>
      </c>
    </row>
    <row r="336" ht="14.25" customHeight="1">
      <c r="A336" s="57">
        <v>125.0</v>
      </c>
      <c r="B336" s="57" t="s">
        <v>167</v>
      </c>
      <c r="C336" s="57" t="s">
        <v>118</v>
      </c>
    </row>
    <row r="337" ht="14.25" customHeight="1">
      <c r="A337" s="57">
        <v>274.0</v>
      </c>
      <c r="B337" s="57" t="s">
        <v>163</v>
      </c>
      <c r="C337" s="57" t="s">
        <v>86</v>
      </c>
    </row>
    <row r="338" ht="14.25" customHeight="1">
      <c r="A338" s="57">
        <v>471.0</v>
      </c>
      <c r="B338" s="57" t="s">
        <v>165</v>
      </c>
      <c r="C338" s="57" t="s">
        <v>151</v>
      </c>
    </row>
    <row r="339" ht="14.25" customHeight="1">
      <c r="A339" s="57">
        <v>395.0</v>
      </c>
      <c r="B339" s="57" t="s">
        <v>171</v>
      </c>
      <c r="C339" s="57" t="s">
        <v>139</v>
      </c>
    </row>
    <row r="340" ht="14.25" customHeight="1">
      <c r="A340" s="57">
        <v>474.0</v>
      </c>
      <c r="B340" s="57" t="s">
        <v>163</v>
      </c>
      <c r="C340" s="57" t="s">
        <v>86</v>
      </c>
    </row>
    <row r="341" ht="14.25" customHeight="1">
      <c r="A341" s="57">
        <v>63.0</v>
      </c>
      <c r="B341" s="57" t="s">
        <v>168</v>
      </c>
      <c r="C341" s="57" t="s">
        <v>97</v>
      </c>
    </row>
    <row r="342" ht="14.25" customHeight="1">
      <c r="A342" s="57">
        <v>89.0</v>
      </c>
      <c r="B342" s="57" t="s">
        <v>159</v>
      </c>
      <c r="C342" s="57" t="s">
        <v>98</v>
      </c>
    </row>
    <row r="343" ht="14.25" customHeight="1">
      <c r="A343" s="57">
        <v>27.0</v>
      </c>
      <c r="B343" s="57" t="s">
        <v>162</v>
      </c>
      <c r="C343" s="57" t="s">
        <v>105</v>
      </c>
    </row>
    <row r="344" ht="14.25" customHeight="1">
      <c r="A344" s="57">
        <v>127.0</v>
      </c>
      <c r="B344" s="57" t="s">
        <v>165</v>
      </c>
      <c r="C344" s="57" t="s">
        <v>148</v>
      </c>
    </row>
    <row r="345" ht="14.25" customHeight="1">
      <c r="A345" s="57">
        <v>426.0</v>
      </c>
      <c r="B345" s="57" t="s">
        <v>166</v>
      </c>
      <c r="C345" s="57" t="s">
        <v>82</v>
      </c>
    </row>
    <row r="346" ht="14.25" customHeight="1">
      <c r="A346" s="57">
        <v>355.0</v>
      </c>
      <c r="B346" s="57" t="s">
        <v>160</v>
      </c>
      <c r="C346" s="57" t="s">
        <v>106</v>
      </c>
    </row>
    <row r="347" ht="14.25" customHeight="1">
      <c r="A347" s="57">
        <v>113.0</v>
      </c>
      <c r="B347" s="57" t="s">
        <v>170</v>
      </c>
      <c r="C347" s="57" t="s">
        <v>133</v>
      </c>
    </row>
    <row r="348" ht="14.25" customHeight="1">
      <c r="A348" s="57">
        <v>291.0</v>
      </c>
      <c r="B348" s="57" t="s">
        <v>168</v>
      </c>
      <c r="C348" s="57" t="s">
        <v>97</v>
      </c>
    </row>
    <row r="349" ht="14.25" customHeight="1">
      <c r="A349" s="57">
        <v>182.0</v>
      </c>
      <c r="B349" s="57" t="s">
        <v>171</v>
      </c>
      <c r="C349" s="57" t="s">
        <v>83</v>
      </c>
    </row>
    <row r="350" ht="14.25" customHeight="1">
      <c r="A350" s="57">
        <v>105.0</v>
      </c>
      <c r="B350" s="57" t="s">
        <v>173</v>
      </c>
      <c r="C350" s="57" t="s">
        <v>103</v>
      </c>
    </row>
    <row r="351" ht="14.25" customHeight="1">
      <c r="A351" s="57">
        <v>199.0</v>
      </c>
      <c r="B351" s="57" t="s">
        <v>162</v>
      </c>
      <c r="C351" s="57" t="s">
        <v>140</v>
      </c>
    </row>
    <row r="352" ht="14.25" customHeight="1">
      <c r="A352" s="57">
        <v>211.0</v>
      </c>
      <c r="B352" s="57" t="s">
        <v>165</v>
      </c>
      <c r="C352" s="57" t="s">
        <v>92</v>
      </c>
    </row>
    <row r="353" ht="14.25" customHeight="1">
      <c r="A353" s="57">
        <v>22.0</v>
      </c>
      <c r="B353" s="57" t="s">
        <v>159</v>
      </c>
      <c r="C353" s="57" t="s">
        <v>128</v>
      </c>
    </row>
    <row r="354" ht="14.25" customHeight="1">
      <c r="A354" s="57">
        <v>150.0</v>
      </c>
      <c r="B354" s="57" t="s">
        <v>168</v>
      </c>
      <c r="C354" s="57" t="s">
        <v>119</v>
      </c>
    </row>
    <row r="355" ht="14.25" customHeight="1">
      <c r="A355" s="57">
        <v>191.0</v>
      </c>
      <c r="B355" s="57" t="s">
        <v>158</v>
      </c>
      <c r="C355" s="57" t="s">
        <v>110</v>
      </c>
    </row>
    <row r="356" ht="14.25" customHeight="1">
      <c r="A356" s="57">
        <v>245.0</v>
      </c>
      <c r="B356" s="57" t="s">
        <v>169</v>
      </c>
      <c r="C356" s="57" t="s">
        <v>135</v>
      </c>
    </row>
    <row r="357" ht="14.25" customHeight="1">
      <c r="A357" s="57">
        <v>154.0</v>
      </c>
      <c r="B357" s="57" t="s">
        <v>165</v>
      </c>
      <c r="C357" s="57" t="s">
        <v>151</v>
      </c>
    </row>
    <row r="358" ht="14.25" customHeight="1">
      <c r="A358" s="57">
        <v>266.0</v>
      </c>
      <c r="B358" s="57" t="s">
        <v>168</v>
      </c>
      <c r="C358" s="57" t="s">
        <v>119</v>
      </c>
    </row>
    <row r="359" ht="14.25" customHeight="1">
      <c r="A359" s="57">
        <v>143.0</v>
      </c>
      <c r="B359" s="57" t="s">
        <v>169</v>
      </c>
      <c r="C359" s="57" t="s">
        <v>146</v>
      </c>
    </row>
    <row r="360" ht="14.25" customHeight="1">
      <c r="A360" s="57">
        <v>475.0</v>
      </c>
      <c r="B360" s="57" t="s">
        <v>174</v>
      </c>
      <c r="C360" s="57" t="s">
        <v>88</v>
      </c>
    </row>
    <row r="361" ht="14.25" customHeight="1">
      <c r="A361" s="57">
        <v>292.0</v>
      </c>
      <c r="B361" s="57" t="s">
        <v>158</v>
      </c>
      <c r="C361" s="57" t="s">
        <v>89</v>
      </c>
    </row>
    <row r="362" ht="14.25" customHeight="1">
      <c r="A362" s="57">
        <v>307.0</v>
      </c>
      <c r="B362" s="57" t="s">
        <v>172</v>
      </c>
      <c r="C362" s="57" t="s">
        <v>90</v>
      </c>
    </row>
    <row r="363" ht="14.25" customHeight="1">
      <c r="A363" s="57">
        <v>39.0</v>
      </c>
      <c r="B363" s="57" t="s">
        <v>172</v>
      </c>
      <c r="C363" s="57" t="s">
        <v>113</v>
      </c>
    </row>
    <row r="364" ht="14.25" customHeight="1">
      <c r="A364" s="57">
        <v>316.0</v>
      </c>
      <c r="B364" s="57" t="s">
        <v>162</v>
      </c>
      <c r="C364" s="57" t="s">
        <v>140</v>
      </c>
    </row>
    <row r="365" ht="14.25" customHeight="1">
      <c r="A365" s="57">
        <v>228.0</v>
      </c>
      <c r="B365" s="57" t="s">
        <v>167</v>
      </c>
      <c r="C365" s="57" t="s">
        <v>143</v>
      </c>
    </row>
    <row r="366" ht="14.25" customHeight="1">
      <c r="A366" s="57">
        <v>269.0</v>
      </c>
      <c r="B366" s="57" t="s">
        <v>169</v>
      </c>
      <c r="C366" s="57" t="s">
        <v>94</v>
      </c>
    </row>
    <row r="367" ht="14.25" customHeight="1">
      <c r="A367" s="57">
        <v>151.0</v>
      </c>
      <c r="B367" s="57" t="s">
        <v>163</v>
      </c>
      <c r="C367" s="57" t="s">
        <v>81</v>
      </c>
    </row>
    <row r="368" ht="14.25" customHeight="1">
      <c r="A368" s="57">
        <v>101.0</v>
      </c>
      <c r="B368" s="57" t="s">
        <v>175</v>
      </c>
      <c r="C368" s="57" t="s">
        <v>132</v>
      </c>
    </row>
    <row r="369" ht="14.25" customHeight="1">
      <c r="A369" s="57">
        <v>411.0</v>
      </c>
      <c r="B369" s="57" t="s">
        <v>174</v>
      </c>
      <c r="C369" s="57" t="s">
        <v>102</v>
      </c>
    </row>
    <row r="370" ht="14.25" customHeight="1">
      <c r="A370" s="57">
        <v>381.0</v>
      </c>
      <c r="B370" s="57" t="s">
        <v>168</v>
      </c>
      <c r="C370" s="57" t="s">
        <v>95</v>
      </c>
    </row>
    <row r="371" ht="14.25" customHeight="1">
      <c r="A371" s="57">
        <v>400.0</v>
      </c>
      <c r="B371" s="57" t="s">
        <v>163</v>
      </c>
      <c r="C371" s="57" t="s">
        <v>81</v>
      </c>
    </row>
    <row r="372" ht="14.25" customHeight="1">
      <c r="A372" s="57">
        <v>55.0</v>
      </c>
      <c r="B372" s="57" t="s">
        <v>161</v>
      </c>
      <c r="C372" s="57" t="s">
        <v>118</v>
      </c>
    </row>
    <row r="373" ht="14.25" customHeight="1">
      <c r="A373" s="57">
        <v>372.0</v>
      </c>
      <c r="B373" s="57" t="s">
        <v>160</v>
      </c>
      <c r="C373" s="57" t="s">
        <v>144</v>
      </c>
    </row>
    <row r="374" ht="14.25" customHeight="1">
      <c r="A374" s="57">
        <v>80.0</v>
      </c>
      <c r="B374" s="57" t="s">
        <v>159</v>
      </c>
      <c r="C374" s="57" t="s">
        <v>109</v>
      </c>
    </row>
    <row r="375" ht="14.25" customHeight="1">
      <c r="A375" s="57">
        <v>413.0</v>
      </c>
      <c r="B375" s="57" t="s">
        <v>160</v>
      </c>
      <c r="C375" s="57" t="s">
        <v>106</v>
      </c>
    </row>
    <row r="376" ht="14.25" customHeight="1">
      <c r="A376" s="57">
        <v>46.0</v>
      </c>
      <c r="B376" s="57" t="s">
        <v>157</v>
      </c>
      <c r="C376" s="57" t="s">
        <v>93</v>
      </c>
    </row>
    <row r="377" ht="14.25" customHeight="1">
      <c r="A377" s="57">
        <v>1.0</v>
      </c>
      <c r="B377" s="57" t="s">
        <v>161</v>
      </c>
      <c r="C377" s="57" t="s">
        <v>126</v>
      </c>
    </row>
    <row r="378" ht="14.25" customHeight="1">
      <c r="A378" s="57">
        <v>478.0</v>
      </c>
      <c r="B378" s="57" t="s">
        <v>159</v>
      </c>
      <c r="C378" s="57" t="s">
        <v>98</v>
      </c>
    </row>
    <row r="379" ht="14.25" customHeight="1">
      <c r="A379" s="57">
        <v>456.0</v>
      </c>
      <c r="B379" s="57" t="s">
        <v>158</v>
      </c>
      <c r="C379" s="57" t="s">
        <v>110</v>
      </c>
    </row>
    <row r="380" ht="14.25" customHeight="1">
      <c r="A380" s="57">
        <v>38.0</v>
      </c>
      <c r="B380" s="57" t="s">
        <v>159</v>
      </c>
      <c r="C380" s="57" t="s">
        <v>98</v>
      </c>
    </row>
    <row r="381" ht="14.25" customHeight="1">
      <c r="A381" s="57">
        <v>134.0</v>
      </c>
      <c r="B381" s="57" t="s">
        <v>168</v>
      </c>
      <c r="C381" s="57" t="s">
        <v>119</v>
      </c>
    </row>
    <row r="382" ht="14.25" customHeight="1">
      <c r="A382" s="57">
        <v>77.0</v>
      </c>
      <c r="B382" s="57" t="s">
        <v>162</v>
      </c>
      <c r="C382" s="57" t="s">
        <v>105</v>
      </c>
    </row>
    <row r="383" ht="14.25" customHeight="1">
      <c r="A383" s="57">
        <v>455.0</v>
      </c>
      <c r="B383" s="57" t="s">
        <v>171</v>
      </c>
      <c r="C383" s="57" t="s">
        <v>139</v>
      </c>
    </row>
    <row r="384" ht="14.25" customHeight="1">
      <c r="A384" s="57">
        <v>218.0</v>
      </c>
      <c r="B384" s="57" t="s">
        <v>158</v>
      </c>
      <c r="C384" s="57" t="s">
        <v>89</v>
      </c>
    </row>
    <row r="385" ht="14.25" customHeight="1">
      <c r="A385" s="57">
        <v>263.0</v>
      </c>
      <c r="B385" s="57" t="s">
        <v>157</v>
      </c>
      <c r="C385" s="57" t="s">
        <v>93</v>
      </c>
    </row>
    <row r="386" ht="14.25" customHeight="1">
      <c r="A386" s="57">
        <v>254.0</v>
      </c>
      <c r="B386" s="57" t="s">
        <v>171</v>
      </c>
      <c r="C386" s="57" t="s">
        <v>138</v>
      </c>
    </row>
    <row r="387" ht="14.25" customHeight="1">
      <c r="A387" s="57">
        <v>370.0</v>
      </c>
      <c r="B387" s="57" t="s">
        <v>170</v>
      </c>
      <c r="C387" s="57" t="s">
        <v>100</v>
      </c>
    </row>
    <row r="388" ht="14.25" customHeight="1">
      <c r="A388" s="57">
        <v>301.0</v>
      </c>
      <c r="B388" s="57" t="s">
        <v>173</v>
      </c>
      <c r="C388" s="57" t="s">
        <v>125</v>
      </c>
    </row>
    <row r="389" ht="14.25" customHeight="1">
      <c r="A389" s="57">
        <v>259.0</v>
      </c>
      <c r="B389" s="57" t="s">
        <v>157</v>
      </c>
      <c r="C389" s="57" t="s">
        <v>122</v>
      </c>
    </row>
    <row r="390" ht="14.25" customHeight="1">
      <c r="A390" s="57">
        <v>468.0</v>
      </c>
      <c r="B390" s="57" t="s">
        <v>157</v>
      </c>
      <c r="C390" s="57" t="s">
        <v>99</v>
      </c>
    </row>
    <row r="391" ht="14.25" customHeight="1">
      <c r="A391" s="57">
        <v>200.0</v>
      </c>
      <c r="B391" s="57" t="s">
        <v>176</v>
      </c>
      <c r="C391" s="57" t="s">
        <v>116</v>
      </c>
    </row>
    <row r="392" ht="14.25" customHeight="1">
      <c r="A392" s="57">
        <v>354.0</v>
      </c>
      <c r="B392" s="57" t="s">
        <v>175</v>
      </c>
      <c r="C392" s="57" t="s">
        <v>120</v>
      </c>
    </row>
    <row r="393" ht="14.25" customHeight="1">
      <c r="A393" s="57">
        <v>460.0</v>
      </c>
      <c r="B393" s="57" t="s">
        <v>160</v>
      </c>
      <c r="C393" s="57" t="s">
        <v>152</v>
      </c>
    </row>
    <row r="394" ht="14.25" customHeight="1">
      <c r="A394" s="57">
        <v>184.0</v>
      </c>
      <c r="B394" s="57" t="s">
        <v>159</v>
      </c>
      <c r="C394" s="57" t="s">
        <v>115</v>
      </c>
    </row>
    <row r="395" ht="14.25" customHeight="1">
      <c r="A395" s="57">
        <v>308.0</v>
      </c>
      <c r="B395" s="57" t="s">
        <v>159</v>
      </c>
      <c r="C395" s="57" t="s">
        <v>128</v>
      </c>
    </row>
    <row r="396" ht="14.25" customHeight="1">
      <c r="A396" s="57">
        <v>407.0</v>
      </c>
      <c r="B396" s="57" t="s">
        <v>159</v>
      </c>
      <c r="C396" s="57" t="s">
        <v>115</v>
      </c>
    </row>
    <row r="397" ht="14.25" customHeight="1">
      <c r="A397" s="57">
        <v>148.0</v>
      </c>
      <c r="B397" s="57" t="s">
        <v>170</v>
      </c>
      <c r="C397" s="57" t="s">
        <v>100</v>
      </c>
    </row>
    <row r="398" ht="14.25" customHeight="1">
      <c r="A398" s="57">
        <v>152.0</v>
      </c>
      <c r="B398" s="57" t="s">
        <v>166</v>
      </c>
      <c r="C398" s="57" t="s">
        <v>129</v>
      </c>
    </row>
    <row r="399" ht="14.25" customHeight="1">
      <c r="A399" s="57">
        <v>326.0</v>
      </c>
      <c r="B399" s="57" t="s">
        <v>161</v>
      </c>
      <c r="C399" s="57" t="s">
        <v>127</v>
      </c>
    </row>
    <row r="400" ht="14.25" customHeight="1">
      <c r="A400" s="57">
        <v>352.0</v>
      </c>
      <c r="B400" s="57" t="s">
        <v>157</v>
      </c>
      <c r="C400" s="57" t="s">
        <v>130</v>
      </c>
    </row>
    <row r="401" ht="14.25" customHeight="1">
      <c r="A401" s="57">
        <v>44.0</v>
      </c>
      <c r="B401" s="57" t="s">
        <v>163</v>
      </c>
      <c r="C401" s="57" t="s">
        <v>81</v>
      </c>
    </row>
    <row r="402" ht="14.25" customHeight="1">
      <c r="A402" s="57">
        <v>183.0</v>
      </c>
      <c r="B402" s="57" t="s">
        <v>159</v>
      </c>
      <c r="C402" s="57" t="s">
        <v>128</v>
      </c>
    </row>
    <row r="403" ht="14.25" customHeight="1">
      <c r="A403" s="57">
        <v>88.0</v>
      </c>
      <c r="B403" s="57" t="s">
        <v>161</v>
      </c>
      <c r="C403" s="57" t="s">
        <v>143</v>
      </c>
    </row>
    <row r="404" ht="14.25" customHeight="1">
      <c r="A404" s="57">
        <v>347.0</v>
      </c>
      <c r="B404" s="57" t="s">
        <v>162</v>
      </c>
      <c r="C404" s="57" t="s">
        <v>105</v>
      </c>
    </row>
    <row r="405" ht="14.25" customHeight="1">
      <c r="A405" s="57">
        <v>342.0</v>
      </c>
      <c r="B405" s="57" t="s">
        <v>165</v>
      </c>
      <c r="C405" s="57" t="s">
        <v>92</v>
      </c>
    </row>
    <row r="406" ht="14.25" customHeight="1">
      <c r="A406" s="57">
        <v>59.0</v>
      </c>
      <c r="B406" s="57" t="s">
        <v>169</v>
      </c>
      <c r="C406" s="57" t="s">
        <v>135</v>
      </c>
    </row>
    <row r="407" ht="14.25" customHeight="1">
      <c r="A407" s="57">
        <v>16.0</v>
      </c>
      <c r="B407" s="57" t="s">
        <v>172</v>
      </c>
      <c r="C407" s="57" t="s">
        <v>113</v>
      </c>
    </row>
    <row r="408" ht="14.25" customHeight="1">
      <c r="A408" s="57">
        <v>220.0</v>
      </c>
      <c r="B408" s="57" t="s">
        <v>175</v>
      </c>
      <c r="C408" s="57" t="s">
        <v>101</v>
      </c>
    </row>
    <row r="409" ht="14.25" customHeight="1">
      <c r="A409" s="57">
        <v>439.0</v>
      </c>
      <c r="B409" s="57" t="s">
        <v>170</v>
      </c>
      <c r="C409" s="57" t="s">
        <v>133</v>
      </c>
    </row>
    <row r="410" ht="14.25" customHeight="1">
      <c r="A410" s="57">
        <v>437.0</v>
      </c>
      <c r="B410" s="57" t="s">
        <v>175</v>
      </c>
      <c r="C410" s="57" t="s">
        <v>101</v>
      </c>
    </row>
    <row r="411" ht="14.25" customHeight="1">
      <c r="A411" s="57">
        <v>73.0</v>
      </c>
      <c r="B411" s="57" t="s">
        <v>174</v>
      </c>
      <c r="C411" s="57" t="s">
        <v>117</v>
      </c>
    </row>
    <row r="412" ht="14.25" customHeight="1">
      <c r="A412" s="57">
        <v>208.0</v>
      </c>
      <c r="B412" s="57" t="s">
        <v>159</v>
      </c>
      <c r="C412" s="57" t="s">
        <v>115</v>
      </c>
    </row>
    <row r="413" ht="14.25" customHeight="1">
      <c r="A413" s="57">
        <v>6.0</v>
      </c>
      <c r="B413" s="57" t="s">
        <v>173</v>
      </c>
      <c r="C413" s="57" t="s">
        <v>103</v>
      </c>
    </row>
    <row r="414" ht="14.25" customHeight="1">
      <c r="A414" s="57">
        <v>318.0</v>
      </c>
      <c r="B414" s="57" t="s">
        <v>163</v>
      </c>
      <c r="C414" s="57" t="s">
        <v>107</v>
      </c>
    </row>
    <row r="415" ht="14.25" customHeight="1">
      <c r="A415" s="57">
        <v>327.0</v>
      </c>
      <c r="B415" s="57" t="s">
        <v>158</v>
      </c>
      <c r="C415" s="57" t="s">
        <v>85</v>
      </c>
    </row>
    <row r="416" ht="14.25" customHeight="1">
      <c r="A416" s="57">
        <v>416.0</v>
      </c>
      <c r="B416" s="57" t="s">
        <v>168</v>
      </c>
      <c r="C416" s="57" t="s">
        <v>119</v>
      </c>
    </row>
    <row r="417" ht="14.25" customHeight="1">
      <c r="A417" s="57">
        <v>374.0</v>
      </c>
      <c r="B417" s="57" t="s">
        <v>160</v>
      </c>
      <c r="C417" s="57" t="s">
        <v>152</v>
      </c>
    </row>
    <row r="418" ht="14.25" customHeight="1">
      <c r="A418" s="57">
        <v>289.0</v>
      </c>
      <c r="B418" s="57" t="s">
        <v>170</v>
      </c>
      <c r="C418" s="57" t="s">
        <v>133</v>
      </c>
    </row>
    <row r="419" ht="14.25" customHeight="1">
      <c r="A419" s="57">
        <v>173.0</v>
      </c>
      <c r="B419" s="57" t="s">
        <v>170</v>
      </c>
      <c r="C419" s="57" t="s">
        <v>100</v>
      </c>
    </row>
    <row r="420" ht="14.25" customHeight="1">
      <c r="A420" s="57">
        <v>114.0</v>
      </c>
      <c r="B420" s="57" t="s">
        <v>172</v>
      </c>
      <c r="C420" s="57" t="s">
        <v>113</v>
      </c>
    </row>
    <row r="421" ht="14.25" customHeight="1">
      <c r="A421" s="57">
        <v>170.0</v>
      </c>
      <c r="B421" s="57" t="s">
        <v>159</v>
      </c>
      <c r="C421" s="57" t="s">
        <v>115</v>
      </c>
    </row>
    <row r="422" ht="14.25" customHeight="1">
      <c r="A422" s="57">
        <v>9.0</v>
      </c>
      <c r="B422" s="57" t="s">
        <v>157</v>
      </c>
      <c r="C422" s="57" t="s">
        <v>99</v>
      </c>
    </row>
    <row r="423" ht="14.25" customHeight="1">
      <c r="A423" s="57">
        <v>302.0</v>
      </c>
      <c r="B423" s="57" t="s">
        <v>163</v>
      </c>
      <c r="C423" s="57" t="s">
        <v>107</v>
      </c>
    </row>
    <row r="424" ht="14.25" customHeight="1">
      <c r="A424" s="57">
        <v>48.0</v>
      </c>
      <c r="B424" s="57" t="s">
        <v>173</v>
      </c>
      <c r="C424" s="57" t="s">
        <v>121</v>
      </c>
    </row>
    <row r="425" ht="14.25" customHeight="1">
      <c r="A425" s="57">
        <v>3.0</v>
      </c>
      <c r="B425" s="57" t="s">
        <v>161</v>
      </c>
      <c r="C425" s="57" t="s">
        <v>126</v>
      </c>
    </row>
    <row r="426" ht="14.25" customHeight="1">
      <c r="A426" s="57">
        <v>168.0</v>
      </c>
      <c r="B426" s="57" t="s">
        <v>161</v>
      </c>
      <c r="C426" s="57" t="s">
        <v>126</v>
      </c>
    </row>
    <row r="427" ht="14.25" customHeight="1">
      <c r="A427" s="57">
        <v>13.0</v>
      </c>
      <c r="B427" s="57" t="s">
        <v>162</v>
      </c>
      <c r="C427" s="57" t="s">
        <v>105</v>
      </c>
    </row>
    <row r="428" ht="14.25" customHeight="1">
      <c r="A428" s="57">
        <v>141.0</v>
      </c>
      <c r="B428" s="57" t="s">
        <v>173</v>
      </c>
      <c r="C428" s="57" t="s">
        <v>121</v>
      </c>
    </row>
    <row r="429" ht="14.25" customHeight="1">
      <c r="A429" s="57">
        <v>120.0</v>
      </c>
      <c r="B429" s="57" t="s">
        <v>174</v>
      </c>
      <c r="C429" s="57" t="s">
        <v>117</v>
      </c>
    </row>
    <row r="430" ht="14.25" customHeight="1">
      <c r="A430" s="57">
        <v>418.0</v>
      </c>
      <c r="B430" s="57" t="s">
        <v>173</v>
      </c>
      <c r="C430" s="57" t="s">
        <v>77</v>
      </c>
    </row>
    <row r="431" ht="14.25" customHeight="1">
      <c r="A431" s="57">
        <v>294.0</v>
      </c>
      <c r="B431" s="57" t="s">
        <v>170</v>
      </c>
      <c r="C431" s="57" t="s">
        <v>100</v>
      </c>
    </row>
    <row r="432" ht="14.25" customHeight="1">
      <c r="A432" s="57">
        <v>175.0</v>
      </c>
      <c r="B432" s="57" t="s">
        <v>165</v>
      </c>
      <c r="C432" s="57" t="s">
        <v>148</v>
      </c>
    </row>
    <row r="433" ht="14.25" customHeight="1">
      <c r="A433" s="57">
        <v>469.0</v>
      </c>
      <c r="B433" s="57" t="s">
        <v>169</v>
      </c>
      <c r="C433" s="57" t="s">
        <v>136</v>
      </c>
    </row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0.29"/>
    <col customWidth="1" min="3" max="3" width="3.86"/>
    <col customWidth="1" min="4" max="6" width="2.0"/>
    <col customWidth="1" min="7" max="39" width="8.71"/>
  </cols>
  <sheetData>
    <row r="1" ht="14.25" customHeight="1"/>
    <row r="2" ht="14.25" customHeight="1"/>
    <row r="3" ht="14.25" customHeight="1">
      <c r="A3" s="21" t="s">
        <v>203</v>
      </c>
      <c r="B3" s="21" t="s">
        <v>204</v>
      </c>
      <c r="C3" s="22"/>
    </row>
    <row r="4" ht="14.25" customHeight="1">
      <c r="A4" s="21" t="s">
        <v>33</v>
      </c>
      <c r="B4" s="22" t="s">
        <v>205</v>
      </c>
      <c r="C4" s="22" t="s">
        <v>206</v>
      </c>
    </row>
    <row r="5" ht="14.25" customHeight="1">
      <c r="A5" s="23" t="s">
        <v>181</v>
      </c>
      <c r="B5" s="30">
        <v>26.0</v>
      </c>
      <c r="C5" s="30">
        <v>25.0</v>
      </c>
    </row>
    <row r="6" ht="14.25" customHeight="1">
      <c r="A6" s="23" t="s">
        <v>182</v>
      </c>
      <c r="B6" s="30">
        <v>73.0</v>
      </c>
      <c r="C6" s="30">
        <v>73.0</v>
      </c>
    </row>
    <row r="7" ht="14.25" customHeight="1">
      <c r="A7" s="23" t="s">
        <v>183</v>
      </c>
      <c r="B7" s="30">
        <v>36.0</v>
      </c>
      <c r="C7" s="30">
        <v>38.0</v>
      </c>
    </row>
    <row r="8" ht="14.25" customHeight="1">
      <c r="A8" s="23" t="s">
        <v>184</v>
      </c>
      <c r="B8" s="30">
        <v>40.0</v>
      </c>
      <c r="C8" s="30">
        <v>45.0</v>
      </c>
    </row>
    <row r="9" ht="14.25" customHeight="1">
      <c r="A9" s="23" t="s">
        <v>185</v>
      </c>
      <c r="B9" s="30">
        <v>40.0</v>
      </c>
      <c r="C9" s="30">
        <v>38.0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86"/>
    <col customWidth="1" min="3" max="26" width="11.57"/>
  </cols>
  <sheetData>
    <row r="1" ht="14.25" customHeight="1"/>
    <row r="2" ht="14.25" customHeight="1"/>
    <row r="3" ht="14.25" customHeight="1">
      <c r="A3" s="21" t="s">
        <v>33</v>
      </c>
      <c r="B3" s="22" t="s">
        <v>207</v>
      </c>
    </row>
    <row r="4" ht="14.25" customHeight="1">
      <c r="A4" s="23" t="s">
        <v>182</v>
      </c>
      <c r="B4" s="29">
        <v>146.0</v>
      </c>
    </row>
    <row r="5" ht="14.25" customHeight="1">
      <c r="A5" s="23" t="s">
        <v>184</v>
      </c>
      <c r="B5" s="29">
        <v>85.0</v>
      </c>
    </row>
    <row r="6" ht="14.25" customHeight="1">
      <c r="A6" s="23" t="s">
        <v>185</v>
      </c>
      <c r="B6" s="29">
        <v>78.0</v>
      </c>
    </row>
    <row r="7" ht="14.25" customHeight="1">
      <c r="A7" s="23" t="s">
        <v>183</v>
      </c>
      <c r="B7" s="29">
        <v>74.0</v>
      </c>
    </row>
    <row r="8" ht="14.25" customHeight="1">
      <c r="A8" s="23" t="s">
        <v>181</v>
      </c>
      <c r="B8" s="29">
        <v>51.0</v>
      </c>
    </row>
    <row r="9" ht="14.25" customHeight="1">
      <c r="A9" s="5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3.43"/>
    <col customWidth="1" min="3" max="3" width="36.43"/>
    <col customWidth="1" min="4" max="4" width="28.71"/>
    <col customWidth="1" min="5" max="5" width="24.0"/>
    <col customWidth="1" min="6" max="6" width="16.43"/>
    <col customWidth="1" min="7" max="7" width="13.29"/>
    <col customWidth="1" min="8" max="8" width="15.43"/>
    <col customWidth="1" min="9" max="9" width="14.57"/>
    <col customWidth="1" min="10" max="10" width="11.57"/>
    <col customWidth="1" min="11" max="26" width="8.71"/>
  </cols>
  <sheetData>
    <row r="1" ht="14.25" customHeight="1">
      <c r="A1" s="56" t="s">
        <v>192</v>
      </c>
      <c r="B1" s="56" t="s">
        <v>208</v>
      </c>
      <c r="C1" s="56" t="s">
        <v>209</v>
      </c>
      <c r="D1" s="56" t="s">
        <v>210</v>
      </c>
      <c r="E1" s="56" t="s">
        <v>197</v>
      </c>
      <c r="F1" s="56" t="s">
        <v>211</v>
      </c>
      <c r="G1" s="56" t="s">
        <v>212</v>
      </c>
      <c r="H1" s="56" t="s">
        <v>213</v>
      </c>
      <c r="I1" s="56" t="s">
        <v>214</v>
      </c>
      <c r="J1" s="56" t="s">
        <v>215</v>
      </c>
    </row>
    <row r="2" ht="14.25" customHeight="1">
      <c r="A2" s="57">
        <v>315.0</v>
      </c>
      <c r="B2" s="57" t="s">
        <v>216</v>
      </c>
      <c r="C2" s="57" t="s">
        <v>217</v>
      </c>
      <c r="D2" s="57" t="s">
        <v>205</v>
      </c>
      <c r="E2" s="59">
        <v>44747.0</v>
      </c>
      <c r="F2" s="57" t="str">
        <f t="shared" ref="F2:F435" si="1">LEFT(B2,LEN(B2) - 13)</f>
        <v>+998</v>
      </c>
      <c r="G2" s="57" t="s">
        <v>218</v>
      </c>
      <c r="H2" s="57" t="s">
        <v>219</v>
      </c>
      <c r="I2" s="57" t="s">
        <v>220</v>
      </c>
      <c r="J2" s="57" t="str">
        <f t="array" ref="J2">XLOOKUP(F2,'коды стран'!$B$2:$B$7,'коды стран'!$A$2:$A$7)</f>
        <v>Узбекистан</v>
      </c>
    </row>
    <row r="3" ht="14.25" customHeight="1">
      <c r="A3" s="57">
        <v>253.0</v>
      </c>
      <c r="B3" s="57" t="s">
        <v>221</v>
      </c>
      <c r="C3" s="57" t="s">
        <v>222</v>
      </c>
      <c r="D3" s="57" t="s">
        <v>205</v>
      </c>
      <c r="E3" s="59">
        <v>44750.0</v>
      </c>
      <c r="F3" s="57" t="str">
        <f t="shared" si="1"/>
        <v>+375</v>
      </c>
      <c r="G3" s="57" t="s">
        <v>223</v>
      </c>
      <c r="H3" s="57" t="s">
        <v>224</v>
      </c>
      <c r="I3" s="57" t="s">
        <v>225</v>
      </c>
      <c r="J3" s="57" t="str">
        <f t="array" ref="J3">XLOOKUP(F3,'коды стран'!$B$2:$B$7,'коды стран'!$A$2:$A$7)</f>
        <v>Беларусь</v>
      </c>
    </row>
    <row r="4" ht="14.25" customHeight="1">
      <c r="A4" s="57">
        <v>12.0</v>
      </c>
      <c r="B4" s="57" t="s">
        <v>226</v>
      </c>
      <c r="C4" s="57" t="s">
        <v>227</v>
      </c>
      <c r="D4" s="57" t="s">
        <v>205</v>
      </c>
      <c r="E4" s="59">
        <v>44842.0</v>
      </c>
      <c r="F4" s="57" t="str">
        <f t="shared" si="1"/>
        <v>+375</v>
      </c>
      <c r="G4" s="57" t="s">
        <v>228</v>
      </c>
      <c r="H4" s="57" t="s">
        <v>229</v>
      </c>
      <c r="I4" s="57" t="s">
        <v>230</v>
      </c>
      <c r="J4" s="57" t="str">
        <f t="array" ref="J4">XLOOKUP(F4,'коды стран'!$B$2:$B$7,'коды стран'!$A$2:$A$7)</f>
        <v>Беларусь</v>
      </c>
    </row>
    <row r="5" ht="14.25" customHeight="1">
      <c r="A5" s="57">
        <v>116.0</v>
      </c>
      <c r="B5" s="57" t="s">
        <v>231</v>
      </c>
      <c r="C5" s="57" t="s">
        <v>232</v>
      </c>
      <c r="D5" s="57" t="s">
        <v>206</v>
      </c>
      <c r="E5" s="59">
        <v>44643.0</v>
      </c>
      <c r="F5" s="57" t="str">
        <f t="shared" si="1"/>
        <v>+7</v>
      </c>
      <c r="G5" s="57" t="s">
        <v>223</v>
      </c>
      <c r="H5" s="57" t="s">
        <v>233</v>
      </c>
      <c r="I5" s="57" t="s">
        <v>234</v>
      </c>
      <c r="J5" s="57" t="str">
        <f t="array" ref="J5">XLOOKUP(F5,'коды стран'!$B$2:$B$7,'коды стран'!$A$2:$A$7)</f>
        <v>Россия</v>
      </c>
    </row>
    <row r="6" ht="14.25" customHeight="1">
      <c r="A6" s="57">
        <v>471.0</v>
      </c>
      <c r="B6" s="57" t="s">
        <v>235</v>
      </c>
      <c r="C6" s="57" t="s">
        <v>236</v>
      </c>
      <c r="D6" s="57" t="s">
        <v>205</v>
      </c>
      <c r="E6" s="59">
        <v>44577.0</v>
      </c>
      <c r="F6" s="57" t="str">
        <f t="shared" si="1"/>
        <v>+380</v>
      </c>
      <c r="G6" s="57" t="s">
        <v>237</v>
      </c>
      <c r="H6" s="57" t="s">
        <v>238</v>
      </c>
      <c r="I6" s="57" t="s">
        <v>239</v>
      </c>
      <c r="J6" s="57" t="str">
        <f t="array" ref="J6">XLOOKUP(F6,'коды стран'!$B$2:$B$7,'коды стран'!$A$2:$A$7)</f>
        <v>Украина</v>
      </c>
    </row>
    <row r="7" ht="14.25" customHeight="1">
      <c r="A7" s="57">
        <v>374.0</v>
      </c>
      <c r="B7" s="57" t="s">
        <v>240</v>
      </c>
      <c r="C7" s="57" t="s">
        <v>241</v>
      </c>
      <c r="D7" s="57" t="s">
        <v>206</v>
      </c>
      <c r="E7" s="59">
        <v>44582.0</v>
      </c>
      <c r="F7" s="57" t="str">
        <f t="shared" si="1"/>
        <v>+380</v>
      </c>
      <c r="G7" s="57" t="s">
        <v>242</v>
      </c>
      <c r="H7" s="57" t="s">
        <v>243</v>
      </c>
      <c r="I7" s="57" t="s">
        <v>244</v>
      </c>
      <c r="J7" s="57" t="str">
        <f t="array" ref="J7">XLOOKUP(F7,'коды стран'!$B$2:$B$7,'коды стран'!$A$2:$A$7)</f>
        <v>Украина</v>
      </c>
    </row>
    <row r="8" ht="14.25" customHeight="1">
      <c r="A8" s="57">
        <v>477.0</v>
      </c>
      <c r="B8" s="57" t="s">
        <v>245</v>
      </c>
      <c r="C8" s="57" t="s">
        <v>246</v>
      </c>
      <c r="D8" s="57" t="s">
        <v>205</v>
      </c>
      <c r="E8" s="59">
        <v>44738.0</v>
      </c>
      <c r="F8" s="57" t="str">
        <f t="shared" si="1"/>
        <v>+998</v>
      </c>
      <c r="G8" s="57" t="s">
        <v>247</v>
      </c>
      <c r="H8" s="57" t="s">
        <v>248</v>
      </c>
      <c r="I8" s="57" t="s">
        <v>249</v>
      </c>
      <c r="J8" s="57" t="str">
        <f t="array" ref="J8">XLOOKUP(F8,'коды стран'!$B$2:$B$7,'коды стран'!$A$2:$A$7)</f>
        <v>Узбекистан</v>
      </c>
    </row>
    <row r="9" ht="14.25" customHeight="1">
      <c r="A9" s="57">
        <v>335.0</v>
      </c>
      <c r="B9" s="57" t="s">
        <v>250</v>
      </c>
      <c r="C9" s="57" t="s">
        <v>251</v>
      </c>
      <c r="D9" s="57" t="s">
        <v>206</v>
      </c>
      <c r="E9" s="59">
        <v>44619.0</v>
      </c>
      <c r="F9" s="57" t="str">
        <f t="shared" si="1"/>
        <v>+998</v>
      </c>
      <c r="G9" s="57" t="s">
        <v>252</v>
      </c>
      <c r="H9" s="57" t="s">
        <v>253</v>
      </c>
      <c r="I9" s="57" t="s">
        <v>254</v>
      </c>
      <c r="J9" s="57" t="str">
        <f t="array" ref="J9">XLOOKUP(F9,'коды стран'!$B$2:$B$7,'коды стран'!$A$2:$A$7)</f>
        <v>Узбекистан</v>
      </c>
    </row>
    <row r="10" ht="14.25" customHeight="1">
      <c r="A10" s="57">
        <v>350.0</v>
      </c>
      <c r="B10" s="57" t="s">
        <v>255</v>
      </c>
      <c r="C10" s="57" t="s">
        <v>256</v>
      </c>
      <c r="D10" s="57" t="s">
        <v>206</v>
      </c>
      <c r="E10" s="59">
        <v>44684.0</v>
      </c>
      <c r="F10" s="57" t="str">
        <f t="shared" si="1"/>
        <v>+380</v>
      </c>
      <c r="G10" s="57" t="s">
        <v>257</v>
      </c>
      <c r="H10" s="57" t="s">
        <v>224</v>
      </c>
      <c r="I10" s="57" t="s">
        <v>258</v>
      </c>
      <c r="J10" s="57" t="str">
        <f t="array" ref="J10">XLOOKUP(F10,'коды стран'!$B$2:$B$7,'коды стран'!$A$2:$A$7)</f>
        <v>Украина</v>
      </c>
    </row>
    <row r="11" ht="14.25" customHeight="1">
      <c r="A11" s="57">
        <v>413.0</v>
      </c>
      <c r="B11" s="57" t="s">
        <v>259</v>
      </c>
      <c r="C11" s="57" t="s">
        <v>260</v>
      </c>
      <c r="D11" s="57" t="s">
        <v>206</v>
      </c>
      <c r="E11" s="59">
        <v>44699.0</v>
      </c>
      <c r="F11" s="57" t="str">
        <f t="shared" si="1"/>
        <v>+7</v>
      </c>
      <c r="G11" s="57" t="s">
        <v>261</v>
      </c>
      <c r="H11" s="57" t="s">
        <v>262</v>
      </c>
      <c r="I11" s="57" t="s">
        <v>263</v>
      </c>
      <c r="J11" s="57" t="str">
        <f t="array" ref="J11">XLOOKUP(F11,'коды стран'!$B$2:$B$7,'коды стран'!$A$2:$A$7)</f>
        <v>Россия</v>
      </c>
    </row>
    <row r="12" ht="14.25" customHeight="1">
      <c r="A12" s="57">
        <v>495.0</v>
      </c>
      <c r="B12" s="57" t="s">
        <v>264</v>
      </c>
      <c r="C12" s="57" t="s">
        <v>265</v>
      </c>
      <c r="D12" s="57" t="s">
        <v>205</v>
      </c>
      <c r="E12" s="59">
        <v>44654.0</v>
      </c>
      <c r="F12" s="57" t="str">
        <f t="shared" si="1"/>
        <v>+998</v>
      </c>
      <c r="G12" s="57" t="s">
        <v>266</v>
      </c>
      <c r="H12" s="57" t="s">
        <v>267</v>
      </c>
      <c r="I12" s="57" t="s">
        <v>268</v>
      </c>
      <c r="J12" s="57" t="str">
        <f t="array" ref="J12">XLOOKUP(F12,'коды стран'!$B$2:$B$7,'коды стран'!$A$2:$A$7)</f>
        <v>Узбекистан</v>
      </c>
    </row>
    <row r="13" ht="14.25" customHeight="1">
      <c r="A13" s="57">
        <v>353.0</v>
      </c>
      <c r="B13" s="57" t="s">
        <v>269</v>
      </c>
      <c r="C13" s="57" t="s">
        <v>270</v>
      </c>
      <c r="D13" s="57" t="s">
        <v>205</v>
      </c>
      <c r="E13" s="59">
        <v>44656.0</v>
      </c>
      <c r="F13" s="57" t="str">
        <f t="shared" si="1"/>
        <v>+992</v>
      </c>
      <c r="G13" s="57" t="s">
        <v>271</v>
      </c>
      <c r="H13" s="57" t="s">
        <v>272</v>
      </c>
      <c r="I13" s="57" t="s">
        <v>273</v>
      </c>
      <c r="J13" s="57" t="str">
        <f t="array" ref="J13">XLOOKUP(F13,'коды стран'!$B$2:$B$7,'коды стран'!$A$2:$A$7)</f>
        <v>Таджикистан</v>
      </c>
    </row>
    <row r="14" ht="14.25" customHeight="1">
      <c r="A14" s="57">
        <v>332.0</v>
      </c>
      <c r="B14" s="57" t="s">
        <v>274</v>
      </c>
      <c r="C14" s="57" t="s">
        <v>275</v>
      </c>
      <c r="D14" s="57" t="s">
        <v>206</v>
      </c>
      <c r="E14" s="59">
        <v>44858.0</v>
      </c>
      <c r="F14" s="57" t="str">
        <f t="shared" si="1"/>
        <v>+998</v>
      </c>
      <c r="G14" s="57" t="s">
        <v>276</v>
      </c>
      <c r="H14" s="57" t="s">
        <v>277</v>
      </c>
      <c r="I14" s="57" t="s">
        <v>278</v>
      </c>
      <c r="J14" s="57" t="str">
        <f t="array" ref="J14">XLOOKUP(F14,'коды стран'!$B$2:$B$7,'коды стран'!$A$2:$A$7)</f>
        <v>Узбекистан</v>
      </c>
    </row>
    <row r="15" ht="14.25" customHeight="1">
      <c r="A15" s="57">
        <v>414.0</v>
      </c>
      <c r="B15" s="57" t="s">
        <v>279</v>
      </c>
      <c r="C15" s="57" t="s">
        <v>280</v>
      </c>
      <c r="D15" s="57" t="s">
        <v>206</v>
      </c>
      <c r="E15" s="59">
        <v>44794.0</v>
      </c>
      <c r="F15" s="57" t="str">
        <f t="shared" si="1"/>
        <v>+375</v>
      </c>
      <c r="G15" s="57" t="s">
        <v>281</v>
      </c>
      <c r="H15" s="57" t="s">
        <v>282</v>
      </c>
      <c r="I15" s="57" t="s">
        <v>283</v>
      </c>
      <c r="J15" s="57" t="str">
        <f t="array" ref="J15">XLOOKUP(F15,'коды стран'!$B$2:$B$7,'коды стран'!$A$2:$A$7)</f>
        <v>Беларусь</v>
      </c>
    </row>
    <row r="16" ht="14.25" customHeight="1">
      <c r="A16" s="57">
        <v>236.0</v>
      </c>
      <c r="B16" s="57" t="s">
        <v>284</v>
      </c>
      <c r="C16" s="57" t="s">
        <v>285</v>
      </c>
      <c r="D16" s="57" t="s">
        <v>205</v>
      </c>
      <c r="E16" s="59">
        <v>44820.0</v>
      </c>
      <c r="F16" s="57" t="str">
        <f t="shared" si="1"/>
        <v>+998</v>
      </c>
      <c r="G16" s="57" t="s">
        <v>286</v>
      </c>
      <c r="H16" s="57" t="s">
        <v>287</v>
      </c>
      <c r="I16" s="57" t="s">
        <v>288</v>
      </c>
      <c r="J16" s="57" t="str">
        <f t="array" ref="J16">XLOOKUP(F16,'коды стран'!$B$2:$B$7,'коды стран'!$A$2:$A$7)</f>
        <v>Узбекистан</v>
      </c>
    </row>
    <row r="17" ht="14.25" customHeight="1">
      <c r="A17" s="57">
        <v>164.0</v>
      </c>
      <c r="B17" s="57" t="s">
        <v>289</v>
      </c>
      <c r="C17" s="57" t="s">
        <v>290</v>
      </c>
      <c r="D17" s="57" t="s">
        <v>206</v>
      </c>
      <c r="E17" s="59">
        <v>44678.0</v>
      </c>
      <c r="F17" s="57" t="str">
        <f t="shared" si="1"/>
        <v>+7</v>
      </c>
      <c r="G17" s="57" t="s">
        <v>291</v>
      </c>
      <c r="H17" s="57" t="s">
        <v>292</v>
      </c>
      <c r="I17" s="57" t="s">
        <v>293</v>
      </c>
      <c r="J17" s="57" t="str">
        <f t="array" ref="J17">XLOOKUP(F17,'коды стран'!$B$2:$B$7,'коды стран'!$A$2:$A$7)</f>
        <v>Россия</v>
      </c>
    </row>
    <row r="18" ht="14.25" customHeight="1">
      <c r="A18" s="57">
        <v>490.0</v>
      </c>
      <c r="B18" s="57" t="s">
        <v>294</v>
      </c>
      <c r="C18" s="57" t="s">
        <v>295</v>
      </c>
      <c r="D18" s="57" t="s">
        <v>206</v>
      </c>
      <c r="E18" s="59">
        <v>44603.0</v>
      </c>
      <c r="F18" s="57" t="str">
        <f t="shared" si="1"/>
        <v>+7</v>
      </c>
      <c r="G18" s="57" t="s">
        <v>296</v>
      </c>
      <c r="H18" s="57" t="s">
        <v>297</v>
      </c>
      <c r="I18" s="57" t="s">
        <v>298</v>
      </c>
      <c r="J18" s="57" t="str">
        <f t="array" ref="J18">XLOOKUP(F18,'коды стран'!$B$2:$B$7,'коды стран'!$A$2:$A$7)</f>
        <v>Россия</v>
      </c>
    </row>
    <row r="19" ht="14.25" customHeight="1">
      <c r="A19" s="57">
        <v>223.0</v>
      </c>
      <c r="B19" s="57" t="s">
        <v>299</v>
      </c>
      <c r="C19" s="57" t="s">
        <v>300</v>
      </c>
      <c r="D19" s="57" t="s">
        <v>205</v>
      </c>
      <c r="E19" s="59">
        <v>44893.0</v>
      </c>
      <c r="F19" s="57" t="str">
        <f t="shared" si="1"/>
        <v>+380</v>
      </c>
      <c r="G19" s="57" t="s">
        <v>301</v>
      </c>
      <c r="H19" s="57" t="s">
        <v>302</v>
      </c>
      <c r="I19" s="57" t="s">
        <v>303</v>
      </c>
      <c r="J19" s="57" t="str">
        <f t="array" ref="J19">XLOOKUP(F19,'коды стран'!$B$2:$B$7,'коды стран'!$A$2:$A$7)</f>
        <v>Украина</v>
      </c>
    </row>
    <row r="20" ht="14.25" customHeight="1">
      <c r="A20" s="57">
        <v>204.0</v>
      </c>
      <c r="B20" s="57" t="s">
        <v>304</v>
      </c>
      <c r="C20" s="57" t="s">
        <v>305</v>
      </c>
      <c r="D20" s="57" t="s">
        <v>205</v>
      </c>
      <c r="E20" s="59">
        <v>44867.0</v>
      </c>
      <c r="F20" s="57" t="str">
        <f t="shared" si="1"/>
        <v>+7</v>
      </c>
      <c r="G20" s="57" t="s">
        <v>306</v>
      </c>
      <c r="H20" s="57" t="s">
        <v>307</v>
      </c>
      <c r="I20" s="57" t="s">
        <v>308</v>
      </c>
      <c r="J20" s="57" t="str">
        <f t="array" ref="J20">XLOOKUP(F20,'коды стран'!$B$2:$B$7,'коды стран'!$A$2:$A$7)</f>
        <v>Россия</v>
      </c>
    </row>
    <row r="21" ht="14.25" customHeight="1">
      <c r="A21" s="57">
        <v>481.0</v>
      </c>
      <c r="B21" s="57" t="s">
        <v>309</v>
      </c>
      <c r="C21" s="57" t="s">
        <v>310</v>
      </c>
      <c r="D21" s="57" t="s">
        <v>205</v>
      </c>
      <c r="E21" s="59">
        <v>44756.0</v>
      </c>
      <c r="F21" s="57" t="str">
        <f t="shared" si="1"/>
        <v>+375</v>
      </c>
      <c r="G21" s="57" t="s">
        <v>311</v>
      </c>
      <c r="H21" s="57" t="s">
        <v>312</v>
      </c>
      <c r="I21" s="57" t="s">
        <v>313</v>
      </c>
      <c r="J21" s="57" t="str">
        <f t="array" ref="J21">XLOOKUP(F21,'коды стран'!$B$2:$B$7,'коды стран'!$A$2:$A$7)</f>
        <v>Беларусь</v>
      </c>
    </row>
    <row r="22" ht="14.25" customHeight="1">
      <c r="A22" s="57">
        <v>363.0</v>
      </c>
      <c r="B22" s="57" t="s">
        <v>314</v>
      </c>
      <c r="C22" s="57" t="s">
        <v>315</v>
      </c>
      <c r="D22" s="57" t="s">
        <v>206</v>
      </c>
      <c r="E22" s="59">
        <v>44675.0</v>
      </c>
      <c r="F22" s="57" t="str">
        <f t="shared" si="1"/>
        <v>+998</v>
      </c>
      <c r="G22" s="57" t="s">
        <v>316</v>
      </c>
      <c r="H22" s="57" t="s">
        <v>317</v>
      </c>
      <c r="I22" s="57" t="s">
        <v>318</v>
      </c>
      <c r="J22" s="57" t="str">
        <f t="array" ref="J22">XLOOKUP(F22,'коды стран'!$B$2:$B$7,'коды стран'!$A$2:$A$7)</f>
        <v>Узбекистан</v>
      </c>
    </row>
    <row r="23" ht="14.25" customHeight="1">
      <c r="A23" s="57">
        <v>397.0</v>
      </c>
      <c r="B23" s="57" t="s">
        <v>319</v>
      </c>
      <c r="C23" s="57" t="s">
        <v>320</v>
      </c>
      <c r="D23" s="57" t="s">
        <v>206</v>
      </c>
      <c r="E23" s="59">
        <v>44728.0</v>
      </c>
      <c r="F23" s="57" t="str">
        <f t="shared" si="1"/>
        <v>+375</v>
      </c>
      <c r="G23" s="57" t="s">
        <v>321</v>
      </c>
      <c r="H23" s="57" t="s">
        <v>318</v>
      </c>
      <c r="I23" s="57" t="s">
        <v>322</v>
      </c>
      <c r="J23" s="57" t="str">
        <f t="array" ref="J23">XLOOKUP(F23,'коды стран'!$B$2:$B$7,'коды стран'!$A$2:$A$7)</f>
        <v>Беларусь</v>
      </c>
    </row>
    <row r="24" ht="14.25" customHeight="1">
      <c r="A24" s="57">
        <v>280.0</v>
      </c>
      <c r="B24" s="57" t="s">
        <v>323</v>
      </c>
      <c r="C24" s="57" t="s">
        <v>324</v>
      </c>
      <c r="D24" s="57" t="s">
        <v>206</v>
      </c>
      <c r="E24" s="59">
        <v>44563.0</v>
      </c>
      <c r="F24" s="57" t="str">
        <f t="shared" si="1"/>
        <v>+7</v>
      </c>
      <c r="G24" s="57" t="s">
        <v>325</v>
      </c>
      <c r="H24" s="57" t="s">
        <v>326</v>
      </c>
      <c r="I24" s="57" t="s">
        <v>327</v>
      </c>
      <c r="J24" s="57" t="str">
        <f t="array" ref="J24">XLOOKUP(F24,'коды стран'!$B$2:$B$7,'коды стран'!$A$2:$A$7)</f>
        <v>Россия</v>
      </c>
    </row>
    <row r="25" ht="14.25" customHeight="1">
      <c r="A25" s="57">
        <v>39.0</v>
      </c>
      <c r="B25" s="57" t="s">
        <v>328</v>
      </c>
      <c r="C25" s="57" t="s">
        <v>329</v>
      </c>
      <c r="D25" s="57" t="s">
        <v>205</v>
      </c>
      <c r="E25" s="59">
        <v>44653.0</v>
      </c>
      <c r="F25" s="57" t="str">
        <f t="shared" si="1"/>
        <v>+375</v>
      </c>
      <c r="G25" s="57" t="s">
        <v>330</v>
      </c>
      <c r="H25" s="57" t="s">
        <v>331</v>
      </c>
      <c r="I25" s="57" t="s">
        <v>332</v>
      </c>
      <c r="J25" s="57" t="str">
        <f t="array" ref="J25">XLOOKUP(F25,'коды стран'!$B$2:$B$7,'коды стран'!$A$2:$A$7)</f>
        <v>Беларусь</v>
      </c>
    </row>
    <row r="26" ht="14.25" customHeight="1">
      <c r="A26" s="57">
        <v>303.0</v>
      </c>
      <c r="B26" s="57" t="s">
        <v>333</v>
      </c>
      <c r="C26" s="57" t="s">
        <v>334</v>
      </c>
      <c r="D26" s="57" t="s">
        <v>206</v>
      </c>
      <c r="E26" s="59">
        <v>44689.0</v>
      </c>
      <c r="F26" s="57" t="str">
        <f t="shared" si="1"/>
        <v>+998</v>
      </c>
      <c r="G26" s="57" t="s">
        <v>335</v>
      </c>
      <c r="H26" s="57" t="s">
        <v>336</v>
      </c>
      <c r="I26" s="57" t="s">
        <v>337</v>
      </c>
      <c r="J26" s="57" t="str">
        <f t="array" ref="J26">XLOOKUP(F26,'коды стран'!$B$2:$B$7,'коды стран'!$A$2:$A$7)</f>
        <v>Узбекистан</v>
      </c>
    </row>
    <row r="27" ht="14.25" customHeight="1">
      <c r="A27" s="57">
        <v>422.0</v>
      </c>
      <c r="B27" s="57" t="s">
        <v>338</v>
      </c>
      <c r="C27" s="57" t="s">
        <v>339</v>
      </c>
      <c r="D27" s="57" t="s">
        <v>206</v>
      </c>
      <c r="E27" s="59">
        <v>44784.0</v>
      </c>
      <c r="F27" s="57" t="str">
        <f t="shared" si="1"/>
        <v>+380</v>
      </c>
      <c r="G27" s="57" t="s">
        <v>340</v>
      </c>
      <c r="H27" s="57" t="s">
        <v>341</v>
      </c>
      <c r="I27" s="57" t="s">
        <v>342</v>
      </c>
      <c r="J27" s="57" t="str">
        <f t="array" ref="J27">XLOOKUP(F27,'коды стран'!$B$2:$B$7,'коды стран'!$A$2:$A$7)</f>
        <v>Украина</v>
      </c>
    </row>
    <row r="28" ht="14.25" customHeight="1">
      <c r="A28" s="57">
        <v>24.0</v>
      </c>
      <c r="B28" s="57" t="s">
        <v>343</v>
      </c>
      <c r="C28" s="57" t="s">
        <v>344</v>
      </c>
      <c r="D28" s="57" t="s">
        <v>205</v>
      </c>
      <c r="E28" s="59">
        <v>44609.0</v>
      </c>
      <c r="F28" s="57" t="str">
        <f t="shared" si="1"/>
        <v>+998</v>
      </c>
      <c r="G28" s="57" t="s">
        <v>345</v>
      </c>
      <c r="H28" s="57" t="s">
        <v>346</v>
      </c>
      <c r="I28" s="57" t="s">
        <v>243</v>
      </c>
      <c r="J28" s="57" t="str">
        <f t="array" ref="J28">XLOOKUP(F28,'коды стран'!$B$2:$B$7,'коды стран'!$A$2:$A$7)</f>
        <v>Узбекистан</v>
      </c>
    </row>
    <row r="29" ht="14.25" customHeight="1">
      <c r="A29" s="57">
        <v>112.0</v>
      </c>
      <c r="B29" s="57" t="s">
        <v>347</v>
      </c>
      <c r="C29" s="57" t="s">
        <v>348</v>
      </c>
      <c r="D29" s="57" t="s">
        <v>206</v>
      </c>
      <c r="E29" s="59">
        <v>44652.0</v>
      </c>
      <c r="F29" s="57" t="str">
        <f t="shared" si="1"/>
        <v>+7</v>
      </c>
      <c r="G29" s="57" t="s">
        <v>349</v>
      </c>
      <c r="H29" s="57" t="s">
        <v>350</v>
      </c>
      <c r="I29" s="57" t="s">
        <v>351</v>
      </c>
      <c r="J29" s="57" t="str">
        <f t="array" ref="J29">XLOOKUP(F29,'коды стран'!$B$2:$B$7,'коды стран'!$A$2:$A$7)</f>
        <v>Россия</v>
      </c>
    </row>
    <row r="30" ht="14.25" customHeight="1">
      <c r="A30" s="57">
        <v>451.0</v>
      </c>
      <c r="B30" s="57" t="s">
        <v>352</v>
      </c>
      <c r="C30" s="57" t="s">
        <v>353</v>
      </c>
      <c r="D30" s="57" t="s">
        <v>205</v>
      </c>
      <c r="E30" s="59">
        <v>44584.0</v>
      </c>
      <c r="F30" s="57" t="str">
        <f t="shared" si="1"/>
        <v>+7</v>
      </c>
      <c r="G30" s="57" t="s">
        <v>354</v>
      </c>
      <c r="H30" s="57" t="s">
        <v>355</v>
      </c>
      <c r="I30" s="57" t="s">
        <v>356</v>
      </c>
      <c r="J30" s="57" t="str">
        <f t="array" ref="J30">XLOOKUP(F30,'коды стран'!$B$2:$B$7,'коды стран'!$A$2:$A$7)</f>
        <v>Россия</v>
      </c>
    </row>
    <row r="31" ht="14.25" customHeight="1">
      <c r="A31" s="57">
        <v>131.0</v>
      </c>
      <c r="B31" s="57" t="s">
        <v>357</v>
      </c>
      <c r="C31" s="57" t="s">
        <v>358</v>
      </c>
      <c r="D31" s="57" t="s">
        <v>205</v>
      </c>
      <c r="E31" s="59">
        <v>44693.0</v>
      </c>
      <c r="F31" s="57" t="str">
        <f t="shared" si="1"/>
        <v>+7</v>
      </c>
      <c r="G31" s="57" t="s">
        <v>359</v>
      </c>
      <c r="H31" s="57" t="s">
        <v>360</v>
      </c>
      <c r="I31" s="57" t="s">
        <v>361</v>
      </c>
      <c r="J31" s="57" t="str">
        <f t="array" ref="J31">XLOOKUP(F31,'коды стран'!$B$2:$B$7,'коды стран'!$A$2:$A$7)</f>
        <v>Россия</v>
      </c>
    </row>
    <row r="32" ht="14.25" customHeight="1">
      <c r="A32" s="57">
        <v>160.0</v>
      </c>
      <c r="B32" s="57" t="s">
        <v>362</v>
      </c>
      <c r="C32" s="57" t="s">
        <v>363</v>
      </c>
      <c r="D32" s="57" t="s">
        <v>205</v>
      </c>
      <c r="E32" s="59">
        <v>44649.0</v>
      </c>
      <c r="F32" s="57" t="str">
        <f t="shared" si="1"/>
        <v>+998</v>
      </c>
      <c r="G32" s="57" t="s">
        <v>364</v>
      </c>
      <c r="H32" s="57" t="s">
        <v>365</v>
      </c>
      <c r="I32" s="57" t="s">
        <v>366</v>
      </c>
      <c r="J32" s="57" t="str">
        <f t="array" ref="J32">XLOOKUP(F32,'коды стран'!$B$2:$B$7,'коды стран'!$A$2:$A$7)</f>
        <v>Узбекистан</v>
      </c>
    </row>
    <row r="33" ht="14.25" customHeight="1">
      <c r="A33" s="57">
        <v>408.0</v>
      </c>
      <c r="B33" s="57" t="s">
        <v>367</v>
      </c>
      <c r="C33" s="57" t="s">
        <v>368</v>
      </c>
      <c r="D33" s="57" t="s">
        <v>206</v>
      </c>
      <c r="E33" s="59">
        <v>44857.0</v>
      </c>
      <c r="F33" s="57" t="str">
        <f t="shared" si="1"/>
        <v>+7</v>
      </c>
      <c r="G33" s="57" t="s">
        <v>281</v>
      </c>
      <c r="H33" s="57" t="s">
        <v>369</v>
      </c>
      <c r="I33" s="57" t="s">
        <v>370</v>
      </c>
      <c r="J33" s="57" t="str">
        <f t="array" ref="J33">XLOOKUP(F33,'коды стран'!$B$2:$B$7,'коды стран'!$A$2:$A$7)</f>
        <v>Россия</v>
      </c>
    </row>
    <row r="34" ht="14.25" customHeight="1">
      <c r="A34" s="57">
        <v>324.0</v>
      </c>
      <c r="B34" s="57" t="s">
        <v>371</v>
      </c>
      <c r="C34" s="57" t="s">
        <v>372</v>
      </c>
      <c r="D34" s="57" t="s">
        <v>206</v>
      </c>
      <c r="E34" s="59">
        <v>44761.0</v>
      </c>
      <c r="F34" s="57" t="str">
        <f t="shared" si="1"/>
        <v>+998</v>
      </c>
      <c r="G34" s="57" t="s">
        <v>373</v>
      </c>
      <c r="H34" s="57" t="s">
        <v>374</v>
      </c>
      <c r="I34" s="57" t="s">
        <v>219</v>
      </c>
      <c r="J34" s="57" t="str">
        <f t="array" ref="J34">XLOOKUP(F34,'коды стран'!$B$2:$B$7,'коды стран'!$A$2:$A$7)</f>
        <v>Узбекистан</v>
      </c>
    </row>
    <row r="35" ht="14.25" customHeight="1">
      <c r="A35" s="57">
        <v>310.0</v>
      </c>
      <c r="B35" s="57" t="s">
        <v>375</v>
      </c>
      <c r="C35" s="57" t="s">
        <v>376</v>
      </c>
      <c r="D35" s="57" t="s">
        <v>206</v>
      </c>
      <c r="E35" s="59">
        <v>44807.0</v>
      </c>
      <c r="F35" s="57" t="str">
        <f t="shared" si="1"/>
        <v>+992</v>
      </c>
      <c r="G35" s="57" t="s">
        <v>377</v>
      </c>
      <c r="H35" s="57" t="s">
        <v>378</v>
      </c>
      <c r="I35" s="57" t="s">
        <v>379</v>
      </c>
      <c r="J35" s="57" t="str">
        <f t="array" ref="J35">XLOOKUP(F35,'коды стран'!$B$2:$B$7,'коды стран'!$A$2:$A$7)</f>
        <v>Таджикистан</v>
      </c>
    </row>
    <row r="36" ht="14.25" customHeight="1">
      <c r="A36" s="57">
        <v>179.0</v>
      </c>
      <c r="B36" s="57" t="s">
        <v>380</v>
      </c>
      <c r="C36" s="57" t="s">
        <v>381</v>
      </c>
      <c r="D36" s="57" t="s">
        <v>205</v>
      </c>
      <c r="E36" s="59">
        <v>44833.0</v>
      </c>
      <c r="F36" s="57" t="str">
        <f t="shared" si="1"/>
        <v>+7</v>
      </c>
      <c r="G36" s="57" t="s">
        <v>382</v>
      </c>
      <c r="H36" s="57" t="s">
        <v>383</v>
      </c>
      <c r="I36" s="57" t="s">
        <v>384</v>
      </c>
      <c r="J36" s="57" t="str">
        <f t="array" ref="J36">XLOOKUP(F36,'коды стран'!$B$2:$B$7,'коды стран'!$A$2:$A$7)</f>
        <v>Россия</v>
      </c>
    </row>
    <row r="37" ht="14.25" customHeight="1">
      <c r="A37" s="57">
        <v>64.0</v>
      </c>
      <c r="B37" s="57" t="s">
        <v>385</v>
      </c>
      <c r="C37" s="57" t="s">
        <v>386</v>
      </c>
      <c r="D37" s="57" t="s">
        <v>205</v>
      </c>
      <c r="E37" s="59">
        <v>44707.0</v>
      </c>
      <c r="F37" s="57" t="str">
        <f t="shared" si="1"/>
        <v>+998</v>
      </c>
      <c r="G37" s="57" t="s">
        <v>387</v>
      </c>
      <c r="H37" s="57" t="s">
        <v>388</v>
      </c>
      <c r="I37" s="57" t="s">
        <v>389</v>
      </c>
      <c r="J37" s="57" t="str">
        <f t="array" ref="J37">XLOOKUP(F37,'коды стран'!$B$2:$B$7,'коды стран'!$A$2:$A$7)</f>
        <v>Узбекистан</v>
      </c>
    </row>
    <row r="38" ht="14.25" customHeight="1">
      <c r="A38" s="57">
        <v>318.0</v>
      </c>
      <c r="B38" s="57" t="s">
        <v>390</v>
      </c>
      <c r="C38" s="57" t="s">
        <v>391</v>
      </c>
      <c r="D38" s="57" t="s">
        <v>205</v>
      </c>
      <c r="E38" s="59">
        <v>44892.0</v>
      </c>
      <c r="F38" s="57" t="str">
        <f t="shared" si="1"/>
        <v>+998</v>
      </c>
      <c r="G38" s="57" t="s">
        <v>392</v>
      </c>
      <c r="H38" s="57" t="s">
        <v>393</v>
      </c>
      <c r="I38" s="57" t="s">
        <v>394</v>
      </c>
      <c r="J38" s="57" t="str">
        <f t="array" ref="J38">XLOOKUP(F38,'коды стран'!$B$2:$B$7,'коды стран'!$A$2:$A$7)</f>
        <v>Узбекистан</v>
      </c>
    </row>
    <row r="39" ht="14.25" customHeight="1">
      <c r="A39" s="57">
        <v>239.0</v>
      </c>
      <c r="B39" s="57" t="s">
        <v>395</v>
      </c>
      <c r="C39" s="57" t="s">
        <v>396</v>
      </c>
      <c r="D39" s="57" t="s">
        <v>206</v>
      </c>
      <c r="E39" s="59">
        <v>44767.0</v>
      </c>
      <c r="F39" s="57" t="str">
        <f t="shared" si="1"/>
        <v>+998</v>
      </c>
      <c r="G39" s="57" t="s">
        <v>293</v>
      </c>
      <c r="H39" s="57" t="s">
        <v>397</v>
      </c>
      <c r="I39" s="57" t="s">
        <v>398</v>
      </c>
      <c r="J39" s="57" t="str">
        <f t="array" ref="J39">XLOOKUP(F39,'коды стран'!$B$2:$B$7,'коды стран'!$A$2:$A$7)</f>
        <v>Узбекистан</v>
      </c>
    </row>
    <row r="40" ht="14.25" customHeight="1">
      <c r="A40" s="57">
        <v>194.0</v>
      </c>
      <c r="B40" s="57" t="s">
        <v>399</v>
      </c>
      <c r="C40" s="57" t="s">
        <v>400</v>
      </c>
      <c r="D40" s="57" t="s">
        <v>205</v>
      </c>
      <c r="E40" s="59">
        <v>44924.0</v>
      </c>
      <c r="F40" s="57" t="str">
        <f t="shared" si="1"/>
        <v>+7</v>
      </c>
      <c r="G40" s="57" t="s">
        <v>401</v>
      </c>
      <c r="H40" s="57" t="s">
        <v>402</v>
      </c>
      <c r="I40" s="57" t="s">
        <v>273</v>
      </c>
      <c r="J40" s="57" t="str">
        <f t="array" ref="J40">XLOOKUP(F40,'коды стран'!$B$2:$B$7,'коды стран'!$A$2:$A$7)</f>
        <v>Россия</v>
      </c>
    </row>
    <row r="41" ht="14.25" customHeight="1">
      <c r="A41" s="57">
        <v>267.0</v>
      </c>
      <c r="B41" s="57" t="s">
        <v>403</v>
      </c>
      <c r="C41" s="57" t="s">
        <v>404</v>
      </c>
      <c r="D41" s="57" t="s">
        <v>205</v>
      </c>
      <c r="E41" s="59">
        <v>44910.0</v>
      </c>
      <c r="F41" s="57" t="str">
        <f t="shared" si="1"/>
        <v>+7</v>
      </c>
      <c r="G41" s="57" t="s">
        <v>405</v>
      </c>
      <c r="H41" s="57" t="s">
        <v>406</v>
      </c>
      <c r="I41" s="57" t="s">
        <v>407</v>
      </c>
      <c r="J41" s="57" t="str">
        <f t="array" ref="J41">XLOOKUP(F41,'коды стран'!$B$2:$B$7,'коды стран'!$A$2:$A$7)</f>
        <v>Россия</v>
      </c>
    </row>
    <row r="42" ht="14.25" customHeight="1">
      <c r="A42" s="57">
        <v>334.0</v>
      </c>
      <c r="B42" s="57" t="s">
        <v>408</v>
      </c>
      <c r="C42" s="57" t="s">
        <v>409</v>
      </c>
      <c r="D42" s="57" t="s">
        <v>206</v>
      </c>
      <c r="E42" s="59">
        <v>44881.0</v>
      </c>
      <c r="F42" s="57" t="str">
        <f t="shared" si="1"/>
        <v>+380</v>
      </c>
      <c r="G42" s="57" t="s">
        <v>410</v>
      </c>
      <c r="H42" s="57" t="s">
        <v>411</v>
      </c>
      <c r="I42" s="57" t="s">
        <v>327</v>
      </c>
      <c r="J42" s="57" t="str">
        <f t="array" ref="J42">XLOOKUP(F42,'коды стран'!$B$2:$B$7,'коды стран'!$A$2:$A$7)</f>
        <v>Украина</v>
      </c>
    </row>
    <row r="43" ht="14.25" customHeight="1">
      <c r="A43" s="57">
        <v>47.0</v>
      </c>
      <c r="B43" s="57" t="s">
        <v>412</v>
      </c>
      <c r="C43" s="57" t="s">
        <v>413</v>
      </c>
      <c r="D43" s="57" t="s">
        <v>206</v>
      </c>
      <c r="E43" s="59">
        <v>44693.0</v>
      </c>
      <c r="F43" s="57" t="str">
        <f t="shared" si="1"/>
        <v>+375</v>
      </c>
      <c r="G43" s="57" t="s">
        <v>414</v>
      </c>
      <c r="H43" s="57" t="s">
        <v>415</v>
      </c>
      <c r="I43" s="57" t="s">
        <v>416</v>
      </c>
      <c r="J43" s="57" t="str">
        <f t="array" ref="J43">XLOOKUP(F43,'коды стран'!$B$2:$B$7,'коды стран'!$A$2:$A$7)</f>
        <v>Беларусь</v>
      </c>
    </row>
    <row r="44" ht="14.25" customHeight="1">
      <c r="A44" s="57">
        <v>287.0</v>
      </c>
      <c r="B44" s="57" t="s">
        <v>417</v>
      </c>
      <c r="C44" s="57" t="s">
        <v>418</v>
      </c>
      <c r="D44" s="57" t="s">
        <v>205</v>
      </c>
      <c r="E44" s="59">
        <v>44608.0</v>
      </c>
      <c r="F44" s="57" t="str">
        <f t="shared" si="1"/>
        <v>+7</v>
      </c>
      <c r="G44" s="57" t="s">
        <v>419</v>
      </c>
      <c r="H44" s="57" t="s">
        <v>420</v>
      </c>
      <c r="I44" s="57" t="s">
        <v>421</v>
      </c>
      <c r="J44" s="57" t="str">
        <f t="array" ref="J44">XLOOKUP(F44,'коды стран'!$B$2:$B$7,'коды стран'!$A$2:$A$7)</f>
        <v>Россия</v>
      </c>
    </row>
    <row r="45" ht="14.25" customHeight="1">
      <c r="A45" s="57">
        <v>145.0</v>
      </c>
      <c r="B45" s="57" t="s">
        <v>422</v>
      </c>
      <c r="C45" s="57" t="s">
        <v>423</v>
      </c>
      <c r="D45" s="57" t="s">
        <v>206</v>
      </c>
      <c r="E45" s="59">
        <v>44653.0</v>
      </c>
      <c r="F45" s="57" t="str">
        <f t="shared" si="1"/>
        <v>+380</v>
      </c>
      <c r="G45" s="57" t="s">
        <v>424</v>
      </c>
      <c r="H45" s="57" t="s">
        <v>281</v>
      </c>
      <c r="I45" s="57" t="s">
        <v>282</v>
      </c>
      <c r="J45" s="57" t="str">
        <f t="array" ref="J45">XLOOKUP(F45,'коды стран'!$B$2:$B$7,'коды стран'!$A$2:$A$7)</f>
        <v>Украина</v>
      </c>
    </row>
    <row r="46" ht="14.25" customHeight="1">
      <c r="A46" s="57">
        <v>270.0</v>
      </c>
      <c r="B46" s="57" t="s">
        <v>425</v>
      </c>
      <c r="C46" s="57" t="s">
        <v>426</v>
      </c>
      <c r="D46" s="57" t="s">
        <v>205</v>
      </c>
      <c r="E46" s="59">
        <v>44827.0</v>
      </c>
      <c r="F46" s="57" t="str">
        <f t="shared" si="1"/>
        <v>+992</v>
      </c>
      <c r="G46" s="57" t="s">
        <v>427</v>
      </c>
      <c r="H46" s="57" t="s">
        <v>428</v>
      </c>
      <c r="I46" s="57" t="s">
        <v>429</v>
      </c>
      <c r="J46" s="57" t="str">
        <f t="array" ref="J46">XLOOKUP(F46,'коды стран'!$B$2:$B$7,'коды стран'!$A$2:$A$7)</f>
        <v>Таджикистан</v>
      </c>
    </row>
    <row r="47" ht="14.25" customHeight="1">
      <c r="A47" s="57">
        <v>183.0</v>
      </c>
      <c r="B47" s="57" t="s">
        <v>430</v>
      </c>
      <c r="C47" s="57" t="s">
        <v>431</v>
      </c>
      <c r="D47" s="57" t="s">
        <v>205</v>
      </c>
      <c r="E47" s="59">
        <v>44900.0</v>
      </c>
      <c r="F47" s="57" t="str">
        <f t="shared" si="1"/>
        <v>+992</v>
      </c>
      <c r="G47" s="57" t="s">
        <v>432</v>
      </c>
      <c r="H47" s="57" t="s">
        <v>433</v>
      </c>
      <c r="I47" s="57" t="s">
        <v>434</v>
      </c>
      <c r="J47" s="57" t="str">
        <f t="array" ref="J47">XLOOKUP(F47,'коды стран'!$B$2:$B$7,'коды стран'!$A$2:$A$7)</f>
        <v>Таджикистан</v>
      </c>
    </row>
    <row r="48" ht="14.25" customHeight="1">
      <c r="A48" s="57">
        <v>2.0</v>
      </c>
      <c r="B48" s="57" t="s">
        <v>435</v>
      </c>
      <c r="C48" s="57" t="s">
        <v>436</v>
      </c>
      <c r="D48" s="57" t="s">
        <v>206</v>
      </c>
      <c r="E48" s="59">
        <v>44775.0</v>
      </c>
      <c r="F48" s="57" t="str">
        <f t="shared" si="1"/>
        <v>+998</v>
      </c>
      <c r="G48" s="57" t="s">
        <v>437</v>
      </c>
      <c r="H48" s="57" t="s">
        <v>349</v>
      </c>
      <c r="I48" s="57" t="s">
        <v>438</v>
      </c>
      <c r="J48" s="57" t="str">
        <f t="array" ref="J48">XLOOKUP(F48,'коды стран'!$B$2:$B$7,'коды стран'!$A$2:$A$7)</f>
        <v>Узбекистан</v>
      </c>
    </row>
    <row r="49" ht="14.25" customHeight="1">
      <c r="A49" s="57">
        <v>229.0</v>
      </c>
      <c r="B49" s="57" t="s">
        <v>439</v>
      </c>
      <c r="C49" s="57" t="s">
        <v>440</v>
      </c>
      <c r="D49" s="57" t="s">
        <v>206</v>
      </c>
      <c r="E49" s="59">
        <v>44766.0</v>
      </c>
      <c r="F49" s="57" t="str">
        <f t="shared" si="1"/>
        <v>+375</v>
      </c>
      <c r="G49" s="57" t="s">
        <v>441</v>
      </c>
      <c r="H49" s="57" t="s">
        <v>442</v>
      </c>
      <c r="I49" s="57" t="s">
        <v>443</v>
      </c>
      <c r="J49" s="57" t="str">
        <f t="array" ref="J49">XLOOKUP(F49,'коды стран'!$B$2:$B$7,'коды стран'!$A$2:$A$7)</f>
        <v>Беларусь</v>
      </c>
    </row>
    <row r="50" ht="14.25" customHeight="1">
      <c r="A50" s="57">
        <v>385.0</v>
      </c>
      <c r="B50" s="57" t="s">
        <v>444</v>
      </c>
      <c r="C50" s="57" t="s">
        <v>445</v>
      </c>
      <c r="D50" s="57" t="s">
        <v>206</v>
      </c>
      <c r="E50" s="59">
        <v>44753.0</v>
      </c>
      <c r="F50" s="57" t="str">
        <f t="shared" si="1"/>
        <v>+380</v>
      </c>
      <c r="G50" s="57" t="s">
        <v>446</v>
      </c>
      <c r="H50" s="57" t="s">
        <v>447</v>
      </c>
      <c r="I50" s="57" t="s">
        <v>448</v>
      </c>
      <c r="J50" s="57" t="str">
        <f t="array" ref="J50">XLOOKUP(F50,'коды стран'!$B$2:$B$7,'коды стран'!$A$2:$A$7)</f>
        <v>Украина</v>
      </c>
    </row>
    <row r="51" ht="14.25" customHeight="1">
      <c r="A51" s="57">
        <v>407.0</v>
      </c>
      <c r="B51" s="57" t="s">
        <v>449</v>
      </c>
      <c r="C51" s="57" t="s">
        <v>450</v>
      </c>
      <c r="D51" s="57" t="s">
        <v>205</v>
      </c>
      <c r="E51" s="59">
        <v>44621.0</v>
      </c>
      <c r="F51" s="57" t="str">
        <f t="shared" si="1"/>
        <v>+375</v>
      </c>
      <c r="G51" s="57" t="s">
        <v>451</v>
      </c>
      <c r="H51" s="57" t="s">
        <v>452</v>
      </c>
      <c r="I51" s="57" t="s">
        <v>453</v>
      </c>
      <c r="J51" s="57" t="str">
        <f t="array" ref="J51">XLOOKUP(F51,'коды стран'!$B$2:$B$7,'коды стран'!$A$2:$A$7)</f>
        <v>Беларусь</v>
      </c>
    </row>
    <row r="52" ht="14.25" customHeight="1">
      <c r="A52" s="57">
        <v>493.0</v>
      </c>
      <c r="B52" s="57" t="s">
        <v>454</v>
      </c>
      <c r="C52" s="57" t="s">
        <v>455</v>
      </c>
      <c r="D52" s="57" t="s">
        <v>205</v>
      </c>
      <c r="E52" s="59">
        <v>44855.0</v>
      </c>
      <c r="F52" s="57" t="str">
        <f t="shared" si="1"/>
        <v>+380</v>
      </c>
      <c r="G52" s="57" t="s">
        <v>456</v>
      </c>
      <c r="H52" s="57" t="s">
        <v>457</v>
      </c>
      <c r="I52" s="57" t="s">
        <v>458</v>
      </c>
      <c r="J52" s="57" t="str">
        <f t="array" ref="J52">XLOOKUP(F52,'коды стран'!$B$2:$B$7,'коды стран'!$A$2:$A$7)</f>
        <v>Украина</v>
      </c>
    </row>
    <row r="53" ht="14.25" customHeight="1">
      <c r="A53" s="57">
        <v>34.0</v>
      </c>
      <c r="B53" s="57" t="s">
        <v>459</v>
      </c>
      <c r="C53" s="57" t="s">
        <v>460</v>
      </c>
      <c r="D53" s="57" t="s">
        <v>206</v>
      </c>
      <c r="E53" s="59">
        <v>44654.0</v>
      </c>
      <c r="F53" s="57" t="str">
        <f t="shared" si="1"/>
        <v>+992</v>
      </c>
      <c r="G53" s="57" t="s">
        <v>461</v>
      </c>
      <c r="H53" s="57" t="s">
        <v>462</v>
      </c>
      <c r="I53" s="57" t="s">
        <v>463</v>
      </c>
      <c r="J53" s="57" t="str">
        <f t="array" ref="J53">XLOOKUP(F53,'коды стран'!$B$2:$B$7,'коды стран'!$A$2:$A$7)</f>
        <v>Таджикистан</v>
      </c>
    </row>
    <row r="54" ht="14.25" customHeight="1">
      <c r="A54" s="57">
        <v>190.0</v>
      </c>
      <c r="B54" s="57" t="s">
        <v>464</v>
      </c>
      <c r="C54" s="57" t="s">
        <v>465</v>
      </c>
      <c r="D54" s="57" t="s">
        <v>206</v>
      </c>
      <c r="E54" s="59">
        <v>44689.0</v>
      </c>
      <c r="F54" s="57" t="str">
        <f t="shared" si="1"/>
        <v>+375</v>
      </c>
      <c r="G54" s="57" t="s">
        <v>456</v>
      </c>
      <c r="H54" s="57" t="s">
        <v>466</v>
      </c>
      <c r="I54" s="57" t="s">
        <v>467</v>
      </c>
      <c r="J54" s="57" t="str">
        <f t="array" ref="J54">XLOOKUP(F54,'коды стран'!$B$2:$B$7,'коды стран'!$A$2:$A$7)</f>
        <v>Беларусь</v>
      </c>
    </row>
    <row r="55" ht="14.25" customHeight="1">
      <c r="A55" s="57">
        <v>266.0</v>
      </c>
      <c r="B55" s="57" t="s">
        <v>468</v>
      </c>
      <c r="C55" s="57" t="s">
        <v>469</v>
      </c>
      <c r="D55" s="57" t="s">
        <v>206</v>
      </c>
      <c r="E55" s="59">
        <v>44795.0</v>
      </c>
      <c r="F55" s="57" t="str">
        <f t="shared" si="1"/>
        <v>+7</v>
      </c>
      <c r="G55" s="57" t="s">
        <v>470</v>
      </c>
      <c r="H55" s="57" t="s">
        <v>471</v>
      </c>
      <c r="I55" s="57" t="s">
        <v>472</v>
      </c>
      <c r="J55" s="57" t="str">
        <f t="array" ref="J55">XLOOKUP(F55,'коды стран'!$B$2:$B$7,'коды стран'!$A$2:$A$7)</f>
        <v>Россия</v>
      </c>
    </row>
    <row r="56" ht="14.25" customHeight="1">
      <c r="A56" s="57">
        <v>222.0</v>
      </c>
      <c r="B56" s="57" t="s">
        <v>473</v>
      </c>
      <c r="C56" s="57" t="s">
        <v>474</v>
      </c>
      <c r="D56" s="57" t="s">
        <v>205</v>
      </c>
      <c r="E56" s="59">
        <v>44694.0</v>
      </c>
      <c r="F56" s="57" t="str">
        <f t="shared" si="1"/>
        <v>+380</v>
      </c>
      <c r="G56" s="57" t="s">
        <v>475</v>
      </c>
      <c r="H56" s="57" t="s">
        <v>476</v>
      </c>
      <c r="I56" s="57" t="s">
        <v>477</v>
      </c>
      <c r="J56" s="57" t="str">
        <f t="array" ref="J56">XLOOKUP(F56,'коды стран'!$B$2:$B$7,'коды стран'!$A$2:$A$7)</f>
        <v>Украина</v>
      </c>
    </row>
    <row r="57" ht="14.25" customHeight="1">
      <c r="A57" s="57">
        <v>382.0</v>
      </c>
      <c r="B57" s="57" t="s">
        <v>478</v>
      </c>
      <c r="C57" s="57" t="s">
        <v>479</v>
      </c>
      <c r="D57" s="57" t="s">
        <v>205</v>
      </c>
      <c r="E57" s="59">
        <v>44850.0</v>
      </c>
      <c r="F57" s="57" t="str">
        <f t="shared" si="1"/>
        <v>+375</v>
      </c>
      <c r="G57" s="57" t="s">
        <v>480</v>
      </c>
      <c r="H57" s="57" t="s">
        <v>481</v>
      </c>
      <c r="I57" s="57" t="s">
        <v>482</v>
      </c>
      <c r="J57" s="57" t="str">
        <f t="array" ref="J57">XLOOKUP(F57,'коды стран'!$B$2:$B$7,'коды стран'!$A$2:$A$7)</f>
        <v>Беларусь</v>
      </c>
    </row>
    <row r="58" ht="14.25" customHeight="1">
      <c r="A58" s="57">
        <v>142.0</v>
      </c>
      <c r="B58" s="57" t="s">
        <v>483</v>
      </c>
      <c r="C58" s="57" t="s">
        <v>484</v>
      </c>
      <c r="D58" s="57" t="s">
        <v>206</v>
      </c>
      <c r="E58" s="59">
        <v>44683.0</v>
      </c>
      <c r="F58" s="57" t="str">
        <f t="shared" si="1"/>
        <v>+7</v>
      </c>
      <c r="G58" s="57" t="s">
        <v>276</v>
      </c>
      <c r="H58" s="57" t="s">
        <v>485</v>
      </c>
      <c r="I58" s="57" t="s">
        <v>486</v>
      </c>
      <c r="J58" s="57" t="str">
        <f t="array" ref="J58">XLOOKUP(F58,'коды стран'!$B$2:$B$7,'коды стран'!$A$2:$A$7)</f>
        <v>Россия</v>
      </c>
    </row>
    <row r="59" ht="14.25" customHeight="1">
      <c r="A59" s="57">
        <v>150.0</v>
      </c>
      <c r="B59" s="57" t="s">
        <v>487</v>
      </c>
      <c r="C59" s="57" t="s">
        <v>488</v>
      </c>
      <c r="D59" s="57" t="s">
        <v>206</v>
      </c>
      <c r="E59" s="59">
        <v>44622.0</v>
      </c>
      <c r="F59" s="57" t="str">
        <f t="shared" si="1"/>
        <v>+998</v>
      </c>
      <c r="G59" s="57" t="s">
        <v>489</v>
      </c>
      <c r="H59" s="57" t="s">
        <v>490</v>
      </c>
      <c r="I59" s="57" t="s">
        <v>491</v>
      </c>
      <c r="J59" s="57" t="str">
        <f t="array" ref="J59">XLOOKUP(F59,'коды стран'!$B$2:$B$7,'коды стран'!$A$2:$A$7)</f>
        <v>Узбекистан</v>
      </c>
    </row>
    <row r="60" ht="14.25" customHeight="1">
      <c r="A60" s="57">
        <v>14.0</v>
      </c>
      <c r="B60" s="57" t="s">
        <v>492</v>
      </c>
      <c r="C60" s="57" t="s">
        <v>493</v>
      </c>
      <c r="D60" s="57" t="s">
        <v>205</v>
      </c>
      <c r="E60" s="59">
        <v>44775.0</v>
      </c>
      <c r="F60" s="57" t="str">
        <f t="shared" si="1"/>
        <v>+992</v>
      </c>
      <c r="G60" s="57" t="s">
        <v>494</v>
      </c>
      <c r="H60" s="57" t="s">
        <v>495</v>
      </c>
      <c r="I60" s="57" t="s">
        <v>496</v>
      </c>
      <c r="J60" s="57" t="str">
        <f t="array" ref="J60">XLOOKUP(F60,'коды стран'!$B$2:$B$7,'коды стран'!$A$2:$A$7)</f>
        <v>Таджикистан</v>
      </c>
    </row>
    <row r="61" ht="14.25" customHeight="1">
      <c r="A61" s="57">
        <v>371.0</v>
      </c>
      <c r="B61" s="57" t="s">
        <v>497</v>
      </c>
      <c r="C61" s="57" t="s">
        <v>498</v>
      </c>
      <c r="D61" s="57" t="s">
        <v>206</v>
      </c>
      <c r="E61" s="59">
        <v>44844.0</v>
      </c>
      <c r="F61" s="57" t="str">
        <f t="shared" si="1"/>
        <v>+380</v>
      </c>
      <c r="G61" s="57" t="s">
        <v>499</v>
      </c>
      <c r="H61" s="57" t="s">
        <v>500</v>
      </c>
      <c r="I61" s="57" t="s">
        <v>501</v>
      </c>
      <c r="J61" s="57" t="str">
        <f t="array" ref="J61">XLOOKUP(F61,'коды стран'!$B$2:$B$7,'коды стран'!$A$2:$A$7)</f>
        <v>Украина</v>
      </c>
    </row>
    <row r="62" ht="14.25" customHeight="1">
      <c r="A62" s="57">
        <v>328.0</v>
      </c>
      <c r="B62" s="57" t="s">
        <v>502</v>
      </c>
      <c r="C62" s="57" t="s">
        <v>503</v>
      </c>
      <c r="D62" s="57" t="s">
        <v>205</v>
      </c>
      <c r="E62" s="59">
        <v>44568.0</v>
      </c>
      <c r="F62" s="57" t="str">
        <f t="shared" si="1"/>
        <v>+7</v>
      </c>
      <c r="G62" s="57" t="s">
        <v>499</v>
      </c>
      <c r="H62" s="57" t="s">
        <v>500</v>
      </c>
      <c r="I62" s="57" t="s">
        <v>504</v>
      </c>
      <c r="J62" s="57" t="str">
        <f t="array" ref="J62">XLOOKUP(F62,'коды стран'!$B$2:$B$7,'коды стран'!$A$2:$A$7)</f>
        <v>Россия</v>
      </c>
    </row>
    <row r="63" ht="14.25" customHeight="1">
      <c r="A63" s="57">
        <v>171.0</v>
      </c>
      <c r="B63" s="57" t="s">
        <v>505</v>
      </c>
      <c r="C63" s="57" t="s">
        <v>506</v>
      </c>
      <c r="D63" s="57" t="s">
        <v>205</v>
      </c>
      <c r="E63" s="59">
        <v>44710.0</v>
      </c>
      <c r="F63" s="57" t="str">
        <f t="shared" si="1"/>
        <v>+7</v>
      </c>
      <c r="G63" s="57" t="s">
        <v>507</v>
      </c>
      <c r="H63" s="57" t="s">
        <v>508</v>
      </c>
      <c r="I63" s="57" t="s">
        <v>509</v>
      </c>
      <c r="J63" s="57" t="str">
        <f t="array" ref="J63">XLOOKUP(F63,'коды стран'!$B$2:$B$7,'коды стран'!$A$2:$A$7)</f>
        <v>Россия</v>
      </c>
    </row>
    <row r="64" ht="14.25" customHeight="1">
      <c r="A64" s="57">
        <v>68.0</v>
      </c>
      <c r="B64" s="57" t="s">
        <v>510</v>
      </c>
      <c r="C64" s="57" t="s">
        <v>511</v>
      </c>
      <c r="D64" s="57" t="s">
        <v>205</v>
      </c>
      <c r="E64" s="59">
        <v>44882.0</v>
      </c>
      <c r="F64" s="57" t="str">
        <f t="shared" si="1"/>
        <v>+998</v>
      </c>
      <c r="G64" s="57" t="s">
        <v>512</v>
      </c>
      <c r="H64" s="57" t="s">
        <v>513</v>
      </c>
      <c r="I64" s="57" t="s">
        <v>514</v>
      </c>
      <c r="J64" s="57" t="str">
        <f t="array" ref="J64">XLOOKUP(F64,'коды стран'!$B$2:$B$7,'коды стран'!$A$2:$A$7)</f>
        <v>Узбекистан</v>
      </c>
    </row>
    <row r="65" ht="14.25" customHeight="1">
      <c r="A65" s="57">
        <v>346.0</v>
      </c>
      <c r="B65" s="57" t="s">
        <v>515</v>
      </c>
      <c r="C65" s="57" t="s">
        <v>516</v>
      </c>
      <c r="D65" s="57" t="s">
        <v>205</v>
      </c>
      <c r="E65" s="59">
        <v>44636.0</v>
      </c>
      <c r="F65" s="57" t="str">
        <f t="shared" si="1"/>
        <v>+7</v>
      </c>
      <c r="G65" s="57" t="s">
        <v>517</v>
      </c>
      <c r="H65" s="57" t="s">
        <v>518</v>
      </c>
      <c r="I65" s="57" t="s">
        <v>519</v>
      </c>
      <c r="J65" s="57" t="str">
        <f t="array" ref="J65">XLOOKUP(F65,'коды стран'!$B$2:$B$7,'коды стран'!$A$2:$A$7)</f>
        <v>Россия</v>
      </c>
    </row>
    <row r="66" ht="14.25" customHeight="1">
      <c r="A66" s="57">
        <v>415.0</v>
      </c>
      <c r="B66" s="57" t="s">
        <v>520</v>
      </c>
      <c r="C66" s="57" t="s">
        <v>521</v>
      </c>
      <c r="D66" s="57" t="s">
        <v>205</v>
      </c>
      <c r="E66" s="59">
        <v>44661.0</v>
      </c>
      <c r="F66" s="57" t="str">
        <f t="shared" si="1"/>
        <v>+380</v>
      </c>
      <c r="G66" s="57" t="s">
        <v>517</v>
      </c>
      <c r="H66" s="57" t="s">
        <v>522</v>
      </c>
      <c r="I66" s="57" t="s">
        <v>523</v>
      </c>
      <c r="J66" s="57" t="str">
        <f t="array" ref="J66">XLOOKUP(F66,'коды стран'!$B$2:$B$7,'коды стран'!$A$2:$A$7)</f>
        <v>Украина</v>
      </c>
    </row>
    <row r="67" ht="14.25" customHeight="1">
      <c r="A67" s="57">
        <v>115.0</v>
      </c>
      <c r="B67" s="57" t="s">
        <v>524</v>
      </c>
      <c r="C67" s="57" t="s">
        <v>525</v>
      </c>
      <c r="D67" s="57" t="s">
        <v>205</v>
      </c>
      <c r="E67" s="59">
        <v>44832.0</v>
      </c>
      <c r="F67" s="57" t="str">
        <f t="shared" si="1"/>
        <v>+375</v>
      </c>
      <c r="G67" s="57" t="s">
        <v>526</v>
      </c>
      <c r="H67" s="57" t="s">
        <v>248</v>
      </c>
      <c r="I67" s="57" t="s">
        <v>527</v>
      </c>
      <c r="J67" s="57" t="str">
        <f t="array" ref="J67">XLOOKUP(F67,'коды стран'!$B$2:$B$7,'коды стран'!$A$2:$A$7)</f>
        <v>Беларусь</v>
      </c>
    </row>
    <row r="68" ht="14.25" customHeight="1">
      <c r="A68" s="57">
        <v>42.0</v>
      </c>
      <c r="B68" s="57" t="s">
        <v>528</v>
      </c>
      <c r="C68" s="57" t="s">
        <v>529</v>
      </c>
      <c r="D68" s="57" t="s">
        <v>205</v>
      </c>
      <c r="E68" s="59">
        <v>44783.0</v>
      </c>
      <c r="F68" s="57" t="str">
        <f t="shared" si="1"/>
        <v>+992</v>
      </c>
      <c r="G68" s="57" t="s">
        <v>530</v>
      </c>
      <c r="H68" s="57" t="s">
        <v>292</v>
      </c>
      <c r="I68" s="57" t="s">
        <v>531</v>
      </c>
      <c r="J68" s="57" t="str">
        <f t="array" ref="J68">XLOOKUP(F68,'коды стран'!$B$2:$B$7,'коды стран'!$A$2:$A$7)</f>
        <v>Таджикистан</v>
      </c>
    </row>
    <row r="69" ht="14.25" customHeight="1">
      <c r="A69" s="57">
        <v>378.0</v>
      </c>
      <c r="B69" s="57" t="s">
        <v>532</v>
      </c>
      <c r="C69" s="57" t="s">
        <v>533</v>
      </c>
      <c r="D69" s="57" t="s">
        <v>206</v>
      </c>
      <c r="E69" s="59">
        <v>44710.0</v>
      </c>
      <c r="F69" s="57" t="str">
        <f t="shared" si="1"/>
        <v>+7</v>
      </c>
      <c r="G69" s="57" t="s">
        <v>534</v>
      </c>
      <c r="H69" s="57" t="s">
        <v>535</v>
      </c>
      <c r="I69" s="57" t="s">
        <v>536</v>
      </c>
      <c r="J69" s="57" t="str">
        <f t="array" ref="J69">XLOOKUP(F69,'коды стран'!$B$2:$B$7,'коды стран'!$A$2:$A$7)</f>
        <v>Россия</v>
      </c>
    </row>
    <row r="70" ht="14.25" customHeight="1">
      <c r="A70" s="57">
        <v>449.0</v>
      </c>
      <c r="B70" s="57" t="s">
        <v>537</v>
      </c>
      <c r="C70" s="57" t="s">
        <v>538</v>
      </c>
      <c r="D70" s="57" t="s">
        <v>206</v>
      </c>
      <c r="E70" s="59">
        <v>44645.0</v>
      </c>
      <c r="F70" s="57" t="str">
        <f t="shared" si="1"/>
        <v>+992</v>
      </c>
      <c r="G70" s="57" t="s">
        <v>539</v>
      </c>
      <c r="H70" s="57" t="s">
        <v>540</v>
      </c>
      <c r="I70" s="57" t="s">
        <v>541</v>
      </c>
      <c r="J70" s="57" t="str">
        <f t="array" ref="J70">XLOOKUP(F70,'коды стран'!$B$2:$B$7,'коды стран'!$A$2:$A$7)</f>
        <v>Таджикистан</v>
      </c>
    </row>
    <row r="71" ht="14.25" customHeight="1">
      <c r="A71" s="57">
        <v>317.0</v>
      </c>
      <c r="B71" s="57" t="s">
        <v>542</v>
      </c>
      <c r="C71" s="57" t="s">
        <v>543</v>
      </c>
      <c r="D71" s="57" t="s">
        <v>206</v>
      </c>
      <c r="E71" s="59">
        <v>44770.0</v>
      </c>
      <c r="F71" s="57" t="str">
        <f t="shared" si="1"/>
        <v>+7</v>
      </c>
      <c r="G71" s="57" t="s">
        <v>544</v>
      </c>
      <c r="H71" s="57" t="s">
        <v>545</v>
      </c>
      <c r="I71" s="57" t="s">
        <v>466</v>
      </c>
      <c r="J71" s="57" t="str">
        <f t="array" ref="J71">XLOOKUP(F71,'коды стран'!$B$2:$B$7,'коды стран'!$A$2:$A$7)</f>
        <v>Россия</v>
      </c>
    </row>
    <row r="72" ht="14.25" customHeight="1">
      <c r="A72" s="57">
        <v>426.0</v>
      </c>
      <c r="B72" s="57" t="s">
        <v>546</v>
      </c>
      <c r="C72" s="57" t="s">
        <v>547</v>
      </c>
      <c r="D72" s="57" t="s">
        <v>205</v>
      </c>
      <c r="E72" s="59">
        <v>44768.0</v>
      </c>
      <c r="F72" s="57" t="str">
        <f t="shared" si="1"/>
        <v>+992</v>
      </c>
      <c r="G72" s="57" t="s">
        <v>548</v>
      </c>
      <c r="H72" s="57" t="s">
        <v>223</v>
      </c>
      <c r="I72" s="57" t="s">
        <v>549</v>
      </c>
      <c r="J72" s="57" t="str">
        <f t="array" ref="J72">XLOOKUP(F72,'коды стран'!$B$2:$B$7,'коды стран'!$A$2:$A$7)</f>
        <v>Таджикистан</v>
      </c>
    </row>
    <row r="73" ht="14.25" customHeight="1">
      <c r="A73" s="57">
        <v>25.0</v>
      </c>
      <c r="B73" s="57" t="s">
        <v>550</v>
      </c>
      <c r="C73" s="57" t="s">
        <v>551</v>
      </c>
      <c r="D73" s="57" t="s">
        <v>205</v>
      </c>
      <c r="E73" s="59">
        <v>44582.0</v>
      </c>
      <c r="F73" s="57" t="str">
        <f t="shared" si="1"/>
        <v>+992</v>
      </c>
      <c r="G73" s="57" t="s">
        <v>552</v>
      </c>
      <c r="H73" s="57" t="s">
        <v>553</v>
      </c>
      <c r="I73" s="57" t="s">
        <v>554</v>
      </c>
      <c r="J73" s="57" t="str">
        <f t="array" ref="J73">XLOOKUP(F73,'коды стран'!$B$2:$B$7,'коды стран'!$A$2:$A$7)</f>
        <v>Таджикистан</v>
      </c>
    </row>
    <row r="74" ht="14.25" customHeight="1">
      <c r="A74" s="57">
        <v>462.0</v>
      </c>
      <c r="B74" s="57" t="s">
        <v>555</v>
      </c>
      <c r="C74" s="57" t="s">
        <v>556</v>
      </c>
      <c r="D74" s="57" t="s">
        <v>205</v>
      </c>
      <c r="E74" s="59">
        <v>44751.0</v>
      </c>
      <c r="F74" s="57" t="str">
        <f t="shared" si="1"/>
        <v>+7</v>
      </c>
      <c r="G74" s="57" t="s">
        <v>557</v>
      </c>
      <c r="H74" s="57" t="s">
        <v>332</v>
      </c>
      <c r="I74" s="57" t="s">
        <v>558</v>
      </c>
      <c r="J74" s="57" t="str">
        <f t="array" ref="J74">XLOOKUP(F74,'коды стран'!$B$2:$B$7,'коды стран'!$A$2:$A$7)</f>
        <v>Россия</v>
      </c>
    </row>
    <row r="75" ht="14.25" customHeight="1">
      <c r="A75" s="57">
        <v>252.0</v>
      </c>
      <c r="B75" s="57" t="s">
        <v>559</v>
      </c>
      <c r="C75" s="57" t="s">
        <v>560</v>
      </c>
      <c r="D75" s="57" t="s">
        <v>206</v>
      </c>
      <c r="E75" s="59">
        <v>44643.0</v>
      </c>
      <c r="F75" s="57" t="str">
        <f t="shared" si="1"/>
        <v>+7</v>
      </c>
      <c r="G75" s="57" t="s">
        <v>561</v>
      </c>
      <c r="H75" s="57" t="s">
        <v>378</v>
      </c>
      <c r="I75" s="57" t="s">
        <v>562</v>
      </c>
      <c r="J75" s="57" t="str">
        <f t="array" ref="J75">XLOOKUP(F75,'коды стран'!$B$2:$B$7,'коды стран'!$A$2:$A$7)</f>
        <v>Россия</v>
      </c>
    </row>
    <row r="76" ht="14.25" customHeight="1">
      <c r="A76" s="57">
        <v>392.0</v>
      </c>
      <c r="B76" s="57" t="s">
        <v>563</v>
      </c>
      <c r="C76" s="57" t="s">
        <v>564</v>
      </c>
      <c r="D76" s="57" t="s">
        <v>206</v>
      </c>
      <c r="E76" s="59">
        <v>44919.0</v>
      </c>
      <c r="F76" s="57" t="str">
        <f t="shared" si="1"/>
        <v>+7</v>
      </c>
      <c r="G76" s="57" t="s">
        <v>565</v>
      </c>
      <c r="H76" s="57" t="s">
        <v>566</v>
      </c>
      <c r="I76" s="57" t="s">
        <v>567</v>
      </c>
      <c r="J76" s="57" t="str">
        <f t="array" ref="J76">XLOOKUP(F76,'коды стран'!$B$2:$B$7,'коды стран'!$A$2:$A$7)</f>
        <v>Россия</v>
      </c>
    </row>
    <row r="77" ht="14.25" customHeight="1">
      <c r="A77" s="57">
        <v>487.0</v>
      </c>
      <c r="B77" s="57" t="s">
        <v>568</v>
      </c>
      <c r="C77" s="57" t="s">
        <v>569</v>
      </c>
      <c r="D77" s="57" t="s">
        <v>205</v>
      </c>
      <c r="E77" s="59">
        <v>44815.0</v>
      </c>
      <c r="F77" s="57" t="str">
        <f t="shared" si="1"/>
        <v>+7</v>
      </c>
      <c r="G77" s="57" t="s">
        <v>570</v>
      </c>
      <c r="H77" s="57" t="s">
        <v>262</v>
      </c>
      <c r="I77" s="57" t="s">
        <v>571</v>
      </c>
      <c r="J77" s="57" t="str">
        <f t="array" ref="J77">XLOOKUP(F77,'коды стран'!$B$2:$B$7,'коды стран'!$A$2:$A$7)</f>
        <v>Россия</v>
      </c>
    </row>
    <row r="78" ht="14.25" customHeight="1">
      <c r="A78" s="57">
        <v>134.0</v>
      </c>
      <c r="B78" s="57" t="s">
        <v>572</v>
      </c>
      <c r="C78" s="57" t="s">
        <v>573</v>
      </c>
      <c r="D78" s="57" t="s">
        <v>205</v>
      </c>
      <c r="E78" s="59">
        <v>44753.0</v>
      </c>
      <c r="F78" s="57" t="str">
        <f t="shared" si="1"/>
        <v>+7</v>
      </c>
      <c r="G78" s="57" t="s">
        <v>499</v>
      </c>
      <c r="H78" s="57" t="s">
        <v>248</v>
      </c>
      <c r="I78" s="57" t="s">
        <v>574</v>
      </c>
      <c r="J78" s="57" t="str">
        <f t="array" ref="J78">XLOOKUP(F78,'коды стран'!$B$2:$B$7,'коды стран'!$A$2:$A$7)</f>
        <v>Россия</v>
      </c>
    </row>
    <row r="79" ht="14.25" customHeight="1">
      <c r="A79" s="57">
        <v>11.0</v>
      </c>
      <c r="B79" s="57" t="s">
        <v>575</v>
      </c>
      <c r="C79" s="57" t="s">
        <v>576</v>
      </c>
      <c r="D79" s="57" t="s">
        <v>206</v>
      </c>
      <c r="E79" s="59">
        <v>44690.0</v>
      </c>
      <c r="F79" s="57" t="str">
        <f t="shared" si="1"/>
        <v>+992</v>
      </c>
      <c r="G79" s="57" t="s">
        <v>577</v>
      </c>
      <c r="H79" s="57" t="s">
        <v>578</v>
      </c>
      <c r="I79" s="57" t="s">
        <v>398</v>
      </c>
      <c r="J79" s="57" t="str">
        <f t="array" ref="J79">XLOOKUP(F79,'коды стран'!$B$2:$B$7,'коды стран'!$A$2:$A$7)</f>
        <v>Таджикистан</v>
      </c>
    </row>
    <row r="80" ht="14.25" customHeight="1">
      <c r="A80" s="57">
        <v>458.0</v>
      </c>
      <c r="B80" s="57" t="s">
        <v>579</v>
      </c>
      <c r="C80" s="57" t="s">
        <v>580</v>
      </c>
      <c r="D80" s="57" t="s">
        <v>205</v>
      </c>
      <c r="E80" s="59">
        <v>44694.0</v>
      </c>
      <c r="F80" s="57" t="str">
        <f t="shared" si="1"/>
        <v>+7</v>
      </c>
      <c r="G80" s="57" t="s">
        <v>247</v>
      </c>
      <c r="H80" s="57" t="s">
        <v>463</v>
      </c>
      <c r="I80" s="57" t="s">
        <v>581</v>
      </c>
      <c r="J80" s="57" t="str">
        <f t="array" ref="J80">XLOOKUP(F80,'коды стран'!$B$2:$B$7,'коды стран'!$A$2:$A$7)</f>
        <v>Россия</v>
      </c>
    </row>
    <row r="81" ht="14.25" customHeight="1">
      <c r="A81" s="57">
        <v>130.0</v>
      </c>
      <c r="B81" s="57" t="s">
        <v>582</v>
      </c>
      <c r="C81" s="57" t="s">
        <v>583</v>
      </c>
      <c r="D81" s="57" t="s">
        <v>206</v>
      </c>
      <c r="E81" s="59">
        <v>44863.0</v>
      </c>
      <c r="F81" s="57" t="str">
        <f t="shared" si="1"/>
        <v>+992</v>
      </c>
      <c r="G81" s="57" t="s">
        <v>584</v>
      </c>
      <c r="H81" s="57" t="s">
        <v>585</v>
      </c>
      <c r="I81" s="57" t="s">
        <v>586</v>
      </c>
      <c r="J81" s="57" t="str">
        <f t="array" ref="J81">XLOOKUP(F81,'коды стран'!$B$2:$B$7,'коды стран'!$A$2:$A$7)</f>
        <v>Таджикистан</v>
      </c>
    </row>
    <row r="82" ht="14.25" customHeight="1">
      <c r="A82" s="57">
        <v>330.0</v>
      </c>
      <c r="B82" s="57" t="s">
        <v>587</v>
      </c>
      <c r="C82" s="57" t="s">
        <v>588</v>
      </c>
      <c r="D82" s="57" t="s">
        <v>206</v>
      </c>
      <c r="E82" s="59">
        <v>44815.0</v>
      </c>
      <c r="F82" s="57" t="str">
        <f t="shared" si="1"/>
        <v>+998</v>
      </c>
      <c r="G82" s="57" t="s">
        <v>387</v>
      </c>
      <c r="H82" s="57" t="s">
        <v>394</v>
      </c>
      <c r="I82" s="57" t="s">
        <v>589</v>
      </c>
      <c r="J82" s="57" t="str">
        <f t="array" ref="J82">XLOOKUP(F82,'коды стран'!$B$2:$B$7,'коды стран'!$A$2:$A$7)</f>
        <v>Узбекистан</v>
      </c>
    </row>
    <row r="83" ht="14.25" customHeight="1">
      <c r="A83" s="57">
        <v>167.0</v>
      </c>
      <c r="B83" s="57" t="s">
        <v>590</v>
      </c>
      <c r="C83" s="57" t="s">
        <v>591</v>
      </c>
      <c r="D83" s="57" t="s">
        <v>205</v>
      </c>
      <c r="E83" s="59">
        <v>44563.0</v>
      </c>
      <c r="F83" s="57" t="str">
        <f t="shared" si="1"/>
        <v>+998</v>
      </c>
      <c r="G83" s="57" t="s">
        <v>592</v>
      </c>
      <c r="H83" s="57" t="s">
        <v>593</v>
      </c>
      <c r="I83" s="57" t="s">
        <v>594</v>
      </c>
      <c r="J83" s="57" t="str">
        <f t="array" ref="J83">XLOOKUP(F83,'коды стран'!$B$2:$B$7,'коды стран'!$A$2:$A$7)</f>
        <v>Узбекистан</v>
      </c>
    </row>
    <row r="84" ht="14.25" customHeight="1">
      <c r="A84" s="57">
        <v>140.0</v>
      </c>
      <c r="B84" s="57" t="s">
        <v>595</v>
      </c>
      <c r="C84" s="57" t="s">
        <v>596</v>
      </c>
      <c r="D84" s="57" t="s">
        <v>205</v>
      </c>
      <c r="E84" s="59">
        <v>44627.0</v>
      </c>
      <c r="F84" s="57" t="str">
        <f t="shared" si="1"/>
        <v>+7</v>
      </c>
      <c r="G84" s="57" t="s">
        <v>442</v>
      </c>
      <c r="H84" s="57" t="s">
        <v>481</v>
      </c>
      <c r="I84" s="57" t="s">
        <v>311</v>
      </c>
      <c r="J84" s="57" t="str">
        <f t="array" ref="J84">XLOOKUP(F84,'коды стран'!$B$2:$B$7,'коды стран'!$A$2:$A$7)</f>
        <v>Россия</v>
      </c>
    </row>
    <row r="85" ht="14.25" customHeight="1">
      <c r="A85" s="57">
        <v>423.0</v>
      </c>
      <c r="B85" s="57" t="s">
        <v>597</v>
      </c>
      <c r="C85" s="57" t="s">
        <v>598</v>
      </c>
      <c r="D85" s="57" t="s">
        <v>206</v>
      </c>
      <c r="E85" s="59">
        <v>44841.0</v>
      </c>
      <c r="F85" s="57" t="str">
        <f t="shared" si="1"/>
        <v>+375</v>
      </c>
      <c r="G85" s="57" t="s">
        <v>584</v>
      </c>
      <c r="H85" s="57" t="s">
        <v>599</v>
      </c>
      <c r="I85" s="57" t="s">
        <v>600</v>
      </c>
      <c r="J85" s="57" t="str">
        <f t="array" ref="J85">XLOOKUP(F85,'коды стран'!$B$2:$B$7,'коды стран'!$A$2:$A$7)</f>
        <v>Беларусь</v>
      </c>
    </row>
    <row r="86" ht="14.25" customHeight="1">
      <c r="A86" s="57">
        <v>365.0</v>
      </c>
      <c r="B86" s="57" t="s">
        <v>601</v>
      </c>
      <c r="C86" s="57" t="s">
        <v>602</v>
      </c>
      <c r="D86" s="57" t="s">
        <v>206</v>
      </c>
      <c r="E86" s="59">
        <v>44841.0</v>
      </c>
      <c r="F86" s="57" t="str">
        <f t="shared" si="1"/>
        <v>+375</v>
      </c>
      <c r="G86" s="57" t="s">
        <v>461</v>
      </c>
      <c r="H86" s="57" t="s">
        <v>603</v>
      </c>
      <c r="I86" s="57" t="s">
        <v>604</v>
      </c>
      <c r="J86" s="57" t="str">
        <f t="array" ref="J86">XLOOKUP(F86,'коды стран'!$B$2:$B$7,'коды стран'!$A$2:$A$7)</f>
        <v>Беларусь</v>
      </c>
    </row>
    <row r="87" ht="14.25" customHeight="1">
      <c r="A87" s="57">
        <v>452.0</v>
      </c>
      <c r="B87" s="57" t="s">
        <v>605</v>
      </c>
      <c r="C87" s="57" t="s">
        <v>606</v>
      </c>
      <c r="D87" s="57" t="s">
        <v>205</v>
      </c>
      <c r="E87" s="59">
        <v>44769.0</v>
      </c>
      <c r="F87" s="57" t="str">
        <f t="shared" si="1"/>
        <v>+7</v>
      </c>
      <c r="G87" s="57" t="s">
        <v>335</v>
      </c>
      <c r="H87" s="57" t="s">
        <v>448</v>
      </c>
      <c r="I87" s="57" t="s">
        <v>607</v>
      </c>
      <c r="J87" s="57" t="str">
        <f t="array" ref="J87">XLOOKUP(F87,'коды стран'!$B$2:$B$7,'коды стран'!$A$2:$A$7)</f>
        <v>Россия</v>
      </c>
    </row>
    <row r="88" ht="14.25" customHeight="1">
      <c r="A88" s="57">
        <v>424.0</v>
      </c>
      <c r="B88" s="57" t="s">
        <v>608</v>
      </c>
      <c r="C88" s="57" t="s">
        <v>609</v>
      </c>
      <c r="D88" s="57" t="s">
        <v>205</v>
      </c>
      <c r="E88" s="59">
        <v>44585.0</v>
      </c>
      <c r="F88" s="57" t="str">
        <f t="shared" si="1"/>
        <v>+7</v>
      </c>
      <c r="G88" s="57" t="s">
        <v>610</v>
      </c>
      <c r="H88" s="57" t="s">
        <v>611</v>
      </c>
      <c r="I88" s="57" t="s">
        <v>612</v>
      </c>
      <c r="J88" s="57" t="str">
        <f t="array" ref="J88">XLOOKUP(F88,'коды стран'!$B$2:$B$7,'коды стран'!$A$2:$A$7)</f>
        <v>Россия</v>
      </c>
    </row>
    <row r="89" ht="14.25" customHeight="1">
      <c r="A89" s="57">
        <v>75.0</v>
      </c>
      <c r="B89" s="57" t="s">
        <v>613</v>
      </c>
      <c r="C89" s="57" t="s">
        <v>614</v>
      </c>
      <c r="D89" s="57" t="s">
        <v>206</v>
      </c>
      <c r="E89" s="59">
        <v>44796.0</v>
      </c>
      <c r="F89" s="57" t="str">
        <f t="shared" si="1"/>
        <v>+380</v>
      </c>
      <c r="G89" s="57" t="s">
        <v>615</v>
      </c>
      <c r="H89" s="57" t="s">
        <v>287</v>
      </c>
      <c r="I89" s="57" t="s">
        <v>616</v>
      </c>
      <c r="J89" s="57" t="str">
        <f t="array" ref="J89">XLOOKUP(F89,'коды стран'!$B$2:$B$7,'коды стран'!$A$2:$A$7)</f>
        <v>Украина</v>
      </c>
    </row>
    <row r="90" ht="14.25" customHeight="1">
      <c r="A90" s="57">
        <v>71.0</v>
      </c>
      <c r="B90" s="57" t="s">
        <v>617</v>
      </c>
      <c r="C90" s="57" t="s">
        <v>618</v>
      </c>
      <c r="D90" s="57" t="s">
        <v>205</v>
      </c>
      <c r="E90" s="59">
        <v>44762.0</v>
      </c>
      <c r="F90" s="57" t="str">
        <f t="shared" si="1"/>
        <v>+380</v>
      </c>
      <c r="G90" s="57" t="s">
        <v>619</v>
      </c>
      <c r="H90" s="57" t="s">
        <v>480</v>
      </c>
      <c r="I90" s="57" t="s">
        <v>620</v>
      </c>
      <c r="J90" s="57" t="str">
        <f t="array" ref="J90">XLOOKUP(F90,'коды стран'!$B$2:$B$7,'коды стран'!$A$2:$A$7)</f>
        <v>Украина</v>
      </c>
    </row>
    <row r="91" ht="14.25" customHeight="1">
      <c r="A91" s="57">
        <v>313.0</v>
      </c>
      <c r="B91" s="57" t="s">
        <v>621</v>
      </c>
      <c r="C91" s="57" t="s">
        <v>622</v>
      </c>
      <c r="D91" s="57" t="s">
        <v>205</v>
      </c>
      <c r="E91" s="59">
        <v>44896.0</v>
      </c>
      <c r="F91" s="57" t="str">
        <f t="shared" si="1"/>
        <v>+998</v>
      </c>
      <c r="G91" s="57" t="s">
        <v>623</v>
      </c>
      <c r="H91" s="57" t="s">
        <v>624</v>
      </c>
      <c r="I91" s="57" t="s">
        <v>625</v>
      </c>
      <c r="J91" s="57" t="str">
        <f t="array" ref="J91">XLOOKUP(F91,'коды стран'!$B$2:$B$7,'коды стран'!$A$2:$A$7)</f>
        <v>Узбекистан</v>
      </c>
    </row>
    <row r="92" ht="14.25" customHeight="1">
      <c r="A92" s="57">
        <v>301.0</v>
      </c>
      <c r="B92" s="57" t="s">
        <v>626</v>
      </c>
      <c r="C92" s="57" t="s">
        <v>627</v>
      </c>
      <c r="D92" s="57" t="s">
        <v>205</v>
      </c>
      <c r="E92" s="59">
        <v>44714.0</v>
      </c>
      <c r="F92" s="57" t="str">
        <f t="shared" si="1"/>
        <v>+7</v>
      </c>
      <c r="G92" s="57" t="s">
        <v>628</v>
      </c>
      <c r="H92" s="57" t="s">
        <v>629</v>
      </c>
      <c r="I92" s="57" t="s">
        <v>365</v>
      </c>
      <c r="J92" s="57" t="str">
        <f t="array" ref="J92">XLOOKUP(F92,'коды стран'!$B$2:$B$7,'коды стран'!$A$2:$A$7)</f>
        <v>Россия</v>
      </c>
    </row>
    <row r="93" ht="14.25" customHeight="1">
      <c r="A93" s="57">
        <v>359.0</v>
      </c>
      <c r="B93" s="57" t="s">
        <v>630</v>
      </c>
      <c r="C93" s="57" t="s">
        <v>631</v>
      </c>
      <c r="D93" s="57" t="s">
        <v>206</v>
      </c>
      <c r="E93" s="59">
        <v>44584.0</v>
      </c>
      <c r="F93" s="57" t="str">
        <f t="shared" si="1"/>
        <v>+7</v>
      </c>
      <c r="G93" s="57" t="s">
        <v>379</v>
      </c>
      <c r="H93" s="57" t="s">
        <v>632</v>
      </c>
      <c r="I93" s="57" t="s">
        <v>633</v>
      </c>
      <c r="J93" s="57" t="str">
        <f t="array" ref="J93">XLOOKUP(F93,'коды стран'!$B$2:$B$7,'коды стран'!$A$2:$A$7)</f>
        <v>Россия</v>
      </c>
    </row>
    <row r="94" ht="14.25" customHeight="1">
      <c r="A94" s="57">
        <v>474.0</v>
      </c>
      <c r="B94" s="57" t="s">
        <v>634</v>
      </c>
      <c r="C94" s="57" t="s">
        <v>635</v>
      </c>
      <c r="D94" s="57" t="s">
        <v>206</v>
      </c>
      <c r="E94" s="59">
        <v>44605.0</v>
      </c>
      <c r="F94" s="57" t="str">
        <f t="shared" si="1"/>
        <v>+7</v>
      </c>
      <c r="G94" s="57" t="s">
        <v>237</v>
      </c>
      <c r="H94" s="57" t="s">
        <v>636</v>
      </c>
      <c r="I94" s="57" t="s">
        <v>637</v>
      </c>
      <c r="J94" s="57" t="str">
        <f t="array" ref="J94">XLOOKUP(F94,'коды стран'!$B$2:$B$7,'коды стран'!$A$2:$A$7)</f>
        <v>Россия</v>
      </c>
    </row>
    <row r="95" ht="14.25" customHeight="1">
      <c r="A95" s="57">
        <v>111.0</v>
      </c>
      <c r="B95" s="57" t="s">
        <v>638</v>
      </c>
      <c r="C95" s="57" t="s">
        <v>639</v>
      </c>
      <c r="D95" s="57" t="s">
        <v>205</v>
      </c>
      <c r="E95" s="59">
        <v>44804.0</v>
      </c>
      <c r="F95" s="57" t="str">
        <f t="shared" si="1"/>
        <v>+998</v>
      </c>
      <c r="G95" s="57" t="s">
        <v>475</v>
      </c>
      <c r="H95" s="57" t="s">
        <v>640</v>
      </c>
      <c r="I95" s="57" t="s">
        <v>244</v>
      </c>
      <c r="J95" s="57" t="str">
        <f t="array" ref="J95">XLOOKUP(F95,'коды стран'!$B$2:$B$7,'коды стран'!$A$2:$A$7)</f>
        <v>Узбекистан</v>
      </c>
    </row>
    <row r="96" ht="14.25" customHeight="1">
      <c r="A96" s="57">
        <v>126.0</v>
      </c>
      <c r="B96" s="57" t="s">
        <v>641</v>
      </c>
      <c r="C96" s="57" t="s">
        <v>642</v>
      </c>
      <c r="D96" s="57" t="s">
        <v>205</v>
      </c>
      <c r="E96" s="59">
        <v>44822.0</v>
      </c>
      <c r="F96" s="57" t="str">
        <f t="shared" si="1"/>
        <v>+998</v>
      </c>
      <c r="G96" s="57" t="s">
        <v>643</v>
      </c>
      <c r="H96" s="57" t="s">
        <v>644</v>
      </c>
      <c r="I96" s="57" t="s">
        <v>645</v>
      </c>
      <c r="J96" s="57" t="str">
        <f t="array" ref="J96">XLOOKUP(F96,'коды стран'!$B$2:$B$7,'коды стран'!$A$2:$A$7)</f>
        <v>Узбекистан</v>
      </c>
    </row>
    <row r="97" ht="14.25" customHeight="1">
      <c r="A97" s="57">
        <v>356.0</v>
      </c>
      <c r="B97" s="57" t="s">
        <v>646</v>
      </c>
      <c r="C97" s="57" t="s">
        <v>647</v>
      </c>
      <c r="D97" s="57" t="s">
        <v>206</v>
      </c>
      <c r="E97" s="59">
        <v>44570.0</v>
      </c>
      <c r="F97" s="57" t="str">
        <f t="shared" si="1"/>
        <v>+992</v>
      </c>
      <c r="G97" s="57" t="s">
        <v>648</v>
      </c>
      <c r="H97" s="57" t="s">
        <v>649</v>
      </c>
      <c r="I97" s="57" t="s">
        <v>620</v>
      </c>
      <c r="J97" s="57" t="str">
        <f t="array" ref="J97">XLOOKUP(F97,'коды стран'!$B$2:$B$7,'коды стран'!$A$2:$A$7)</f>
        <v>Таджикистан</v>
      </c>
    </row>
    <row r="98" ht="14.25" customHeight="1">
      <c r="A98" s="57">
        <v>166.0</v>
      </c>
      <c r="B98" s="57" t="s">
        <v>650</v>
      </c>
      <c r="C98" s="57" t="s">
        <v>651</v>
      </c>
      <c r="D98" s="57" t="s">
        <v>205</v>
      </c>
      <c r="E98" s="59">
        <v>44796.0</v>
      </c>
      <c r="F98" s="57" t="str">
        <f t="shared" si="1"/>
        <v>+998</v>
      </c>
      <c r="G98" s="57" t="s">
        <v>652</v>
      </c>
      <c r="H98" s="57" t="s">
        <v>653</v>
      </c>
      <c r="I98" s="57" t="s">
        <v>522</v>
      </c>
      <c r="J98" s="57" t="str">
        <f t="array" ref="J98">XLOOKUP(F98,'коды стран'!$B$2:$B$7,'коды стран'!$A$2:$A$7)</f>
        <v>Узбекистан</v>
      </c>
    </row>
    <row r="99" ht="14.25" customHeight="1">
      <c r="A99" s="57">
        <v>162.0</v>
      </c>
      <c r="B99" s="57" t="s">
        <v>654</v>
      </c>
      <c r="C99" s="57" t="s">
        <v>655</v>
      </c>
      <c r="D99" s="57" t="s">
        <v>206</v>
      </c>
      <c r="E99" s="59">
        <v>44639.0</v>
      </c>
      <c r="F99" s="57" t="str">
        <f t="shared" si="1"/>
        <v>+992</v>
      </c>
      <c r="G99" s="57" t="s">
        <v>656</v>
      </c>
      <c r="H99" s="57" t="s">
        <v>657</v>
      </c>
      <c r="I99" s="57" t="s">
        <v>658</v>
      </c>
      <c r="J99" s="57" t="str">
        <f t="array" ref="J99">XLOOKUP(F99,'коды стран'!$B$2:$B$7,'коды стран'!$A$2:$A$7)</f>
        <v>Таджикистан</v>
      </c>
    </row>
    <row r="100" ht="14.25" customHeight="1">
      <c r="A100" s="57">
        <v>459.0</v>
      </c>
      <c r="B100" s="57" t="s">
        <v>659</v>
      </c>
      <c r="C100" s="57" t="s">
        <v>660</v>
      </c>
      <c r="D100" s="57" t="s">
        <v>205</v>
      </c>
      <c r="E100" s="59">
        <v>44743.0</v>
      </c>
      <c r="F100" s="57" t="str">
        <f t="shared" si="1"/>
        <v>+7</v>
      </c>
      <c r="G100" s="57" t="s">
        <v>661</v>
      </c>
      <c r="H100" s="57" t="s">
        <v>662</v>
      </c>
      <c r="I100" s="57" t="s">
        <v>663</v>
      </c>
      <c r="J100" s="57" t="str">
        <f t="array" ref="J100">XLOOKUP(F100,'коды стран'!$B$2:$B$7,'коды стран'!$A$2:$A$7)</f>
        <v>Россия</v>
      </c>
    </row>
    <row r="101" ht="14.25" customHeight="1">
      <c r="A101" s="57">
        <v>211.0</v>
      </c>
      <c r="B101" s="57" t="s">
        <v>664</v>
      </c>
      <c r="C101" s="57" t="s">
        <v>665</v>
      </c>
      <c r="D101" s="57" t="s">
        <v>206</v>
      </c>
      <c r="E101" s="59">
        <v>44621.0</v>
      </c>
      <c r="F101" s="57" t="str">
        <f t="shared" si="1"/>
        <v>+380</v>
      </c>
      <c r="G101" s="57" t="s">
        <v>666</v>
      </c>
      <c r="H101" s="57" t="s">
        <v>471</v>
      </c>
      <c r="I101" s="57" t="s">
        <v>406</v>
      </c>
      <c r="J101" s="57" t="str">
        <f t="array" ref="J101">XLOOKUP(F101,'коды стран'!$B$2:$B$7,'коды стран'!$A$2:$A$7)</f>
        <v>Украина</v>
      </c>
    </row>
    <row r="102" ht="14.25" customHeight="1">
      <c r="A102" s="57">
        <v>132.0</v>
      </c>
      <c r="B102" s="57" t="s">
        <v>667</v>
      </c>
      <c r="C102" s="57" t="s">
        <v>668</v>
      </c>
      <c r="D102" s="57" t="s">
        <v>205</v>
      </c>
      <c r="E102" s="59">
        <v>44601.0</v>
      </c>
      <c r="F102" s="57" t="str">
        <f t="shared" si="1"/>
        <v>+380</v>
      </c>
      <c r="G102" s="57" t="s">
        <v>669</v>
      </c>
      <c r="H102" s="57" t="s">
        <v>670</v>
      </c>
      <c r="I102" s="57" t="s">
        <v>671</v>
      </c>
      <c r="J102" s="57" t="str">
        <f t="array" ref="J102">XLOOKUP(F102,'коды стран'!$B$2:$B$7,'коды стран'!$A$2:$A$7)</f>
        <v>Украина</v>
      </c>
    </row>
    <row r="103" ht="14.25" customHeight="1">
      <c r="A103" s="57">
        <v>333.0</v>
      </c>
      <c r="B103" s="57" t="s">
        <v>672</v>
      </c>
      <c r="C103" s="57" t="s">
        <v>673</v>
      </c>
      <c r="D103" s="57" t="s">
        <v>205</v>
      </c>
      <c r="E103" s="59">
        <v>44857.0</v>
      </c>
      <c r="F103" s="57" t="str">
        <f t="shared" si="1"/>
        <v>+7</v>
      </c>
      <c r="G103" s="57" t="s">
        <v>674</v>
      </c>
      <c r="H103" s="57" t="s">
        <v>228</v>
      </c>
      <c r="I103" s="57" t="s">
        <v>336</v>
      </c>
      <c r="J103" s="57" t="str">
        <f t="array" ref="J103">XLOOKUP(F103,'коды стран'!$B$2:$B$7,'коды стран'!$A$2:$A$7)</f>
        <v>Россия</v>
      </c>
    </row>
    <row r="104" ht="14.25" customHeight="1">
      <c r="A104" s="57">
        <v>298.0</v>
      </c>
      <c r="B104" s="57" t="s">
        <v>675</v>
      </c>
      <c r="C104" s="57" t="s">
        <v>676</v>
      </c>
      <c r="D104" s="57" t="s">
        <v>205</v>
      </c>
      <c r="E104" s="59">
        <v>44821.0</v>
      </c>
      <c r="F104" s="57" t="str">
        <f t="shared" si="1"/>
        <v>+380</v>
      </c>
      <c r="G104" s="57" t="s">
        <v>677</v>
      </c>
      <c r="H104" s="57" t="s">
        <v>471</v>
      </c>
      <c r="I104" s="57" t="s">
        <v>238</v>
      </c>
      <c r="J104" s="57" t="str">
        <f t="array" ref="J104">XLOOKUP(F104,'коды стран'!$B$2:$B$7,'коды стран'!$A$2:$A$7)</f>
        <v>Украина</v>
      </c>
    </row>
    <row r="105" ht="14.25" customHeight="1">
      <c r="A105" s="57">
        <v>273.0</v>
      </c>
      <c r="B105" s="57" t="s">
        <v>678</v>
      </c>
      <c r="C105" s="57" t="s">
        <v>679</v>
      </c>
      <c r="D105" s="57" t="s">
        <v>206</v>
      </c>
      <c r="E105" s="59">
        <v>44599.0</v>
      </c>
      <c r="F105" s="57" t="str">
        <f t="shared" si="1"/>
        <v>+998</v>
      </c>
      <c r="G105" s="57" t="s">
        <v>680</v>
      </c>
      <c r="H105" s="57" t="s">
        <v>681</v>
      </c>
      <c r="I105" s="57" t="s">
        <v>243</v>
      </c>
      <c r="J105" s="57" t="str">
        <f t="array" ref="J105">XLOOKUP(F105,'коды стран'!$B$2:$B$7,'коды стран'!$A$2:$A$7)</f>
        <v>Узбекистан</v>
      </c>
    </row>
    <row r="106" ht="14.25" customHeight="1">
      <c r="A106" s="57">
        <v>321.0</v>
      </c>
      <c r="B106" s="57" t="s">
        <v>682</v>
      </c>
      <c r="C106" s="57" t="s">
        <v>683</v>
      </c>
      <c r="D106" s="57" t="s">
        <v>206</v>
      </c>
      <c r="E106" s="59">
        <v>44756.0</v>
      </c>
      <c r="F106" s="57" t="str">
        <f t="shared" si="1"/>
        <v>+992</v>
      </c>
      <c r="G106" s="57" t="s">
        <v>684</v>
      </c>
      <c r="H106" s="57" t="s">
        <v>685</v>
      </c>
      <c r="I106" s="57" t="s">
        <v>686</v>
      </c>
      <c r="J106" s="57" t="str">
        <f t="array" ref="J106">XLOOKUP(F106,'коды стран'!$B$2:$B$7,'коды стран'!$A$2:$A$7)</f>
        <v>Таджикистан</v>
      </c>
    </row>
    <row r="107" ht="14.25" customHeight="1">
      <c r="A107" s="57">
        <v>119.0</v>
      </c>
      <c r="B107" s="57" t="s">
        <v>687</v>
      </c>
      <c r="C107" s="57" t="s">
        <v>688</v>
      </c>
      <c r="D107" s="57" t="s">
        <v>206</v>
      </c>
      <c r="E107" s="59">
        <v>44690.0</v>
      </c>
      <c r="F107" s="57" t="str">
        <f t="shared" si="1"/>
        <v>+7</v>
      </c>
      <c r="G107" s="57" t="s">
        <v>689</v>
      </c>
      <c r="H107" s="57" t="s">
        <v>253</v>
      </c>
      <c r="I107" s="57" t="s">
        <v>690</v>
      </c>
      <c r="J107" s="57" t="str">
        <f t="array" ref="J107">XLOOKUP(F107,'коды стран'!$B$2:$B$7,'коды стран'!$A$2:$A$7)</f>
        <v>Россия</v>
      </c>
    </row>
    <row r="108" ht="14.25" customHeight="1">
      <c r="A108" s="57">
        <v>472.0</v>
      </c>
      <c r="B108" s="57" t="s">
        <v>691</v>
      </c>
      <c r="C108" s="57" t="s">
        <v>692</v>
      </c>
      <c r="D108" s="57" t="s">
        <v>206</v>
      </c>
      <c r="E108" s="59">
        <v>44901.0</v>
      </c>
      <c r="F108" s="57" t="str">
        <f t="shared" si="1"/>
        <v>+380</v>
      </c>
      <c r="G108" s="57" t="s">
        <v>693</v>
      </c>
      <c r="H108" s="57" t="s">
        <v>694</v>
      </c>
      <c r="I108" s="57" t="s">
        <v>695</v>
      </c>
      <c r="J108" s="57" t="str">
        <f t="array" ref="J108">XLOOKUP(F108,'коды стран'!$B$2:$B$7,'коды стран'!$A$2:$A$7)</f>
        <v>Украина</v>
      </c>
    </row>
    <row r="109" ht="14.25" customHeight="1">
      <c r="A109" s="57">
        <v>396.0</v>
      </c>
      <c r="B109" s="57" t="s">
        <v>696</v>
      </c>
      <c r="C109" s="57" t="s">
        <v>697</v>
      </c>
      <c r="D109" s="57" t="s">
        <v>206</v>
      </c>
      <c r="E109" s="59">
        <v>44871.0</v>
      </c>
      <c r="F109" s="57" t="str">
        <f t="shared" si="1"/>
        <v>+380</v>
      </c>
      <c r="G109" s="57" t="s">
        <v>698</v>
      </c>
      <c r="H109" s="57" t="s">
        <v>699</v>
      </c>
      <c r="I109" s="57" t="s">
        <v>272</v>
      </c>
      <c r="J109" s="57" t="str">
        <f t="array" ref="J109">XLOOKUP(F109,'коды стран'!$B$2:$B$7,'коды стран'!$A$2:$A$7)</f>
        <v>Украина</v>
      </c>
    </row>
    <row r="110" ht="14.25" customHeight="1">
      <c r="A110" s="57">
        <v>269.0</v>
      </c>
      <c r="B110" s="57" t="s">
        <v>700</v>
      </c>
      <c r="C110" s="57" t="s">
        <v>701</v>
      </c>
      <c r="D110" s="57" t="s">
        <v>206</v>
      </c>
      <c r="E110" s="59">
        <v>44720.0</v>
      </c>
      <c r="F110" s="57" t="str">
        <f t="shared" si="1"/>
        <v>+7</v>
      </c>
      <c r="G110" s="57" t="s">
        <v>420</v>
      </c>
      <c r="H110" s="57" t="s">
        <v>243</v>
      </c>
      <c r="I110" s="57" t="s">
        <v>311</v>
      </c>
      <c r="J110" s="57" t="str">
        <f t="array" ref="J110">XLOOKUP(F110,'коды стран'!$B$2:$B$7,'коды стран'!$A$2:$A$7)</f>
        <v>Россия</v>
      </c>
    </row>
    <row r="111" ht="14.25" customHeight="1">
      <c r="A111" s="57">
        <v>16.0</v>
      </c>
      <c r="B111" s="57" t="s">
        <v>702</v>
      </c>
      <c r="C111" s="57" t="s">
        <v>703</v>
      </c>
      <c r="D111" s="57" t="s">
        <v>206</v>
      </c>
      <c r="E111" s="59">
        <v>44713.0</v>
      </c>
      <c r="F111" s="57" t="str">
        <f t="shared" si="1"/>
        <v>+380</v>
      </c>
      <c r="G111" s="57" t="s">
        <v>704</v>
      </c>
      <c r="H111" s="57" t="s">
        <v>705</v>
      </c>
      <c r="I111" s="57" t="s">
        <v>690</v>
      </c>
      <c r="J111" s="57" t="str">
        <f t="array" ref="J111">XLOOKUP(F111,'коды стран'!$B$2:$B$7,'коды стран'!$A$2:$A$7)</f>
        <v>Украина</v>
      </c>
    </row>
    <row r="112" ht="14.25" customHeight="1">
      <c r="A112" s="57">
        <v>281.0</v>
      </c>
      <c r="B112" s="57" t="s">
        <v>706</v>
      </c>
      <c r="C112" s="57" t="s">
        <v>707</v>
      </c>
      <c r="D112" s="57" t="s">
        <v>206</v>
      </c>
      <c r="E112" s="59">
        <v>44711.0</v>
      </c>
      <c r="F112" s="57" t="str">
        <f t="shared" si="1"/>
        <v>+998</v>
      </c>
      <c r="G112" s="57" t="s">
        <v>273</v>
      </c>
      <c r="H112" s="57" t="s">
        <v>708</v>
      </c>
      <c r="I112" s="57" t="s">
        <v>709</v>
      </c>
      <c r="J112" s="57" t="str">
        <f t="array" ref="J112">XLOOKUP(F112,'коды стран'!$B$2:$B$7,'коды стран'!$A$2:$A$7)</f>
        <v>Узбекистан</v>
      </c>
    </row>
    <row r="113" ht="14.25" customHeight="1">
      <c r="A113" s="57">
        <v>149.0</v>
      </c>
      <c r="B113" s="57" t="s">
        <v>710</v>
      </c>
      <c r="C113" s="57" t="s">
        <v>711</v>
      </c>
      <c r="D113" s="57" t="s">
        <v>205</v>
      </c>
      <c r="E113" s="59">
        <v>44882.0</v>
      </c>
      <c r="F113" s="57" t="str">
        <f t="shared" si="1"/>
        <v>+992</v>
      </c>
      <c r="G113" s="57" t="s">
        <v>712</v>
      </c>
      <c r="H113" s="57" t="s">
        <v>377</v>
      </c>
      <c r="I113" s="57" t="s">
        <v>448</v>
      </c>
      <c r="J113" s="57" t="str">
        <f t="array" ref="J113">XLOOKUP(F113,'коды стран'!$B$2:$B$7,'коды стран'!$A$2:$A$7)</f>
        <v>Таджикистан</v>
      </c>
    </row>
    <row r="114" ht="14.25" customHeight="1">
      <c r="A114" s="57">
        <v>380.0</v>
      </c>
      <c r="B114" s="57" t="s">
        <v>713</v>
      </c>
      <c r="C114" s="57" t="s">
        <v>714</v>
      </c>
      <c r="D114" s="57" t="s">
        <v>205</v>
      </c>
      <c r="E114" s="59">
        <v>44563.0</v>
      </c>
      <c r="F114" s="57" t="str">
        <f t="shared" si="1"/>
        <v>+7</v>
      </c>
      <c r="G114" s="57" t="s">
        <v>715</v>
      </c>
      <c r="H114" s="57" t="s">
        <v>716</v>
      </c>
      <c r="I114" s="57" t="s">
        <v>717</v>
      </c>
      <c r="J114" s="57" t="str">
        <f t="array" ref="J114">XLOOKUP(F114,'коды стран'!$B$2:$B$7,'коды стран'!$A$2:$A$7)</f>
        <v>Россия</v>
      </c>
    </row>
    <row r="115" ht="14.25" customHeight="1">
      <c r="A115" s="57">
        <v>114.0</v>
      </c>
      <c r="B115" s="57" t="s">
        <v>718</v>
      </c>
      <c r="C115" s="57" t="s">
        <v>719</v>
      </c>
      <c r="D115" s="57" t="s">
        <v>205</v>
      </c>
      <c r="E115" s="59">
        <v>44889.0</v>
      </c>
      <c r="F115" s="57" t="str">
        <f t="shared" si="1"/>
        <v>+7</v>
      </c>
      <c r="G115" s="57" t="s">
        <v>720</v>
      </c>
      <c r="H115" s="57" t="s">
        <v>721</v>
      </c>
      <c r="I115" s="57" t="s">
        <v>722</v>
      </c>
      <c r="J115" s="57" t="str">
        <f t="array" ref="J115">XLOOKUP(F115,'коды стран'!$B$2:$B$7,'коды стран'!$A$2:$A$7)</f>
        <v>Россия</v>
      </c>
    </row>
    <row r="116" ht="14.25" customHeight="1">
      <c r="A116" s="57">
        <v>381.0</v>
      </c>
      <c r="B116" s="57" t="s">
        <v>723</v>
      </c>
      <c r="C116" s="57" t="s">
        <v>724</v>
      </c>
      <c r="D116" s="57" t="s">
        <v>206</v>
      </c>
      <c r="E116" s="59">
        <v>44714.0</v>
      </c>
      <c r="F116" s="57" t="str">
        <f t="shared" si="1"/>
        <v>+998</v>
      </c>
      <c r="G116" s="57" t="s">
        <v>725</v>
      </c>
      <c r="H116" s="57" t="s">
        <v>726</v>
      </c>
      <c r="I116" s="57" t="s">
        <v>504</v>
      </c>
      <c r="J116" s="57" t="str">
        <f t="array" ref="J116">XLOOKUP(F116,'коды стран'!$B$2:$B$7,'коды стран'!$A$2:$A$7)</f>
        <v>Узбекистан</v>
      </c>
    </row>
    <row r="117" ht="14.25" customHeight="1">
      <c r="A117" s="57">
        <v>342.0</v>
      </c>
      <c r="B117" s="57" t="s">
        <v>727</v>
      </c>
      <c r="C117" s="57" t="s">
        <v>728</v>
      </c>
      <c r="D117" s="57" t="s">
        <v>205</v>
      </c>
      <c r="E117" s="59">
        <v>44570.0</v>
      </c>
      <c r="F117" s="57" t="str">
        <f t="shared" si="1"/>
        <v>+992</v>
      </c>
      <c r="G117" s="57" t="s">
        <v>729</v>
      </c>
      <c r="H117" s="57" t="s">
        <v>730</v>
      </c>
      <c r="I117" s="57" t="s">
        <v>731</v>
      </c>
      <c r="J117" s="57" t="str">
        <f t="array" ref="J117">XLOOKUP(F117,'коды стран'!$B$2:$B$7,'коды стран'!$A$2:$A$7)</f>
        <v>Таджикистан</v>
      </c>
    </row>
    <row r="118" ht="14.25" customHeight="1">
      <c r="A118" s="57">
        <v>276.0</v>
      </c>
      <c r="B118" s="57" t="s">
        <v>732</v>
      </c>
      <c r="C118" s="57" t="s">
        <v>733</v>
      </c>
      <c r="D118" s="57" t="s">
        <v>206</v>
      </c>
      <c r="E118" s="59">
        <v>44632.0</v>
      </c>
      <c r="F118" s="57" t="str">
        <f t="shared" si="1"/>
        <v>+992</v>
      </c>
      <c r="G118" s="57" t="s">
        <v>669</v>
      </c>
      <c r="H118" s="57" t="s">
        <v>734</v>
      </c>
      <c r="I118" s="57" t="s">
        <v>735</v>
      </c>
      <c r="J118" s="57" t="str">
        <f t="array" ref="J118">XLOOKUP(F118,'коды стран'!$B$2:$B$7,'коды стран'!$A$2:$A$7)</f>
        <v>Таджикистан</v>
      </c>
    </row>
    <row r="119" ht="14.25" customHeight="1">
      <c r="A119" s="57">
        <v>293.0</v>
      </c>
      <c r="B119" s="57" t="s">
        <v>736</v>
      </c>
      <c r="C119" s="57" t="s">
        <v>737</v>
      </c>
      <c r="D119" s="57" t="s">
        <v>205</v>
      </c>
      <c r="E119" s="59">
        <v>44573.0</v>
      </c>
      <c r="F119" s="57" t="str">
        <f t="shared" si="1"/>
        <v>+375</v>
      </c>
      <c r="G119" s="57" t="s">
        <v>263</v>
      </c>
      <c r="H119" s="57" t="s">
        <v>738</v>
      </c>
      <c r="I119" s="57" t="s">
        <v>709</v>
      </c>
      <c r="J119" s="57" t="str">
        <f t="array" ref="J119">XLOOKUP(F119,'коды стран'!$B$2:$B$7,'коды стран'!$A$2:$A$7)</f>
        <v>Беларусь</v>
      </c>
    </row>
    <row r="120" ht="14.25" customHeight="1">
      <c r="A120" s="57">
        <v>386.0</v>
      </c>
      <c r="B120" s="57" t="s">
        <v>739</v>
      </c>
      <c r="C120" s="57" t="s">
        <v>740</v>
      </c>
      <c r="D120" s="57" t="s">
        <v>205</v>
      </c>
      <c r="E120" s="59">
        <v>44734.0</v>
      </c>
      <c r="F120" s="57" t="str">
        <f t="shared" si="1"/>
        <v>+998</v>
      </c>
      <c r="G120" s="57" t="s">
        <v>741</v>
      </c>
      <c r="H120" s="57" t="s">
        <v>549</v>
      </c>
      <c r="I120" s="57" t="s">
        <v>742</v>
      </c>
      <c r="J120" s="57" t="str">
        <f t="array" ref="J120">XLOOKUP(F120,'коды стран'!$B$2:$B$7,'коды стран'!$A$2:$A$7)</f>
        <v>Узбекистан</v>
      </c>
    </row>
    <row r="121" ht="14.25" customHeight="1">
      <c r="A121" s="57">
        <v>362.0</v>
      </c>
      <c r="B121" s="57" t="s">
        <v>743</v>
      </c>
      <c r="C121" s="57" t="s">
        <v>744</v>
      </c>
      <c r="D121" s="57" t="s">
        <v>206</v>
      </c>
      <c r="E121" s="59">
        <v>44916.0</v>
      </c>
      <c r="F121" s="57" t="str">
        <f t="shared" si="1"/>
        <v>+7</v>
      </c>
      <c r="G121" s="57" t="s">
        <v>745</v>
      </c>
      <c r="H121" s="57" t="s">
        <v>746</v>
      </c>
      <c r="I121" s="57" t="s">
        <v>747</v>
      </c>
      <c r="J121" s="57" t="str">
        <f t="array" ref="J121">XLOOKUP(F121,'коды стран'!$B$2:$B$7,'коды стран'!$A$2:$A$7)</f>
        <v>Россия</v>
      </c>
    </row>
    <row r="122" ht="14.25" customHeight="1">
      <c r="A122" s="57">
        <v>283.0</v>
      </c>
      <c r="B122" s="57" t="s">
        <v>748</v>
      </c>
      <c r="C122" s="57" t="s">
        <v>749</v>
      </c>
      <c r="D122" s="57" t="s">
        <v>206</v>
      </c>
      <c r="E122" s="59">
        <v>44889.0</v>
      </c>
      <c r="F122" s="57" t="str">
        <f t="shared" si="1"/>
        <v>+992</v>
      </c>
      <c r="G122" s="57" t="s">
        <v>750</v>
      </c>
      <c r="H122" s="57" t="s">
        <v>751</v>
      </c>
      <c r="I122" s="57" t="s">
        <v>752</v>
      </c>
      <c r="J122" s="57" t="str">
        <f t="array" ref="J122">XLOOKUP(F122,'коды стран'!$B$2:$B$7,'коды стран'!$A$2:$A$7)</f>
        <v>Таджикистан</v>
      </c>
    </row>
    <row r="123" ht="14.25" customHeight="1">
      <c r="A123" s="57">
        <v>388.0</v>
      </c>
      <c r="B123" s="57" t="s">
        <v>753</v>
      </c>
      <c r="C123" s="57" t="s">
        <v>754</v>
      </c>
      <c r="D123" s="57" t="s">
        <v>205</v>
      </c>
      <c r="E123" s="59">
        <v>44581.0</v>
      </c>
      <c r="F123" s="57" t="str">
        <f t="shared" si="1"/>
        <v>+7</v>
      </c>
      <c r="G123" s="57" t="s">
        <v>356</v>
      </c>
      <c r="H123" s="57" t="s">
        <v>755</v>
      </c>
      <c r="I123" s="57" t="s">
        <v>318</v>
      </c>
      <c r="J123" s="57" t="str">
        <f t="array" ref="J123">XLOOKUP(F123,'коды стран'!$B$2:$B$7,'коды стран'!$A$2:$A$7)</f>
        <v>Россия</v>
      </c>
    </row>
    <row r="124" ht="14.25" customHeight="1">
      <c r="A124" s="57">
        <v>437.0</v>
      </c>
      <c r="B124" s="57" t="s">
        <v>756</v>
      </c>
      <c r="C124" s="57" t="s">
        <v>757</v>
      </c>
      <c r="D124" s="57" t="s">
        <v>206</v>
      </c>
      <c r="E124" s="59">
        <v>44576.0</v>
      </c>
      <c r="F124" s="57" t="str">
        <f t="shared" si="1"/>
        <v>+998</v>
      </c>
      <c r="G124" s="57" t="s">
        <v>758</v>
      </c>
      <c r="H124" s="57" t="s">
        <v>759</v>
      </c>
      <c r="I124" s="57" t="s">
        <v>760</v>
      </c>
      <c r="J124" s="57" t="str">
        <f t="array" ref="J124">XLOOKUP(F124,'коды стран'!$B$2:$B$7,'коды стран'!$A$2:$A$7)</f>
        <v>Узбекистан</v>
      </c>
    </row>
    <row r="125" ht="14.25" customHeight="1">
      <c r="A125" s="57">
        <v>450.0</v>
      </c>
      <c r="B125" s="57" t="s">
        <v>761</v>
      </c>
      <c r="C125" s="57" t="s">
        <v>762</v>
      </c>
      <c r="D125" s="57" t="s">
        <v>205</v>
      </c>
      <c r="E125" s="59">
        <v>44619.0</v>
      </c>
      <c r="F125" s="57" t="str">
        <f t="shared" si="1"/>
        <v>+7</v>
      </c>
      <c r="G125" s="57" t="s">
        <v>763</v>
      </c>
      <c r="H125" s="57" t="s">
        <v>764</v>
      </c>
      <c r="I125" s="57" t="s">
        <v>765</v>
      </c>
      <c r="J125" s="57" t="str">
        <f t="array" ref="J125">XLOOKUP(F125,'коды стран'!$B$2:$B$7,'коды стран'!$A$2:$A$7)</f>
        <v>Россия</v>
      </c>
    </row>
    <row r="126" ht="14.25" customHeight="1">
      <c r="A126" s="57">
        <v>136.0</v>
      </c>
      <c r="B126" s="57" t="s">
        <v>766</v>
      </c>
      <c r="C126" s="57" t="s">
        <v>767</v>
      </c>
      <c r="D126" s="57" t="s">
        <v>205</v>
      </c>
      <c r="E126" s="59">
        <v>44860.0</v>
      </c>
      <c r="F126" s="57" t="str">
        <f t="shared" si="1"/>
        <v>+380</v>
      </c>
      <c r="G126" s="57" t="s">
        <v>768</v>
      </c>
      <c r="H126" s="57" t="s">
        <v>769</v>
      </c>
      <c r="I126" s="57" t="s">
        <v>770</v>
      </c>
      <c r="J126" s="57" t="str">
        <f t="array" ref="J126">XLOOKUP(F126,'коды стран'!$B$2:$B$7,'коды стран'!$A$2:$A$7)</f>
        <v>Украина</v>
      </c>
    </row>
    <row r="127" ht="14.25" customHeight="1">
      <c r="A127" s="57">
        <v>61.0</v>
      </c>
      <c r="B127" s="57" t="s">
        <v>771</v>
      </c>
      <c r="C127" s="57" t="s">
        <v>772</v>
      </c>
      <c r="D127" s="57" t="s">
        <v>206</v>
      </c>
      <c r="E127" s="59">
        <v>44769.0</v>
      </c>
      <c r="F127" s="57" t="str">
        <f t="shared" si="1"/>
        <v>+992</v>
      </c>
      <c r="G127" s="57" t="s">
        <v>773</v>
      </c>
      <c r="H127" s="57" t="s">
        <v>774</v>
      </c>
      <c r="I127" s="57" t="s">
        <v>775</v>
      </c>
      <c r="J127" s="57" t="str">
        <f t="array" ref="J127">XLOOKUP(F127,'коды стран'!$B$2:$B$7,'коды стран'!$A$2:$A$7)</f>
        <v>Таджикистан</v>
      </c>
    </row>
    <row r="128" ht="14.25" customHeight="1">
      <c r="A128" s="57">
        <v>364.0</v>
      </c>
      <c r="B128" s="57" t="s">
        <v>776</v>
      </c>
      <c r="C128" s="57" t="s">
        <v>777</v>
      </c>
      <c r="D128" s="57" t="s">
        <v>205</v>
      </c>
      <c r="E128" s="59">
        <v>44883.0</v>
      </c>
      <c r="F128" s="57" t="str">
        <f t="shared" si="1"/>
        <v>+7</v>
      </c>
      <c r="G128" s="57" t="s">
        <v>778</v>
      </c>
      <c r="H128" s="57" t="s">
        <v>779</v>
      </c>
      <c r="I128" s="57" t="s">
        <v>640</v>
      </c>
      <c r="J128" s="57" t="str">
        <f t="array" ref="J128">XLOOKUP(F128,'коды стран'!$B$2:$B$7,'коды стран'!$A$2:$A$7)</f>
        <v>Россия</v>
      </c>
    </row>
    <row r="129" ht="14.25" customHeight="1">
      <c r="A129" s="57">
        <v>496.0</v>
      </c>
      <c r="B129" s="57" t="s">
        <v>780</v>
      </c>
      <c r="C129" s="57" t="s">
        <v>781</v>
      </c>
      <c r="D129" s="57" t="s">
        <v>205</v>
      </c>
      <c r="E129" s="59">
        <v>44867.0</v>
      </c>
      <c r="F129" s="57" t="str">
        <f t="shared" si="1"/>
        <v>+380</v>
      </c>
      <c r="G129" s="57" t="s">
        <v>782</v>
      </c>
      <c r="H129" s="57" t="s">
        <v>783</v>
      </c>
      <c r="I129" s="57" t="s">
        <v>784</v>
      </c>
      <c r="J129" s="57" t="str">
        <f t="array" ref="J129">XLOOKUP(F129,'коды стран'!$B$2:$B$7,'коды стран'!$A$2:$A$7)</f>
        <v>Украина</v>
      </c>
    </row>
    <row r="130" ht="14.25" customHeight="1">
      <c r="A130" s="57">
        <v>464.0</v>
      </c>
      <c r="B130" s="57" t="s">
        <v>785</v>
      </c>
      <c r="C130" s="57" t="s">
        <v>786</v>
      </c>
      <c r="D130" s="57" t="s">
        <v>206</v>
      </c>
      <c r="E130" s="59">
        <v>44827.0</v>
      </c>
      <c r="F130" s="57" t="str">
        <f t="shared" si="1"/>
        <v>+7</v>
      </c>
      <c r="G130" s="57" t="s">
        <v>234</v>
      </c>
      <c r="H130" s="57" t="s">
        <v>787</v>
      </c>
      <c r="I130" s="57" t="s">
        <v>549</v>
      </c>
      <c r="J130" s="57" t="str">
        <f t="array" ref="J130">XLOOKUP(F130,'коды стран'!$B$2:$B$7,'коды стран'!$A$2:$A$7)</f>
        <v>Россия</v>
      </c>
    </row>
    <row r="131" ht="14.25" customHeight="1">
      <c r="A131" s="57">
        <v>419.0</v>
      </c>
      <c r="B131" s="57" t="s">
        <v>788</v>
      </c>
      <c r="C131" s="57" t="s">
        <v>789</v>
      </c>
      <c r="D131" s="57" t="s">
        <v>205</v>
      </c>
      <c r="E131" s="59">
        <v>44869.0</v>
      </c>
      <c r="F131" s="57" t="str">
        <f t="shared" si="1"/>
        <v>+992</v>
      </c>
      <c r="G131" s="57" t="s">
        <v>790</v>
      </c>
      <c r="H131" s="57" t="s">
        <v>791</v>
      </c>
      <c r="I131" s="57" t="s">
        <v>792</v>
      </c>
      <c r="J131" s="57" t="str">
        <f t="array" ref="J131">XLOOKUP(F131,'коды стран'!$B$2:$B$7,'коды стран'!$A$2:$A$7)</f>
        <v>Таджикистан</v>
      </c>
    </row>
    <row r="132" ht="14.25" customHeight="1">
      <c r="A132" s="57">
        <v>247.0</v>
      </c>
      <c r="B132" s="57" t="s">
        <v>793</v>
      </c>
      <c r="C132" s="57" t="s">
        <v>794</v>
      </c>
      <c r="D132" s="57" t="s">
        <v>205</v>
      </c>
      <c r="E132" s="59">
        <v>44762.0</v>
      </c>
      <c r="F132" s="57" t="str">
        <f t="shared" si="1"/>
        <v>+998</v>
      </c>
      <c r="G132" s="57" t="s">
        <v>795</v>
      </c>
      <c r="H132" s="57" t="s">
        <v>796</v>
      </c>
      <c r="I132" s="57" t="s">
        <v>416</v>
      </c>
      <c r="J132" s="57" t="str">
        <f t="array" ref="J132">XLOOKUP(F132,'коды стран'!$B$2:$B$7,'коды стран'!$A$2:$A$7)</f>
        <v>Узбекистан</v>
      </c>
    </row>
    <row r="133" ht="14.25" customHeight="1">
      <c r="A133" s="57">
        <v>73.0</v>
      </c>
      <c r="B133" s="57" t="s">
        <v>797</v>
      </c>
      <c r="C133" s="57" t="s">
        <v>798</v>
      </c>
      <c r="D133" s="57" t="s">
        <v>205</v>
      </c>
      <c r="E133" s="59">
        <v>44665.0</v>
      </c>
      <c r="F133" s="57" t="str">
        <f t="shared" si="1"/>
        <v>+380</v>
      </c>
      <c r="G133" s="57" t="s">
        <v>799</v>
      </c>
      <c r="H133" s="57" t="s">
        <v>800</v>
      </c>
      <c r="I133" s="57" t="s">
        <v>428</v>
      </c>
      <c r="J133" s="57" t="str">
        <f t="array" ref="J133">XLOOKUP(F133,'коды стран'!$B$2:$B$7,'коды стран'!$A$2:$A$7)</f>
        <v>Украина</v>
      </c>
    </row>
    <row r="134" ht="14.25" customHeight="1">
      <c r="A134" s="57">
        <v>139.0</v>
      </c>
      <c r="B134" s="57" t="s">
        <v>801</v>
      </c>
      <c r="C134" s="57" t="s">
        <v>802</v>
      </c>
      <c r="D134" s="57" t="s">
        <v>205</v>
      </c>
      <c r="E134" s="59">
        <v>44648.0</v>
      </c>
      <c r="F134" s="57" t="str">
        <f t="shared" si="1"/>
        <v>+375</v>
      </c>
      <c r="G134" s="57" t="s">
        <v>803</v>
      </c>
      <c r="H134" s="57" t="s">
        <v>804</v>
      </c>
      <c r="I134" s="57" t="s">
        <v>805</v>
      </c>
      <c r="J134" s="57" t="str">
        <f t="array" ref="J134">XLOOKUP(F134,'коды стран'!$B$2:$B$7,'коды стран'!$A$2:$A$7)</f>
        <v>Беларусь</v>
      </c>
    </row>
    <row r="135" ht="14.25" customHeight="1">
      <c r="A135" s="57">
        <v>258.0</v>
      </c>
      <c r="B135" s="57" t="s">
        <v>806</v>
      </c>
      <c r="C135" s="57" t="s">
        <v>807</v>
      </c>
      <c r="D135" s="57" t="s">
        <v>205</v>
      </c>
      <c r="E135" s="59">
        <v>44717.0</v>
      </c>
      <c r="F135" s="57" t="str">
        <f t="shared" si="1"/>
        <v>+380</v>
      </c>
      <c r="G135" s="57" t="s">
        <v>471</v>
      </c>
      <c r="H135" s="57" t="s">
        <v>282</v>
      </c>
      <c r="I135" s="57" t="s">
        <v>808</v>
      </c>
      <c r="J135" s="57" t="str">
        <f t="array" ref="J135">XLOOKUP(F135,'коды стран'!$B$2:$B$7,'коды стран'!$A$2:$A$7)</f>
        <v>Украина</v>
      </c>
    </row>
    <row r="136" ht="14.25" customHeight="1">
      <c r="A136" s="57">
        <v>349.0</v>
      </c>
      <c r="B136" s="57" t="s">
        <v>809</v>
      </c>
      <c r="C136" s="57" t="s">
        <v>810</v>
      </c>
      <c r="D136" s="57" t="s">
        <v>206</v>
      </c>
      <c r="E136" s="59">
        <v>44673.0</v>
      </c>
      <c r="F136" s="57" t="str">
        <f t="shared" si="1"/>
        <v>+7</v>
      </c>
      <c r="G136" s="57" t="s">
        <v>811</v>
      </c>
      <c r="H136" s="57" t="s">
        <v>812</v>
      </c>
      <c r="I136" s="57" t="s">
        <v>813</v>
      </c>
      <c r="J136" s="57" t="str">
        <f t="array" ref="J136">XLOOKUP(F136,'коды стран'!$B$2:$B$7,'коды стран'!$A$2:$A$7)</f>
        <v>Россия</v>
      </c>
    </row>
    <row r="137" ht="14.25" customHeight="1">
      <c r="A137" s="57">
        <v>325.0</v>
      </c>
      <c r="B137" s="57" t="s">
        <v>814</v>
      </c>
      <c r="C137" s="57" t="s">
        <v>815</v>
      </c>
      <c r="D137" s="57" t="s">
        <v>206</v>
      </c>
      <c r="E137" s="59">
        <v>44875.0</v>
      </c>
      <c r="F137" s="57" t="str">
        <f t="shared" si="1"/>
        <v>+992</v>
      </c>
      <c r="G137" s="57" t="s">
        <v>816</v>
      </c>
      <c r="H137" s="57" t="s">
        <v>817</v>
      </c>
      <c r="I137" s="57" t="s">
        <v>818</v>
      </c>
      <c r="J137" s="57" t="str">
        <f t="array" ref="J137">XLOOKUP(F137,'коды стран'!$B$2:$B$7,'коды стран'!$A$2:$A$7)</f>
        <v>Таджикистан</v>
      </c>
    </row>
    <row r="138" ht="14.25" customHeight="1">
      <c r="A138" s="57">
        <v>250.0</v>
      </c>
      <c r="B138" s="57" t="s">
        <v>819</v>
      </c>
      <c r="C138" s="57" t="s">
        <v>820</v>
      </c>
      <c r="D138" s="57" t="s">
        <v>205</v>
      </c>
      <c r="E138" s="59">
        <v>44856.0</v>
      </c>
      <c r="F138" s="57" t="str">
        <f t="shared" si="1"/>
        <v>+7</v>
      </c>
      <c r="G138" s="57" t="s">
        <v>821</v>
      </c>
      <c r="H138" s="57" t="s">
        <v>822</v>
      </c>
      <c r="I138" s="57" t="s">
        <v>823</v>
      </c>
      <c r="J138" s="57" t="str">
        <f t="array" ref="J138">XLOOKUP(F138,'коды стран'!$B$2:$B$7,'коды стран'!$A$2:$A$7)</f>
        <v>Россия</v>
      </c>
    </row>
    <row r="139" ht="14.25" customHeight="1">
      <c r="A139" s="57">
        <v>153.0</v>
      </c>
      <c r="B139" s="57" t="s">
        <v>824</v>
      </c>
      <c r="C139" s="57" t="s">
        <v>825</v>
      </c>
      <c r="D139" s="57" t="s">
        <v>206</v>
      </c>
      <c r="E139" s="59">
        <v>44802.0</v>
      </c>
      <c r="F139" s="57" t="str">
        <f t="shared" si="1"/>
        <v>+7</v>
      </c>
      <c r="G139" s="57" t="s">
        <v>589</v>
      </c>
      <c r="H139" s="57" t="s">
        <v>534</v>
      </c>
      <c r="I139" s="57" t="s">
        <v>735</v>
      </c>
      <c r="J139" s="57" t="str">
        <f t="array" ref="J139">XLOOKUP(F139,'коды стран'!$B$2:$B$7,'коды стран'!$A$2:$A$7)</f>
        <v>Россия</v>
      </c>
    </row>
    <row r="140" ht="14.25" customHeight="1">
      <c r="A140" s="57">
        <v>286.0</v>
      </c>
      <c r="B140" s="57" t="s">
        <v>826</v>
      </c>
      <c r="C140" s="57" t="s">
        <v>827</v>
      </c>
      <c r="D140" s="57" t="s">
        <v>206</v>
      </c>
      <c r="E140" s="59">
        <v>44563.0</v>
      </c>
      <c r="F140" s="57" t="str">
        <f t="shared" si="1"/>
        <v>+992</v>
      </c>
      <c r="G140" s="57" t="s">
        <v>821</v>
      </c>
      <c r="H140" s="57" t="s">
        <v>828</v>
      </c>
      <c r="I140" s="57" t="s">
        <v>829</v>
      </c>
      <c r="J140" s="57" t="str">
        <f t="array" ref="J140">XLOOKUP(F140,'коды стран'!$B$2:$B$7,'коды стран'!$A$2:$A$7)</f>
        <v>Таджикистан</v>
      </c>
    </row>
    <row r="141" ht="14.25" customHeight="1">
      <c r="A141" s="57">
        <v>32.0</v>
      </c>
      <c r="B141" s="57" t="s">
        <v>830</v>
      </c>
      <c r="C141" s="57" t="s">
        <v>831</v>
      </c>
      <c r="D141" s="57" t="s">
        <v>205</v>
      </c>
      <c r="E141" s="59">
        <v>44922.0</v>
      </c>
      <c r="F141" s="57" t="str">
        <f t="shared" si="1"/>
        <v>+998</v>
      </c>
      <c r="G141" s="57" t="s">
        <v>832</v>
      </c>
      <c r="H141" s="57" t="s">
        <v>833</v>
      </c>
      <c r="I141" s="57" t="s">
        <v>834</v>
      </c>
      <c r="J141" s="57" t="str">
        <f t="array" ref="J141">XLOOKUP(F141,'коды стран'!$B$2:$B$7,'коды стран'!$A$2:$A$7)</f>
        <v>Узбекистан</v>
      </c>
    </row>
    <row r="142" ht="14.25" customHeight="1">
      <c r="A142" s="57">
        <v>49.0</v>
      </c>
      <c r="B142" s="57" t="s">
        <v>835</v>
      </c>
      <c r="C142" s="57" t="s">
        <v>836</v>
      </c>
      <c r="D142" s="57" t="s">
        <v>205</v>
      </c>
      <c r="E142" s="59">
        <v>44672.0</v>
      </c>
      <c r="F142" s="57" t="str">
        <f t="shared" si="1"/>
        <v>+992</v>
      </c>
      <c r="G142" s="57" t="s">
        <v>837</v>
      </c>
      <c r="H142" s="57" t="s">
        <v>838</v>
      </c>
      <c r="I142" s="57" t="s">
        <v>839</v>
      </c>
      <c r="J142" s="57" t="str">
        <f t="array" ref="J142">XLOOKUP(F142,'коды стран'!$B$2:$B$7,'коды стран'!$A$2:$A$7)</f>
        <v>Таджикистан</v>
      </c>
    </row>
    <row r="143" ht="14.25" customHeight="1">
      <c r="A143" s="57">
        <v>420.0</v>
      </c>
      <c r="B143" s="57" t="s">
        <v>840</v>
      </c>
      <c r="C143" s="57" t="s">
        <v>841</v>
      </c>
      <c r="D143" s="57" t="s">
        <v>206</v>
      </c>
      <c r="E143" s="59">
        <v>44698.0</v>
      </c>
      <c r="F143" s="57" t="str">
        <f t="shared" si="1"/>
        <v>+380</v>
      </c>
      <c r="G143" s="57" t="s">
        <v>842</v>
      </c>
      <c r="H143" s="57" t="s">
        <v>843</v>
      </c>
      <c r="I143" s="57" t="s">
        <v>730</v>
      </c>
      <c r="J143" s="57" t="str">
        <f t="array" ref="J143">XLOOKUP(F143,'коды стран'!$B$2:$B$7,'коды стран'!$A$2:$A$7)</f>
        <v>Украина</v>
      </c>
    </row>
    <row r="144" ht="14.25" customHeight="1">
      <c r="A144" s="57">
        <v>202.0</v>
      </c>
      <c r="B144" s="57" t="s">
        <v>844</v>
      </c>
      <c r="C144" s="57" t="s">
        <v>845</v>
      </c>
      <c r="D144" s="57" t="s">
        <v>206</v>
      </c>
      <c r="E144" s="59">
        <v>44766.0</v>
      </c>
      <c r="F144" s="57" t="str">
        <f t="shared" si="1"/>
        <v>+375</v>
      </c>
      <c r="G144" s="57" t="s">
        <v>846</v>
      </c>
      <c r="H144" s="57" t="s">
        <v>847</v>
      </c>
      <c r="I144" s="57" t="s">
        <v>848</v>
      </c>
      <c r="J144" s="57" t="str">
        <f t="array" ref="J144">XLOOKUP(F144,'коды стран'!$B$2:$B$7,'коды стран'!$A$2:$A$7)</f>
        <v>Беларусь</v>
      </c>
    </row>
    <row r="145" ht="14.25" customHeight="1">
      <c r="A145" s="57">
        <v>37.0</v>
      </c>
      <c r="B145" s="57" t="s">
        <v>849</v>
      </c>
      <c r="C145" s="57" t="s">
        <v>850</v>
      </c>
      <c r="D145" s="57" t="s">
        <v>205</v>
      </c>
      <c r="E145" s="59">
        <v>44728.0</v>
      </c>
      <c r="F145" s="57" t="str">
        <f t="shared" si="1"/>
        <v>+380</v>
      </c>
      <c r="G145" s="57" t="s">
        <v>851</v>
      </c>
      <c r="H145" s="57" t="s">
        <v>852</v>
      </c>
      <c r="I145" s="57" t="s">
        <v>853</v>
      </c>
      <c r="J145" s="57" t="str">
        <f t="array" ref="J145">XLOOKUP(F145,'коды стран'!$B$2:$B$7,'коды стран'!$A$2:$A$7)</f>
        <v>Украина</v>
      </c>
    </row>
    <row r="146" ht="14.25" customHeight="1">
      <c r="A146" s="57">
        <v>366.0</v>
      </c>
      <c r="B146" s="57" t="s">
        <v>854</v>
      </c>
      <c r="C146" s="57" t="s">
        <v>855</v>
      </c>
      <c r="D146" s="57" t="s">
        <v>206</v>
      </c>
      <c r="E146" s="59">
        <v>44827.0</v>
      </c>
      <c r="F146" s="57" t="str">
        <f t="shared" si="1"/>
        <v>+998</v>
      </c>
      <c r="G146" s="57" t="s">
        <v>856</v>
      </c>
      <c r="H146" s="57" t="s">
        <v>857</v>
      </c>
      <c r="I146" s="57" t="s">
        <v>858</v>
      </c>
      <c r="J146" s="57" t="str">
        <f t="array" ref="J146">XLOOKUP(F146,'коды стран'!$B$2:$B$7,'коды стран'!$A$2:$A$7)</f>
        <v>Узбекистан</v>
      </c>
    </row>
    <row r="147" ht="14.25" customHeight="1">
      <c r="A147" s="57">
        <v>434.0</v>
      </c>
      <c r="B147" s="57" t="s">
        <v>859</v>
      </c>
      <c r="C147" s="57" t="s">
        <v>860</v>
      </c>
      <c r="D147" s="57" t="s">
        <v>206</v>
      </c>
      <c r="E147" s="59">
        <v>44730.0</v>
      </c>
      <c r="F147" s="57" t="str">
        <f t="shared" si="1"/>
        <v>+380</v>
      </c>
      <c r="G147" s="57" t="s">
        <v>397</v>
      </c>
      <c r="H147" s="57" t="s">
        <v>694</v>
      </c>
      <c r="I147" s="57" t="s">
        <v>861</v>
      </c>
      <c r="J147" s="57" t="str">
        <f t="array" ref="J147">XLOOKUP(F147,'коды стран'!$B$2:$B$7,'коды стран'!$A$2:$A$7)</f>
        <v>Украина</v>
      </c>
    </row>
    <row r="148" ht="14.25" customHeight="1">
      <c r="A148" s="57">
        <v>172.0</v>
      </c>
      <c r="B148" s="57" t="s">
        <v>862</v>
      </c>
      <c r="C148" s="57" t="s">
        <v>863</v>
      </c>
      <c r="D148" s="57" t="s">
        <v>206</v>
      </c>
      <c r="E148" s="59">
        <v>44737.0</v>
      </c>
      <c r="F148" s="57" t="str">
        <f t="shared" si="1"/>
        <v>+7</v>
      </c>
      <c r="G148" s="57" t="s">
        <v>864</v>
      </c>
      <c r="H148" s="57" t="s">
        <v>865</v>
      </c>
      <c r="I148" s="57" t="s">
        <v>721</v>
      </c>
      <c r="J148" s="57" t="str">
        <f t="array" ref="J148">XLOOKUP(F148,'коды стран'!$B$2:$B$7,'коды стран'!$A$2:$A$7)</f>
        <v>Россия</v>
      </c>
    </row>
    <row r="149" ht="14.25" customHeight="1">
      <c r="A149" s="57">
        <v>52.0</v>
      </c>
      <c r="B149" s="57" t="s">
        <v>866</v>
      </c>
      <c r="C149" s="57" t="s">
        <v>867</v>
      </c>
      <c r="D149" s="57" t="s">
        <v>205</v>
      </c>
      <c r="E149" s="59">
        <v>44917.0</v>
      </c>
      <c r="F149" s="57" t="str">
        <f t="shared" si="1"/>
        <v>+7</v>
      </c>
      <c r="G149" s="57" t="s">
        <v>868</v>
      </c>
      <c r="H149" s="57" t="s">
        <v>360</v>
      </c>
      <c r="I149" s="57" t="s">
        <v>869</v>
      </c>
      <c r="J149" s="57" t="str">
        <f t="array" ref="J149">XLOOKUP(F149,'коды стран'!$B$2:$B$7,'коды стран'!$A$2:$A$7)</f>
        <v>Россия</v>
      </c>
    </row>
    <row r="150" ht="14.25" customHeight="1">
      <c r="A150" s="57">
        <v>395.0</v>
      </c>
      <c r="B150" s="57" t="s">
        <v>870</v>
      </c>
      <c r="C150" s="57" t="s">
        <v>871</v>
      </c>
      <c r="D150" s="57" t="s">
        <v>206</v>
      </c>
      <c r="E150" s="59">
        <v>44890.0</v>
      </c>
      <c r="F150" s="57" t="str">
        <f t="shared" si="1"/>
        <v>+998</v>
      </c>
      <c r="G150" s="57" t="s">
        <v>872</v>
      </c>
      <c r="H150" s="57" t="s">
        <v>873</v>
      </c>
      <c r="I150" s="57" t="s">
        <v>874</v>
      </c>
      <c r="J150" s="57" t="str">
        <f t="array" ref="J150">XLOOKUP(F150,'коды стран'!$B$2:$B$7,'коды стран'!$A$2:$A$7)</f>
        <v>Узбекистан</v>
      </c>
    </row>
    <row r="151" ht="14.25" customHeight="1">
      <c r="A151" s="57">
        <v>46.0</v>
      </c>
      <c r="B151" s="57" t="s">
        <v>875</v>
      </c>
      <c r="C151" s="57" t="s">
        <v>876</v>
      </c>
      <c r="D151" s="57" t="s">
        <v>205</v>
      </c>
      <c r="E151" s="59">
        <v>44636.0</v>
      </c>
      <c r="F151" s="57" t="str">
        <f t="shared" si="1"/>
        <v>+992</v>
      </c>
      <c r="G151" s="57" t="s">
        <v>643</v>
      </c>
      <c r="H151" s="57" t="s">
        <v>877</v>
      </c>
      <c r="I151" s="57" t="s">
        <v>878</v>
      </c>
      <c r="J151" s="57" t="str">
        <f t="array" ref="J151">XLOOKUP(F151,'коды стран'!$B$2:$B$7,'коды стран'!$A$2:$A$7)</f>
        <v>Таджикистан</v>
      </c>
    </row>
    <row r="152" ht="14.25" customHeight="1">
      <c r="A152" s="57">
        <v>361.0</v>
      </c>
      <c r="B152" s="57" t="s">
        <v>879</v>
      </c>
      <c r="C152" s="57" t="s">
        <v>880</v>
      </c>
      <c r="D152" s="57" t="s">
        <v>205</v>
      </c>
      <c r="E152" s="59">
        <v>44831.0</v>
      </c>
      <c r="F152" s="57" t="str">
        <f t="shared" si="1"/>
        <v>+998</v>
      </c>
      <c r="G152" s="57" t="s">
        <v>881</v>
      </c>
      <c r="H152" s="57" t="s">
        <v>645</v>
      </c>
      <c r="I152" s="57" t="s">
        <v>350</v>
      </c>
      <c r="J152" s="57" t="str">
        <f t="array" ref="J152">XLOOKUP(F152,'коды стран'!$B$2:$B$7,'коды стран'!$A$2:$A$7)</f>
        <v>Узбекистан</v>
      </c>
    </row>
    <row r="153" ht="14.25" customHeight="1">
      <c r="A153" s="57">
        <v>358.0</v>
      </c>
      <c r="B153" s="57" t="s">
        <v>882</v>
      </c>
      <c r="C153" s="57" t="s">
        <v>883</v>
      </c>
      <c r="D153" s="57" t="s">
        <v>205</v>
      </c>
      <c r="E153" s="59">
        <v>44771.0</v>
      </c>
      <c r="F153" s="57" t="str">
        <f t="shared" si="1"/>
        <v>+380</v>
      </c>
      <c r="G153" s="57" t="s">
        <v>843</v>
      </c>
      <c r="H153" s="57" t="s">
        <v>884</v>
      </c>
      <c r="I153" s="57" t="s">
        <v>504</v>
      </c>
      <c r="J153" s="57" t="str">
        <f t="array" ref="J153">XLOOKUP(F153,'коды стран'!$B$2:$B$7,'коды стран'!$A$2:$A$7)</f>
        <v>Украина</v>
      </c>
    </row>
    <row r="154" ht="14.25" customHeight="1">
      <c r="A154" s="57">
        <v>44.0</v>
      </c>
      <c r="B154" s="57" t="s">
        <v>885</v>
      </c>
      <c r="C154" s="57" t="s">
        <v>886</v>
      </c>
      <c r="D154" s="57" t="s">
        <v>206</v>
      </c>
      <c r="E154" s="59">
        <v>44701.0</v>
      </c>
      <c r="F154" s="57" t="str">
        <f t="shared" si="1"/>
        <v>+375</v>
      </c>
      <c r="G154" s="57" t="s">
        <v>887</v>
      </c>
      <c r="H154" s="57" t="s">
        <v>888</v>
      </c>
      <c r="I154" s="57" t="s">
        <v>889</v>
      </c>
      <c r="J154" s="57" t="str">
        <f t="array" ref="J154">XLOOKUP(F154,'коды стран'!$B$2:$B$7,'коды стран'!$A$2:$A$7)</f>
        <v>Беларусь</v>
      </c>
    </row>
    <row r="155" ht="14.25" customHeight="1">
      <c r="A155" s="57">
        <v>416.0</v>
      </c>
      <c r="B155" s="57" t="s">
        <v>890</v>
      </c>
      <c r="C155" s="57" t="s">
        <v>891</v>
      </c>
      <c r="D155" s="57" t="s">
        <v>206</v>
      </c>
      <c r="E155" s="59">
        <v>44703.0</v>
      </c>
      <c r="F155" s="57" t="str">
        <f t="shared" si="1"/>
        <v>+992</v>
      </c>
      <c r="G155" s="57" t="s">
        <v>892</v>
      </c>
      <c r="H155" s="57" t="s">
        <v>893</v>
      </c>
      <c r="I155" s="57" t="s">
        <v>229</v>
      </c>
      <c r="J155" s="57" t="str">
        <f t="array" ref="J155">XLOOKUP(F155,'коды стран'!$B$2:$B$7,'коды стран'!$A$2:$A$7)</f>
        <v>Таджикистан</v>
      </c>
    </row>
    <row r="156" ht="14.25" customHeight="1">
      <c r="A156" s="57">
        <v>74.0</v>
      </c>
      <c r="B156" s="57" t="s">
        <v>894</v>
      </c>
      <c r="C156" s="57" t="s">
        <v>895</v>
      </c>
      <c r="D156" s="57" t="s">
        <v>206</v>
      </c>
      <c r="E156" s="59">
        <v>44857.0</v>
      </c>
      <c r="F156" s="57" t="str">
        <f t="shared" si="1"/>
        <v>+7</v>
      </c>
      <c r="G156" s="57" t="s">
        <v>257</v>
      </c>
      <c r="H156" s="57" t="s">
        <v>896</v>
      </c>
      <c r="I156" s="57" t="s">
        <v>897</v>
      </c>
      <c r="J156" s="57" t="str">
        <f t="array" ref="J156">XLOOKUP(F156,'коды стран'!$B$2:$B$7,'коды стран'!$A$2:$A$7)</f>
        <v>Россия</v>
      </c>
    </row>
    <row r="157" ht="14.25" customHeight="1">
      <c r="A157" s="57">
        <v>180.0</v>
      </c>
      <c r="B157" s="57" t="s">
        <v>898</v>
      </c>
      <c r="C157" s="57" t="s">
        <v>899</v>
      </c>
      <c r="D157" s="57" t="s">
        <v>206</v>
      </c>
      <c r="E157" s="59">
        <v>44616.0</v>
      </c>
      <c r="F157" s="57" t="str">
        <f t="shared" si="1"/>
        <v>+375</v>
      </c>
      <c r="G157" s="57" t="s">
        <v>220</v>
      </c>
      <c r="H157" s="57" t="s">
        <v>865</v>
      </c>
      <c r="I157" s="57" t="s">
        <v>900</v>
      </c>
      <c r="J157" s="57" t="str">
        <f t="array" ref="J157">XLOOKUP(F157,'коды стран'!$B$2:$B$7,'коды стран'!$A$2:$A$7)</f>
        <v>Беларусь</v>
      </c>
    </row>
    <row r="158" ht="14.25" customHeight="1">
      <c r="A158" s="57">
        <v>159.0</v>
      </c>
      <c r="B158" s="57" t="s">
        <v>901</v>
      </c>
      <c r="C158" s="57" t="s">
        <v>902</v>
      </c>
      <c r="D158" s="57" t="s">
        <v>206</v>
      </c>
      <c r="E158" s="59">
        <v>44686.0</v>
      </c>
      <c r="F158" s="57" t="str">
        <f t="shared" si="1"/>
        <v>+998</v>
      </c>
      <c r="G158" s="57" t="s">
        <v>903</v>
      </c>
      <c r="H158" s="57" t="s">
        <v>834</v>
      </c>
      <c r="I158" s="57" t="s">
        <v>904</v>
      </c>
      <c r="J158" s="57" t="str">
        <f t="array" ref="J158">XLOOKUP(F158,'коды стран'!$B$2:$B$7,'коды стран'!$A$2:$A$7)</f>
        <v>Узбекистан</v>
      </c>
    </row>
    <row r="159" ht="14.25" customHeight="1">
      <c r="A159" s="57">
        <v>106.0</v>
      </c>
      <c r="B159" s="57" t="s">
        <v>905</v>
      </c>
      <c r="C159" s="57" t="s">
        <v>906</v>
      </c>
      <c r="D159" s="57" t="s">
        <v>205</v>
      </c>
      <c r="E159" s="59">
        <v>44858.0</v>
      </c>
      <c r="F159" s="57" t="str">
        <f t="shared" si="1"/>
        <v>+380</v>
      </c>
      <c r="G159" s="57" t="s">
        <v>804</v>
      </c>
      <c r="H159" s="57" t="s">
        <v>907</v>
      </c>
      <c r="I159" s="57" t="s">
        <v>908</v>
      </c>
      <c r="J159" s="57" t="str">
        <f t="array" ref="J159">XLOOKUP(F159,'коды стран'!$B$2:$B$7,'коды стран'!$A$2:$A$7)</f>
        <v>Украина</v>
      </c>
    </row>
    <row r="160" ht="14.25" customHeight="1">
      <c r="A160" s="57">
        <v>65.0</v>
      </c>
      <c r="B160" s="57" t="s">
        <v>909</v>
      </c>
      <c r="C160" s="57" t="s">
        <v>910</v>
      </c>
      <c r="D160" s="57" t="s">
        <v>206</v>
      </c>
      <c r="E160" s="59">
        <v>44623.0</v>
      </c>
      <c r="F160" s="57" t="str">
        <f t="shared" si="1"/>
        <v>+380</v>
      </c>
      <c r="G160" s="57" t="s">
        <v>441</v>
      </c>
      <c r="H160" s="57" t="s">
        <v>645</v>
      </c>
      <c r="I160" s="57" t="s">
        <v>853</v>
      </c>
      <c r="J160" s="57" t="str">
        <f t="array" ref="J160">XLOOKUP(F160,'коды стран'!$B$2:$B$7,'коды стран'!$A$2:$A$7)</f>
        <v>Украина</v>
      </c>
    </row>
    <row r="161" ht="14.25" customHeight="1">
      <c r="A161" s="57">
        <v>457.0</v>
      </c>
      <c r="B161" s="57" t="s">
        <v>911</v>
      </c>
      <c r="C161" s="57" t="s">
        <v>912</v>
      </c>
      <c r="D161" s="57" t="s">
        <v>206</v>
      </c>
      <c r="E161" s="59">
        <v>44595.0</v>
      </c>
      <c r="F161" s="57" t="str">
        <f t="shared" si="1"/>
        <v>+992</v>
      </c>
      <c r="G161" s="57" t="s">
        <v>913</v>
      </c>
      <c r="H161" s="57" t="s">
        <v>914</v>
      </c>
      <c r="I161" s="57" t="s">
        <v>619</v>
      </c>
      <c r="J161" s="57" t="str">
        <f t="array" ref="J161">XLOOKUP(F161,'коды стран'!$B$2:$B$7,'коды стран'!$A$2:$A$7)</f>
        <v>Таджикистан</v>
      </c>
    </row>
    <row r="162" ht="14.25" customHeight="1">
      <c r="A162" s="57">
        <v>255.0</v>
      </c>
      <c r="B162" s="57" t="s">
        <v>915</v>
      </c>
      <c r="C162" s="57" t="s">
        <v>916</v>
      </c>
      <c r="D162" s="57" t="s">
        <v>205</v>
      </c>
      <c r="E162" s="59">
        <v>44793.0</v>
      </c>
      <c r="F162" s="57" t="str">
        <f t="shared" si="1"/>
        <v>+380</v>
      </c>
      <c r="G162" s="57" t="s">
        <v>291</v>
      </c>
      <c r="H162" s="57" t="s">
        <v>917</v>
      </c>
      <c r="I162" s="57" t="s">
        <v>918</v>
      </c>
      <c r="J162" s="57" t="str">
        <f t="array" ref="J162">XLOOKUP(F162,'коды стран'!$B$2:$B$7,'коды стран'!$A$2:$A$7)</f>
        <v>Украина</v>
      </c>
    </row>
    <row r="163" ht="14.25" customHeight="1">
      <c r="A163" s="57">
        <v>436.0</v>
      </c>
      <c r="B163" s="57" t="s">
        <v>919</v>
      </c>
      <c r="C163" s="57" t="s">
        <v>920</v>
      </c>
      <c r="D163" s="57" t="s">
        <v>206</v>
      </c>
      <c r="E163" s="59">
        <v>44683.0</v>
      </c>
      <c r="F163" s="57" t="str">
        <f t="shared" si="1"/>
        <v>+7</v>
      </c>
      <c r="G163" s="57" t="s">
        <v>921</v>
      </c>
      <c r="H163" s="57" t="s">
        <v>922</v>
      </c>
      <c r="I163" s="57" t="s">
        <v>764</v>
      </c>
      <c r="J163" s="57" t="str">
        <f t="array" ref="J163">XLOOKUP(F163,'коды стран'!$B$2:$B$7,'коды стран'!$A$2:$A$7)</f>
        <v>Россия</v>
      </c>
    </row>
    <row r="164" ht="14.25" customHeight="1">
      <c r="A164" s="57">
        <v>175.0</v>
      </c>
      <c r="B164" s="57" t="s">
        <v>923</v>
      </c>
      <c r="C164" s="57" t="s">
        <v>924</v>
      </c>
      <c r="D164" s="57" t="s">
        <v>206</v>
      </c>
      <c r="E164" s="59">
        <v>44565.0</v>
      </c>
      <c r="F164" s="57" t="str">
        <f t="shared" si="1"/>
        <v>+7</v>
      </c>
      <c r="G164" s="57" t="s">
        <v>913</v>
      </c>
      <c r="H164" s="57" t="s">
        <v>853</v>
      </c>
      <c r="I164" s="57" t="s">
        <v>407</v>
      </c>
      <c r="J164" s="57" t="str">
        <f t="array" ref="J164">XLOOKUP(F164,'коды стран'!$B$2:$B$7,'коды стран'!$A$2:$A$7)</f>
        <v>Россия</v>
      </c>
    </row>
    <row r="165" ht="14.25" customHeight="1">
      <c r="A165" s="57">
        <v>274.0</v>
      </c>
      <c r="B165" s="57" t="s">
        <v>925</v>
      </c>
      <c r="C165" s="57" t="s">
        <v>926</v>
      </c>
      <c r="D165" s="57" t="s">
        <v>205</v>
      </c>
      <c r="E165" s="59">
        <v>44607.0</v>
      </c>
      <c r="F165" s="57" t="str">
        <f t="shared" si="1"/>
        <v>+7</v>
      </c>
      <c r="G165" s="57" t="s">
        <v>316</v>
      </c>
      <c r="H165" s="57" t="s">
        <v>317</v>
      </c>
      <c r="I165" s="57" t="s">
        <v>485</v>
      </c>
      <c r="J165" s="57" t="str">
        <f t="array" ref="J165">XLOOKUP(F165,'коды стран'!$B$2:$B$7,'коды стран'!$A$2:$A$7)</f>
        <v>Россия</v>
      </c>
    </row>
    <row r="166" ht="14.25" customHeight="1">
      <c r="A166" s="57">
        <v>59.0</v>
      </c>
      <c r="B166" s="57" t="s">
        <v>927</v>
      </c>
      <c r="C166" s="57" t="s">
        <v>928</v>
      </c>
      <c r="D166" s="57" t="s">
        <v>205</v>
      </c>
      <c r="E166" s="59">
        <v>44770.0</v>
      </c>
      <c r="F166" s="57" t="str">
        <f t="shared" si="1"/>
        <v>+7</v>
      </c>
      <c r="G166" s="57" t="s">
        <v>257</v>
      </c>
      <c r="H166" s="57" t="s">
        <v>857</v>
      </c>
      <c r="I166" s="57" t="s">
        <v>929</v>
      </c>
      <c r="J166" s="57" t="str">
        <f t="array" ref="J166">XLOOKUP(F166,'коды стран'!$B$2:$B$7,'коды стран'!$A$2:$A$7)</f>
        <v>Россия</v>
      </c>
    </row>
    <row r="167" ht="14.25" customHeight="1">
      <c r="A167" s="57">
        <v>411.0</v>
      </c>
      <c r="B167" s="57" t="s">
        <v>930</v>
      </c>
      <c r="C167" s="57" t="s">
        <v>931</v>
      </c>
      <c r="D167" s="57" t="s">
        <v>206</v>
      </c>
      <c r="E167" s="59">
        <v>44673.0</v>
      </c>
      <c r="F167" s="57" t="str">
        <f t="shared" si="1"/>
        <v>+992</v>
      </c>
      <c r="G167" s="57" t="s">
        <v>837</v>
      </c>
      <c r="H167" s="57" t="s">
        <v>932</v>
      </c>
      <c r="I167" s="57" t="s">
        <v>933</v>
      </c>
      <c r="J167" s="57" t="str">
        <f t="array" ref="J167">XLOOKUP(F167,'коды стран'!$B$2:$B$7,'коды стран'!$A$2:$A$7)</f>
        <v>Таджикистан</v>
      </c>
    </row>
    <row r="168" ht="14.25" customHeight="1">
      <c r="A168" s="57">
        <v>259.0</v>
      </c>
      <c r="B168" s="57" t="s">
        <v>934</v>
      </c>
      <c r="C168" s="57" t="s">
        <v>935</v>
      </c>
      <c r="D168" s="57" t="s">
        <v>205</v>
      </c>
      <c r="E168" s="59">
        <v>44707.0</v>
      </c>
      <c r="F168" s="57" t="str">
        <f t="shared" si="1"/>
        <v>+375</v>
      </c>
      <c r="G168" s="57" t="s">
        <v>936</v>
      </c>
      <c r="H168" s="57" t="s">
        <v>481</v>
      </c>
      <c r="I168" s="57" t="s">
        <v>803</v>
      </c>
      <c r="J168" s="57" t="str">
        <f t="array" ref="J168">XLOOKUP(F168,'коды стран'!$B$2:$B$7,'коды стран'!$A$2:$A$7)</f>
        <v>Беларусь</v>
      </c>
    </row>
    <row r="169" ht="14.25" customHeight="1">
      <c r="A169" s="57">
        <v>337.0</v>
      </c>
      <c r="B169" s="57" t="s">
        <v>937</v>
      </c>
      <c r="C169" s="57" t="s">
        <v>938</v>
      </c>
      <c r="D169" s="57" t="s">
        <v>205</v>
      </c>
      <c r="E169" s="59">
        <v>44875.0</v>
      </c>
      <c r="F169" s="57" t="str">
        <f t="shared" si="1"/>
        <v>+7</v>
      </c>
      <c r="G169" s="57" t="s">
        <v>939</v>
      </c>
      <c r="H169" s="57" t="s">
        <v>779</v>
      </c>
      <c r="I169" s="57" t="s">
        <v>549</v>
      </c>
      <c r="J169" s="57" t="str">
        <f t="array" ref="J169">XLOOKUP(F169,'коды стран'!$B$2:$B$7,'коды стран'!$A$2:$A$7)</f>
        <v>Россия</v>
      </c>
    </row>
    <row r="170" ht="14.25" customHeight="1">
      <c r="A170" s="57">
        <v>354.0</v>
      </c>
      <c r="B170" s="57" t="s">
        <v>940</v>
      </c>
      <c r="C170" s="57" t="s">
        <v>941</v>
      </c>
      <c r="D170" s="57" t="s">
        <v>206</v>
      </c>
      <c r="E170" s="59">
        <v>44811.0</v>
      </c>
      <c r="F170" s="57" t="str">
        <f t="shared" si="1"/>
        <v>+998</v>
      </c>
      <c r="G170" s="57" t="s">
        <v>420</v>
      </c>
      <c r="H170" s="57" t="s">
        <v>365</v>
      </c>
      <c r="I170" s="57" t="s">
        <v>942</v>
      </c>
      <c r="J170" s="57" t="str">
        <f t="array" ref="J170">XLOOKUP(F170,'коды стран'!$B$2:$B$7,'коды стран'!$A$2:$A$7)</f>
        <v>Узбекистан</v>
      </c>
    </row>
    <row r="171" ht="14.25" customHeight="1">
      <c r="A171" s="57">
        <v>329.0</v>
      </c>
      <c r="B171" s="57" t="s">
        <v>943</v>
      </c>
      <c r="C171" s="57" t="s">
        <v>944</v>
      </c>
      <c r="D171" s="57" t="s">
        <v>205</v>
      </c>
      <c r="E171" s="59">
        <v>44653.0</v>
      </c>
      <c r="F171" s="57" t="str">
        <f t="shared" si="1"/>
        <v>+375</v>
      </c>
      <c r="G171" s="57" t="s">
        <v>945</v>
      </c>
      <c r="H171" s="57" t="s">
        <v>946</v>
      </c>
      <c r="I171" s="57" t="s">
        <v>277</v>
      </c>
      <c r="J171" s="57" t="str">
        <f t="array" ref="J171">XLOOKUP(F171,'коды стран'!$B$2:$B$7,'коды стран'!$A$2:$A$7)</f>
        <v>Беларусь</v>
      </c>
    </row>
    <row r="172" ht="14.25" customHeight="1">
      <c r="A172" s="57">
        <v>186.0</v>
      </c>
      <c r="B172" s="57" t="s">
        <v>947</v>
      </c>
      <c r="C172" s="57" t="s">
        <v>948</v>
      </c>
      <c r="D172" s="57" t="s">
        <v>206</v>
      </c>
      <c r="E172" s="59">
        <v>44914.0</v>
      </c>
      <c r="F172" s="57" t="str">
        <f t="shared" si="1"/>
        <v>+375</v>
      </c>
      <c r="G172" s="57" t="s">
        <v>949</v>
      </c>
      <c r="H172" s="57" t="s">
        <v>950</v>
      </c>
      <c r="I172" s="57" t="s">
        <v>519</v>
      </c>
      <c r="J172" s="57" t="str">
        <f t="array" ref="J172">XLOOKUP(F172,'коды стран'!$B$2:$B$7,'коды стран'!$A$2:$A$7)</f>
        <v>Беларусь</v>
      </c>
    </row>
    <row r="173" ht="14.25" customHeight="1">
      <c r="A173" s="57">
        <v>448.0</v>
      </c>
      <c r="B173" s="57" t="s">
        <v>951</v>
      </c>
      <c r="C173" s="57" t="s">
        <v>952</v>
      </c>
      <c r="D173" s="57" t="s">
        <v>206</v>
      </c>
      <c r="E173" s="59">
        <v>44770.0</v>
      </c>
      <c r="F173" s="57" t="str">
        <f t="shared" si="1"/>
        <v>+7</v>
      </c>
      <c r="G173" s="57" t="s">
        <v>953</v>
      </c>
      <c r="H173" s="57" t="s">
        <v>384</v>
      </c>
      <c r="I173" s="57" t="s">
        <v>954</v>
      </c>
      <c r="J173" s="57" t="str">
        <f t="array" ref="J173">XLOOKUP(F173,'коды стран'!$B$2:$B$7,'коды стран'!$A$2:$A$7)</f>
        <v>Россия</v>
      </c>
    </row>
    <row r="174" ht="14.25" customHeight="1">
      <c r="A174" s="57">
        <v>377.0</v>
      </c>
      <c r="B174" s="57" t="s">
        <v>955</v>
      </c>
      <c r="C174" s="57" t="s">
        <v>956</v>
      </c>
      <c r="D174" s="57" t="s">
        <v>206</v>
      </c>
      <c r="E174" s="59">
        <v>44794.0</v>
      </c>
      <c r="F174" s="57" t="str">
        <f t="shared" si="1"/>
        <v>+998</v>
      </c>
      <c r="G174" s="57" t="s">
        <v>957</v>
      </c>
      <c r="H174" s="57" t="s">
        <v>513</v>
      </c>
      <c r="I174" s="57" t="s">
        <v>958</v>
      </c>
      <c r="J174" s="57" t="str">
        <f t="array" ref="J174">XLOOKUP(F174,'коды стран'!$B$2:$B$7,'коды стран'!$A$2:$A$7)</f>
        <v>Узбекистан</v>
      </c>
    </row>
    <row r="175" ht="14.25" customHeight="1">
      <c r="A175" s="57">
        <v>316.0</v>
      </c>
      <c r="B175" s="57" t="s">
        <v>959</v>
      </c>
      <c r="C175" s="57" t="s">
        <v>960</v>
      </c>
      <c r="D175" s="57" t="s">
        <v>205</v>
      </c>
      <c r="E175" s="59">
        <v>44787.0</v>
      </c>
      <c r="F175" s="57" t="str">
        <f t="shared" si="1"/>
        <v>+992</v>
      </c>
      <c r="G175" s="57" t="s">
        <v>249</v>
      </c>
      <c r="H175" s="57" t="s">
        <v>359</v>
      </c>
      <c r="I175" s="57" t="s">
        <v>302</v>
      </c>
      <c r="J175" s="57" t="str">
        <f t="array" ref="J175">XLOOKUP(F175,'коды стран'!$B$2:$B$7,'коды стран'!$A$2:$A$7)</f>
        <v>Таджикистан</v>
      </c>
    </row>
    <row r="176" ht="14.25" customHeight="1">
      <c r="A176" s="57">
        <v>322.0</v>
      </c>
      <c r="B176" s="57" t="s">
        <v>961</v>
      </c>
      <c r="C176" s="57" t="s">
        <v>962</v>
      </c>
      <c r="D176" s="57" t="s">
        <v>205</v>
      </c>
      <c r="E176" s="59">
        <v>44886.0</v>
      </c>
      <c r="F176" s="57" t="str">
        <f t="shared" si="1"/>
        <v>+380</v>
      </c>
      <c r="G176" s="57" t="s">
        <v>963</v>
      </c>
      <c r="H176" s="57" t="s">
        <v>964</v>
      </c>
      <c r="I176" s="57" t="s">
        <v>443</v>
      </c>
      <c r="J176" s="57" t="str">
        <f t="array" ref="J176">XLOOKUP(F176,'коды стран'!$B$2:$B$7,'коды стран'!$A$2:$A$7)</f>
        <v>Украина</v>
      </c>
    </row>
    <row r="177" ht="14.25" customHeight="1">
      <c r="A177" s="57">
        <v>62.0</v>
      </c>
      <c r="B177" s="57" t="s">
        <v>965</v>
      </c>
      <c r="C177" s="57" t="s">
        <v>966</v>
      </c>
      <c r="D177" s="57" t="s">
        <v>206</v>
      </c>
      <c r="E177" s="59">
        <v>44671.0</v>
      </c>
      <c r="F177" s="57" t="str">
        <f t="shared" si="1"/>
        <v>+7</v>
      </c>
      <c r="G177" s="57" t="s">
        <v>967</v>
      </c>
      <c r="H177" s="57" t="s">
        <v>662</v>
      </c>
      <c r="I177" s="57" t="s">
        <v>509</v>
      </c>
      <c r="J177" s="57" t="str">
        <f t="array" ref="J177">XLOOKUP(F177,'коды стран'!$B$2:$B$7,'коды стран'!$A$2:$A$7)</f>
        <v>Россия</v>
      </c>
    </row>
    <row r="178" ht="14.25" customHeight="1">
      <c r="A178" s="57">
        <v>295.0</v>
      </c>
      <c r="B178" s="57" t="s">
        <v>968</v>
      </c>
      <c r="C178" s="57" t="s">
        <v>969</v>
      </c>
      <c r="D178" s="57" t="s">
        <v>206</v>
      </c>
      <c r="E178" s="59">
        <v>44588.0</v>
      </c>
      <c r="F178" s="57" t="str">
        <f t="shared" si="1"/>
        <v>+7</v>
      </c>
      <c r="G178" s="57" t="s">
        <v>970</v>
      </c>
      <c r="H178" s="57" t="s">
        <v>971</v>
      </c>
      <c r="I178" s="57" t="s">
        <v>747</v>
      </c>
      <c r="J178" s="57" t="str">
        <f t="array" ref="J178">XLOOKUP(F178,'коды стран'!$B$2:$B$7,'коды стран'!$A$2:$A$7)</f>
        <v>Россия</v>
      </c>
    </row>
    <row r="179" ht="14.25" customHeight="1">
      <c r="A179" s="57">
        <v>235.0</v>
      </c>
      <c r="B179" s="57" t="s">
        <v>972</v>
      </c>
      <c r="C179" s="57" t="s">
        <v>973</v>
      </c>
      <c r="D179" s="57" t="s">
        <v>206</v>
      </c>
      <c r="E179" s="59">
        <v>44635.0</v>
      </c>
      <c r="F179" s="57" t="str">
        <f t="shared" si="1"/>
        <v>+998</v>
      </c>
      <c r="G179" s="57" t="s">
        <v>974</v>
      </c>
      <c r="H179" s="57" t="s">
        <v>416</v>
      </c>
      <c r="I179" s="57" t="s">
        <v>775</v>
      </c>
      <c r="J179" s="57" t="str">
        <f t="array" ref="J179">XLOOKUP(F179,'коды стран'!$B$2:$B$7,'коды стран'!$A$2:$A$7)</f>
        <v>Узбекистан</v>
      </c>
    </row>
    <row r="180" ht="14.25" customHeight="1">
      <c r="A180" s="57">
        <v>156.0</v>
      </c>
      <c r="B180" s="57" t="s">
        <v>975</v>
      </c>
      <c r="C180" s="57" t="s">
        <v>976</v>
      </c>
      <c r="D180" s="57" t="s">
        <v>205</v>
      </c>
      <c r="E180" s="59">
        <v>44905.0</v>
      </c>
      <c r="F180" s="57" t="str">
        <f t="shared" si="1"/>
        <v>+380</v>
      </c>
      <c r="G180" s="57" t="s">
        <v>977</v>
      </c>
      <c r="H180" s="57" t="s">
        <v>978</v>
      </c>
      <c r="I180" s="57" t="s">
        <v>752</v>
      </c>
      <c r="J180" s="57" t="str">
        <f t="array" ref="J180">XLOOKUP(F180,'коды стран'!$B$2:$B$7,'коды стран'!$A$2:$A$7)</f>
        <v>Украина</v>
      </c>
    </row>
    <row r="181" ht="14.25" customHeight="1">
      <c r="A181" s="57">
        <v>327.0</v>
      </c>
      <c r="B181" s="57" t="s">
        <v>979</v>
      </c>
      <c r="C181" s="57" t="s">
        <v>980</v>
      </c>
      <c r="D181" s="57" t="s">
        <v>206</v>
      </c>
      <c r="E181" s="59">
        <v>44565.0</v>
      </c>
      <c r="F181" s="57" t="str">
        <f t="shared" si="1"/>
        <v>+992</v>
      </c>
      <c r="G181" s="57" t="s">
        <v>954</v>
      </c>
      <c r="H181" s="57" t="s">
        <v>741</v>
      </c>
      <c r="I181" s="57" t="s">
        <v>981</v>
      </c>
      <c r="J181" s="57" t="str">
        <f t="array" ref="J181">XLOOKUP(F181,'коды стран'!$B$2:$B$7,'коды стран'!$A$2:$A$7)</f>
        <v>Таджикистан</v>
      </c>
    </row>
    <row r="182" ht="14.25" customHeight="1">
      <c r="A182" s="57">
        <v>275.0</v>
      </c>
      <c r="B182" s="57" t="s">
        <v>982</v>
      </c>
      <c r="C182" s="57" t="s">
        <v>983</v>
      </c>
      <c r="D182" s="57" t="s">
        <v>206</v>
      </c>
      <c r="E182" s="59">
        <v>44651.0</v>
      </c>
      <c r="F182" s="57" t="str">
        <f t="shared" si="1"/>
        <v>+992</v>
      </c>
      <c r="G182" s="57" t="s">
        <v>984</v>
      </c>
      <c r="H182" s="57" t="s">
        <v>792</v>
      </c>
      <c r="I182" s="57" t="s">
        <v>985</v>
      </c>
      <c r="J182" s="57" t="str">
        <f t="array" ref="J182">XLOOKUP(F182,'коды стран'!$B$2:$B$7,'коды стран'!$A$2:$A$7)</f>
        <v>Таджикистан</v>
      </c>
    </row>
    <row r="183" ht="14.25" customHeight="1">
      <c r="A183" s="57">
        <v>177.0</v>
      </c>
      <c r="B183" s="57" t="s">
        <v>986</v>
      </c>
      <c r="C183" s="57" t="s">
        <v>987</v>
      </c>
      <c r="D183" s="57" t="s">
        <v>206</v>
      </c>
      <c r="E183" s="59">
        <v>44857.0</v>
      </c>
      <c r="F183" s="57" t="str">
        <f t="shared" si="1"/>
        <v>+992</v>
      </c>
      <c r="G183" s="57" t="s">
        <v>512</v>
      </c>
      <c r="H183" s="57" t="s">
        <v>466</v>
      </c>
      <c r="I183" s="57" t="s">
        <v>988</v>
      </c>
      <c r="J183" s="57" t="str">
        <f t="array" ref="J183">XLOOKUP(F183,'коды стран'!$B$2:$B$7,'коды стран'!$A$2:$A$7)</f>
        <v>Таджикистан</v>
      </c>
    </row>
    <row r="184" ht="14.25" customHeight="1">
      <c r="A184" s="57">
        <v>181.0</v>
      </c>
      <c r="B184" s="57" t="s">
        <v>989</v>
      </c>
      <c r="C184" s="57" t="s">
        <v>990</v>
      </c>
      <c r="D184" s="57" t="s">
        <v>205</v>
      </c>
      <c r="E184" s="59">
        <v>44568.0</v>
      </c>
      <c r="F184" s="57" t="str">
        <f t="shared" si="1"/>
        <v>+380</v>
      </c>
      <c r="G184" s="57" t="s">
        <v>864</v>
      </c>
      <c r="H184" s="57" t="s">
        <v>991</v>
      </c>
      <c r="I184" s="57" t="s">
        <v>992</v>
      </c>
      <c r="J184" s="57" t="str">
        <f t="array" ref="J184">XLOOKUP(F184,'коды стран'!$B$2:$B$7,'коды стран'!$A$2:$A$7)</f>
        <v>Украина</v>
      </c>
    </row>
    <row r="185" ht="14.25" customHeight="1">
      <c r="A185" s="57">
        <v>478.0</v>
      </c>
      <c r="B185" s="57" t="s">
        <v>993</v>
      </c>
      <c r="C185" s="57" t="s">
        <v>994</v>
      </c>
      <c r="D185" s="57" t="s">
        <v>206</v>
      </c>
      <c r="E185" s="59">
        <v>44726.0</v>
      </c>
      <c r="F185" s="57" t="str">
        <f t="shared" si="1"/>
        <v>+380</v>
      </c>
      <c r="G185" s="57" t="s">
        <v>995</v>
      </c>
      <c r="H185" s="57" t="s">
        <v>996</v>
      </c>
      <c r="I185" s="57" t="s">
        <v>282</v>
      </c>
      <c r="J185" s="57" t="str">
        <f t="array" ref="J185">XLOOKUP(F185,'коды стран'!$B$2:$B$7,'коды стран'!$A$2:$A$7)</f>
        <v>Украина</v>
      </c>
    </row>
    <row r="186" ht="14.25" customHeight="1">
      <c r="A186" s="57">
        <v>429.0</v>
      </c>
      <c r="B186" s="57" t="s">
        <v>997</v>
      </c>
      <c r="C186" s="57" t="s">
        <v>998</v>
      </c>
      <c r="D186" s="57" t="s">
        <v>205</v>
      </c>
      <c r="E186" s="59">
        <v>44625.0</v>
      </c>
      <c r="F186" s="57" t="str">
        <f t="shared" si="1"/>
        <v>+992</v>
      </c>
      <c r="G186" s="57" t="s">
        <v>999</v>
      </c>
      <c r="H186" s="57" t="s">
        <v>705</v>
      </c>
      <c r="I186" s="57" t="s">
        <v>1000</v>
      </c>
      <c r="J186" s="57" t="str">
        <f t="array" ref="J186">XLOOKUP(F186,'коды стран'!$B$2:$B$7,'коды стран'!$A$2:$A$7)</f>
        <v>Таджикистан</v>
      </c>
    </row>
    <row r="187" ht="14.25" customHeight="1">
      <c r="A187" s="57">
        <v>431.0</v>
      </c>
      <c r="B187" s="57" t="s">
        <v>1001</v>
      </c>
      <c r="C187" s="57" t="s">
        <v>1002</v>
      </c>
      <c r="D187" s="57" t="s">
        <v>206</v>
      </c>
      <c r="E187" s="59">
        <v>44623.0</v>
      </c>
      <c r="F187" s="57" t="str">
        <f t="shared" si="1"/>
        <v>+7</v>
      </c>
      <c r="G187" s="57" t="s">
        <v>1003</v>
      </c>
      <c r="H187" s="57" t="s">
        <v>1004</v>
      </c>
      <c r="I187" s="57" t="s">
        <v>671</v>
      </c>
      <c r="J187" s="57" t="str">
        <f t="array" ref="J187">XLOOKUP(F187,'коды стран'!$B$2:$B$7,'коды стран'!$A$2:$A$7)</f>
        <v>Россия</v>
      </c>
    </row>
    <row r="188" ht="14.25" customHeight="1">
      <c r="A188" s="57">
        <v>147.0</v>
      </c>
      <c r="B188" s="57" t="s">
        <v>1005</v>
      </c>
      <c r="C188" s="57" t="s">
        <v>1006</v>
      </c>
      <c r="D188" s="57" t="s">
        <v>205</v>
      </c>
      <c r="E188" s="59">
        <v>44827.0</v>
      </c>
      <c r="F188" s="57" t="str">
        <f t="shared" si="1"/>
        <v>+7</v>
      </c>
      <c r="G188" s="57" t="s">
        <v>1007</v>
      </c>
      <c r="H188" s="57" t="s">
        <v>946</v>
      </c>
      <c r="I188" s="57" t="s">
        <v>981</v>
      </c>
      <c r="J188" s="57" t="str">
        <f t="array" ref="J188">XLOOKUP(F188,'коды стран'!$B$2:$B$7,'коды стран'!$A$2:$A$7)</f>
        <v>Россия</v>
      </c>
    </row>
    <row r="189" ht="14.25" customHeight="1">
      <c r="A189" s="57">
        <v>312.0</v>
      </c>
      <c r="B189" s="57" t="s">
        <v>1008</v>
      </c>
      <c r="C189" s="57" t="s">
        <v>1009</v>
      </c>
      <c r="D189" s="57" t="s">
        <v>205</v>
      </c>
      <c r="E189" s="59">
        <v>44886.0</v>
      </c>
      <c r="F189" s="57" t="str">
        <f t="shared" si="1"/>
        <v>+7</v>
      </c>
      <c r="G189" s="57" t="s">
        <v>828</v>
      </c>
      <c r="H189" s="57" t="s">
        <v>1010</v>
      </c>
      <c r="I189" s="57" t="s">
        <v>378</v>
      </c>
      <c r="J189" s="57" t="str">
        <f t="array" ref="J189">XLOOKUP(F189,'коды стран'!$B$2:$B$7,'коды стран'!$A$2:$A$7)</f>
        <v>Россия</v>
      </c>
    </row>
    <row r="190" ht="14.25" customHeight="1">
      <c r="A190" s="57">
        <v>41.0</v>
      </c>
      <c r="B190" s="57" t="s">
        <v>1011</v>
      </c>
      <c r="C190" s="57" t="s">
        <v>1012</v>
      </c>
      <c r="D190" s="57" t="s">
        <v>205</v>
      </c>
      <c r="E190" s="59">
        <v>44842.0</v>
      </c>
      <c r="F190" s="57" t="str">
        <f t="shared" si="1"/>
        <v>+7</v>
      </c>
      <c r="G190" s="57" t="s">
        <v>1013</v>
      </c>
      <c r="H190" s="57" t="s">
        <v>456</v>
      </c>
      <c r="I190" s="57" t="s">
        <v>360</v>
      </c>
      <c r="J190" s="57" t="str">
        <f t="array" ref="J190">XLOOKUP(F190,'коды стран'!$B$2:$B$7,'коды стран'!$A$2:$A$7)</f>
        <v>Россия</v>
      </c>
    </row>
    <row r="191" ht="14.25" customHeight="1">
      <c r="A191" s="57">
        <v>389.0</v>
      </c>
      <c r="B191" s="57" t="s">
        <v>1014</v>
      </c>
      <c r="C191" s="57" t="s">
        <v>1015</v>
      </c>
      <c r="D191" s="57" t="s">
        <v>205</v>
      </c>
      <c r="E191" s="59">
        <v>44876.0</v>
      </c>
      <c r="F191" s="57" t="str">
        <f t="shared" si="1"/>
        <v>+7</v>
      </c>
      <c r="G191" s="57" t="s">
        <v>326</v>
      </c>
      <c r="H191" s="57" t="s">
        <v>553</v>
      </c>
      <c r="I191" s="57" t="s">
        <v>795</v>
      </c>
      <c r="J191" s="57" t="str">
        <f t="array" ref="J191">XLOOKUP(F191,'коды стран'!$B$2:$B$7,'коды стран'!$A$2:$A$7)</f>
        <v>Россия</v>
      </c>
    </row>
    <row r="192" ht="14.25" customHeight="1">
      <c r="A192" s="57">
        <v>249.0</v>
      </c>
      <c r="B192" s="57" t="s">
        <v>1016</v>
      </c>
      <c r="C192" s="57" t="s">
        <v>1017</v>
      </c>
      <c r="D192" s="57" t="s">
        <v>205</v>
      </c>
      <c r="E192" s="59">
        <v>44781.0</v>
      </c>
      <c r="F192" s="57" t="str">
        <f t="shared" si="1"/>
        <v>+7</v>
      </c>
      <c r="G192" s="57" t="s">
        <v>839</v>
      </c>
      <c r="H192" s="57" t="s">
        <v>1018</v>
      </c>
      <c r="I192" s="57" t="s">
        <v>1019</v>
      </c>
      <c r="J192" s="57" t="str">
        <f t="array" ref="J192">XLOOKUP(F192,'коды стран'!$B$2:$B$7,'коды стран'!$A$2:$A$7)</f>
        <v>Россия</v>
      </c>
    </row>
    <row r="193" ht="14.25" customHeight="1">
      <c r="A193" s="57">
        <v>168.0</v>
      </c>
      <c r="B193" s="57" t="s">
        <v>1020</v>
      </c>
      <c r="C193" s="57" t="s">
        <v>1021</v>
      </c>
      <c r="D193" s="57" t="s">
        <v>205</v>
      </c>
      <c r="E193" s="59">
        <v>44706.0</v>
      </c>
      <c r="F193" s="57" t="str">
        <f t="shared" si="1"/>
        <v>+998</v>
      </c>
      <c r="G193" s="57" t="s">
        <v>1022</v>
      </c>
      <c r="H193" s="57" t="s">
        <v>1023</v>
      </c>
      <c r="I193" s="57" t="s">
        <v>1019</v>
      </c>
      <c r="J193" s="57" t="str">
        <f t="array" ref="J193">XLOOKUP(F193,'коды стран'!$B$2:$B$7,'коды стран'!$A$2:$A$7)</f>
        <v>Узбекистан</v>
      </c>
    </row>
    <row r="194" ht="14.25" customHeight="1">
      <c r="A194" s="57">
        <v>121.0</v>
      </c>
      <c r="B194" s="57" t="s">
        <v>1024</v>
      </c>
      <c r="C194" s="57" t="s">
        <v>1025</v>
      </c>
      <c r="D194" s="57" t="s">
        <v>205</v>
      </c>
      <c r="E194" s="59">
        <v>44763.0</v>
      </c>
      <c r="F194" s="57" t="str">
        <f t="shared" si="1"/>
        <v>+7</v>
      </c>
      <c r="G194" s="57" t="s">
        <v>1026</v>
      </c>
      <c r="H194" s="57" t="s">
        <v>1027</v>
      </c>
      <c r="I194" s="57" t="s">
        <v>466</v>
      </c>
      <c r="J194" s="57" t="str">
        <f t="array" ref="J194">XLOOKUP(F194,'коды стран'!$B$2:$B$7,'коды стран'!$A$2:$A$7)</f>
        <v>Россия</v>
      </c>
    </row>
    <row r="195" ht="14.25" customHeight="1">
      <c r="A195" s="57">
        <v>405.0</v>
      </c>
      <c r="B195" s="57" t="s">
        <v>1028</v>
      </c>
      <c r="C195" s="57" t="s">
        <v>1029</v>
      </c>
      <c r="D195" s="57" t="s">
        <v>206</v>
      </c>
      <c r="E195" s="59">
        <v>44798.0</v>
      </c>
      <c r="F195" s="57" t="str">
        <f t="shared" si="1"/>
        <v>+380</v>
      </c>
      <c r="G195" s="57" t="s">
        <v>432</v>
      </c>
      <c r="H195" s="57" t="s">
        <v>1030</v>
      </c>
      <c r="I195" s="57" t="s">
        <v>1031</v>
      </c>
      <c r="J195" s="57" t="str">
        <f t="array" ref="J195">XLOOKUP(F195,'коды стран'!$B$2:$B$7,'коды стран'!$A$2:$A$7)</f>
        <v>Украина</v>
      </c>
    </row>
    <row r="196" ht="14.25" customHeight="1">
      <c r="A196" s="57">
        <v>376.0</v>
      </c>
      <c r="B196" s="57" t="s">
        <v>1032</v>
      </c>
      <c r="C196" s="57" t="s">
        <v>1033</v>
      </c>
      <c r="D196" s="57" t="s">
        <v>205</v>
      </c>
      <c r="E196" s="59">
        <v>44730.0</v>
      </c>
      <c r="F196" s="57" t="str">
        <f t="shared" si="1"/>
        <v>+375</v>
      </c>
      <c r="G196" s="57" t="s">
        <v>414</v>
      </c>
      <c r="H196" s="57" t="s">
        <v>1034</v>
      </c>
      <c r="I196" s="57" t="s">
        <v>1035</v>
      </c>
      <c r="J196" s="57" t="str">
        <f t="array" ref="J196">XLOOKUP(F196,'коды стран'!$B$2:$B$7,'коды стран'!$A$2:$A$7)</f>
        <v>Беларусь</v>
      </c>
    </row>
    <row r="197" ht="14.25" customHeight="1">
      <c r="A197" s="57">
        <v>489.0</v>
      </c>
      <c r="B197" s="57" t="s">
        <v>1036</v>
      </c>
      <c r="C197" s="57" t="s">
        <v>1037</v>
      </c>
      <c r="D197" s="57" t="s">
        <v>205</v>
      </c>
      <c r="E197" s="59">
        <v>44587.0</v>
      </c>
      <c r="F197" s="57" t="str">
        <f t="shared" si="1"/>
        <v>+7</v>
      </c>
      <c r="G197" s="57" t="s">
        <v>1038</v>
      </c>
      <c r="H197" s="57" t="s">
        <v>900</v>
      </c>
      <c r="I197" s="57" t="s">
        <v>1039</v>
      </c>
      <c r="J197" s="57" t="str">
        <f t="array" ref="J197">XLOOKUP(F197,'коды стран'!$B$2:$B$7,'коды стран'!$A$2:$A$7)</f>
        <v>Россия</v>
      </c>
    </row>
    <row r="198" ht="14.25" customHeight="1">
      <c r="A198" s="57">
        <v>483.0</v>
      </c>
      <c r="B198" s="57" t="s">
        <v>1040</v>
      </c>
      <c r="C198" s="57" t="s">
        <v>1041</v>
      </c>
      <c r="D198" s="57" t="s">
        <v>205</v>
      </c>
      <c r="E198" s="59">
        <v>44855.0</v>
      </c>
      <c r="F198" s="57" t="str">
        <f t="shared" si="1"/>
        <v>+7</v>
      </c>
      <c r="G198" s="57" t="s">
        <v>1042</v>
      </c>
      <c r="H198" s="57" t="s">
        <v>1043</v>
      </c>
      <c r="I198" s="57" t="s">
        <v>832</v>
      </c>
      <c r="J198" s="57" t="str">
        <f t="array" ref="J198">XLOOKUP(F198,'коды стран'!$B$2:$B$7,'коды стран'!$A$2:$A$7)</f>
        <v>Россия</v>
      </c>
    </row>
    <row r="199" ht="14.25" customHeight="1">
      <c r="A199" s="57">
        <v>107.0</v>
      </c>
      <c r="B199" s="57" t="s">
        <v>1044</v>
      </c>
      <c r="C199" s="57" t="s">
        <v>1045</v>
      </c>
      <c r="D199" s="57" t="s">
        <v>206</v>
      </c>
      <c r="E199" s="59">
        <v>44744.0</v>
      </c>
      <c r="F199" s="57" t="str">
        <f t="shared" si="1"/>
        <v>+992</v>
      </c>
      <c r="G199" s="57" t="s">
        <v>1046</v>
      </c>
      <c r="H199" s="57" t="s">
        <v>578</v>
      </c>
      <c r="I199" s="57" t="s">
        <v>1047</v>
      </c>
      <c r="J199" s="57" t="str">
        <f t="array" ref="J199">XLOOKUP(F199,'коды стран'!$B$2:$B$7,'коды стран'!$A$2:$A$7)</f>
        <v>Таджикистан</v>
      </c>
    </row>
    <row r="200" ht="14.25" customHeight="1">
      <c r="A200" s="57">
        <v>51.0</v>
      </c>
      <c r="B200" s="57" t="s">
        <v>1048</v>
      </c>
      <c r="C200" s="57" t="s">
        <v>1049</v>
      </c>
      <c r="D200" s="57" t="s">
        <v>206</v>
      </c>
      <c r="E200" s="59">
        <v>44605.0</v>
      </c>
      <c r="F200" s="57" t="str">
        <f t="shared" si="1"/>
        <v>+998</v>
      </c>
      <c r="G200" s="57" t="s">
        <v>1050</v>
      </c>
      <c r="H200" s="57" t="s">
        <v>645</v>
      </c>
      <c r="I200" s="57" t="s">
        <v>1051</v>
      </c>
      <c r="J200" s="57" t="str">
        <f t="array" ref="J200">XLOOKUP(F200,'коды стран'!$B$2:$B$7,'коды стран'!$A$2:$A$7)</f>
        <v>Узбекистан</v>
      </c>
    </row>
    <row r="201" ht="14.25" customHeight="1">
      <c r="A201" s="57">
        <v>9.0</v>
      </c>
      <c r="B201" s="57" t="s">
        <v>1052</v>
      </c>
      <c r="C201" s="57" t="s">
        <v>1053</v>
      </c>
      <c r="D201" s="57" t="s">
        <v>205</v>
      </c>
      <c r="E201" s="59">
        <v>44900.0</v>
      </c>
      <c r="F201" s="57" t="str">
        <f t="shared" si="1"/>
        <v>+992</v>
      </c>
      <c r="G201" s="57" t="s">
        <v>1054</v>
      </c>
      <c r="H201" s="57" t="s">
        <v>1055</v>
      </c>
      <c r="I201" s="57" t="s">
        <v>1043</v>
      </c>
      <c r="J201" s="57" t="str">
        <f t="array" ref="J201">XLOOKUP(F201,'коды стран'!$B$2:$B$7,'коды стран'!$A$2:$A$7)</f>
        <v>Таджикистан</v>
      </c>
    </row>
    <row r="202" ht="14.25" customHeight="1">
      <c r="A202" s="57">
        <v>456.0</v>
      </c>
      <c r="B202" s="57" t="s">
        <v>1056</v>
      </c>
      <c r="C202" s="57" t="s">
        <v>1057</v>
      </c>
      <c r="D202" s="57" t="s">
        <v>205</v>
      </c>
      <c r="E202" s="59">
        <v>44618.0</v>
      </c>
      <c r="F202" s="57" t="str">
        <f t="shared" si="1"/>
        <v>+7</v>
      </c>
      <c r="G202" s="57" t="s">
        <v>1058</v>
      </c>
      <c r="H202" s="57" t="s">
        <v>964</v>
      </c>
      <c r="I202" s="57" t="s">
        <v>884</v>
      </c>
      <c r="J202" s="57" t="str">
        <f t="array" ref="J202">XLOOKUP(F202,'коды стран'!$B$2:$B$7,'коды стран'!$A$2:$A$7)</f>
        <v>Россия</v>
      </c>
    </row>
    <row r="203" ht="14.25" customHeight="1">
      <c r="A203" s="57">
        <v>110.0</v>
      </c>
      <c r="B203" s="57" t="s">
        <v>1059</v>
      </c>
      <c r="C203" s="57" t="s">
        <v>1060</v>
      </c>
      <c r="D203" s="57" t="s">
        <v>206</v>
      </c>
      <c r="E203" s="59">
        <v>44580.0</v>
      </c>
      <c r="F203" s="57" t="str">
        <f t="shared" si="1"/>
        <v>+998</v>
      </c>
      <c r="G203" s="57" t="s">
        <v>1061</v>
      </c>
      <c r="H203" s="57" t="s">
        <v>1062</v>
      </c>
      <c r="I203" s="57" t="s">
        <v>1063</v>
      </c>
      <c r="J203" s="57" t="str">
        <f t="array" ref="J203">XLOOKUP(F203,'коды стран'!$B$2:$B$7,'коды стран'!$A$2:$A$7)</f>
        <v>Узбекистан</v>
      </c>
    </row>
    <row r="204" ht="14.25" customHeight="1">
      <c r="A204" s="57">
        <v>216.0</v>
      </c>
      <c r="B204" s="57" t="s">
        <v>1064</v>
      </c>
      <c r="C204" s="57" t="s">
        <v>1065</v>
      </c>
      <c r="D204" s="57" t="s">
        <v>206</v>
      </c>
      <c r="E204" s="59">
        <v>44655.0</v>
      </c>
      <c r="F204" s="57" t="str">
        <f t="shared" si="1"/>
        <v>+992</v>
      </c>
      <c r="G204" s="57" t="s">
        <v>288</v>
      </c>
      <c r="H204" s="57" t="s">
        <v>670</v>
      </c>
      <c r="I204" s="57" t="s">
        <v>694</v>
      </c>
      <c r="J204" s="57" t="str">
        <f t="array" ref="J204">XLOOKUP(F204,'коды стран'!$B$2:$B$7,'коды стран'!$A$2:$A$7)</f>
        <v>Таджикистан</v>
      </c>
    </row>
    <row r="205" ht="14.25" customHeight="1">
      <c r="A205" s="57">
        <v>77.0</v>
      </c>
      <c r="B205" s="57" t="s">
        <v>1066</v>
      </c>
      <c r="C205" s="57" t="s">
        <v>1067</v>
      </c>
      <c r="D205" s="57" t="s">
        <v>206</v>
      </c>
      <c r="E205" s="59">
        <v>44644.0</v>
      </c>
      <c r="F205" s="57" t="str">
        <f t="shared" si="1"/>
        <v>+7</v>
      </c>
      <c r="G205" s="57" t="s">
        <v>765</v>
      </c>
      <c r="H205" s="57" t="s">
        <v>1068</v>
      </c>
      <c r="I205" s="57" t="s">
        <v>1069</v>
      </c>
      <c r="J205" s="57" t="str">
        <f t="array" ref="J205">XLOOKUP(F205,'коды стран'!$B$2:$B$7,'коды стран'!$A$2:$A$7)</f>
        <v>Россия</v>
      </c>
    </row>
    <row r="206" ht="14.25" customHeight="1">
      <c r="A206" s="57">
        <v>192.0</v>
      </c>
      <c r="B206" s="57" t="s">
        <v>1070</v>
      </c>
      <c r="C206" s="57" t="s">
        <v>1071</v>
      </c>
      <c r="D206" s="57" t="s">
        <v>205</v>
      </c>
      <c r="E206" s="59">
        <v>44572.0</v>
      </c>
      <c r="F206" s="57" t="str">
        <f t="shared" si="1"/>
        <v>+7</v>
      </c>
      <c r="G206" s="57" t="s">
        <v>1054</v>
      </c>
      <c r="H206" s="57" t="s">
        <v>1072</v>
      </c>
      <c r="I206" s="57" t="s">
        <v>1073</v>
      </c>
      <c r="J206" s="57" t="str">
        <f t="array" ref="J206">XLOOKUP(F206,'коды стран'!$B$2:$B$7,'коды стран'!$A$2:$A$7)</f>
        <v>Россия</v>
      </c>
    </row>
    <row r="207" ht="14.25" customHeight="1">
      <c r="A207" s="57">
        <v>308.0</v>
      </c>
      <c r="B207" s="57" t="s">
        <v>1074</v>
      </c>
      <c r="C207" s="57" t="s">
        <v>1075</v>
      </c>
      <c r="D207" s="57" t="s">
        <v>205</v>
      </c>
      <c r="E207" s="59">
        <v>44562.0</v>
      </c>
      <c r="F207" s="57" t="str">
        <f t="shared" si="1"/>
        <v>+375</v>
      </c>
      <c r="G207" s="57" t="s">
        <v>242</v>
      </c>
      <c r="H207" s="57" t="s">
        <v>1076</v>
      </c>
      <c r="I207" s="57" t="s">
        <v>1077</v>
      </c>
      <c r="J207" s="57" t="str">
        <f t="array" ref="J207">XLOOKUP(F207,'коды стран'!$B$2:$B$7,'коды стран'!$A$2:$A$7)</f>
        <v>Беларусь</v>
      </c>
    </row>
    <row r="208" ht="14.25" customHeight="1">
      <c r="A208" s="57">
        <v>455.0</v>
      </c>
      <c r="B208" s="57" t="s">
        <v>1078</v>
      </c>
      <c r="C208" s="57" t="s">
        <v>1079</v>
      </c>
      <c r="D208" s="57" t="s">
        <v>205</v>
      </c>
      <c r="E208" s="59">
        <v>44820.0</v>
      </c>
      <c r="F208" s="57" t="str">
        <f t="shared" si="1"/>
        <v>+380</v>
      </c>
      <c r="G208" s="57" t="s">
        <v>1080</v>
      </c>
      <c r="H208" s="57" t="s">
        <v>388</v>
      </c>
      <c r="I208" s="57" t="s">
        <v>220</v>
      </c>
      <c r="J208" s="57" t="str">
        <f t="array" ref="J208">XLOOKUP(F208,'коды стран'!$B$2:$B$7,'коды стран'!$A$2:$A$7)</f>
        <v>Украина</v>
      </c>
    </row>
    <row r="209" ht="14.25" customHeight="1">
      <c r="A209" s="57">
        <v>480.0</v>
      </c>
      <c r="B209" s="57" t="s">
        <v>1081</v>
      </c>
      <c r="C209" s="57" t="s">
        <v>1082</v>
      </c>
      <c r="D209" s="57" t="s">
        <v>205</v>
      </c>
      <c r="E209" s="59">
        <v>44568.0</v>
      </c>
      <c r="F209" s="57" t="str">
        <f t="shared" si="1"/>
        <v>+998</v>
      </c>
      <c r="G209" s="57" t="s">
        <v>281</v>
      </c>
      <c r="H209" s="57" t="s">
        <v>759</v>
      </c>
      <c r="I209" s="57" t="s">
        <v>382</v>
      </c>
      <c r="J209" s="57" t="str">
        <f t="array" ref="J209">XLOOKUP(F209,'коды стран'!$B$2:$B$7,'коды стран'!$A$2:$A$7)</f>
        <v>Узбекистан</v>
      </c>
    </row>
    <row r="210" ht="14.25" customHeight="1">
      <c r="A210" s="57">
        <v>203.0</v>
      </c>
      <c r="B210" s="57" t="s">
        <v>1083</v>
      </c>
      <c r="C210" s="57" t="s">
        <v>1084</v>
      </c>
      <c r="D210" s="57" t="s">
        <v>206</v>
      </c>
      <c r="E210" s="59">
        <v>44685.0</v>
      </c>
      <c r="F210" s="57" t="str">
        <f t="shared" si="1"/>
        <v>+7</v>
      </c>
      <c r="G210" s="57" t="s">
        <v>1085</v>
      </c>
      <c r="H210" s="57" t="s">
        <v>1086</v>
      </c>
      <c r="I210" s="57" t="s">
        <v>1043</v>
      </c>
      <c r="J210" s="57" t="str">
        <f t="array" ref="J210">XLOOKUP(F210,'коды стран'!$B$2:$B$7,'коды стран'!$A$2:$A$7)</f>
        <v>Россия</v>
      </c>
    </row>
    <row r="211" ht="14.25" customHeight="1">
      <c r="A211" s="57">
        <v>21.0</v>
      </c>
      <c r="B211" s="57" t="s">
        <v>1087</v>
      </c>
      <c r="C211" s="57" t="s">
        <v>1088</v>
      </c>
      <c r="D211" s="57" t="s">
        <v>205</v>
      </c>
      <c r="E211" s="59">
        <v>44881.0</v>
      </c>
      <c r="F211" s="57" t="str">
        <f t="shared" si="1"/>
        <v>+375</v>
      </c>
      <c r="G211" s="57" t="s">
        <v>1089</v>
      </c>
      <c r="H211" s="57" t="s">
        <v>1090</v>
      </c>
      <c r="I211" s="57" t="s">
        <v>558</v>
      </c>
      <c r="J211" s="57" t="str">
        <f t="array" ref="J211">XLOOKUP(F211,'коды стран'!$B$2:$B$7,'коды стран'!$A$2:$A$7)</f>
        <v>Беларусь</v>
      </c>
    </row>
    <row r="212" ht="14.25" customHeight="1">
      <c r="A212" s="57">
        <v>302.0</v>
      </c>
      <c r="B212" s="57" t="s">
        <v>1091</v>
      </c>
      <c r="C212" s="57" t="s">
        <v>1092</v>
      </c>
      <c r="D212" s="57" t="s">
        <v>206</v>
      </c>
      <c r="E212" s="59">
        <v>44859.0</v>
      </c>
      <c r="F212" s="57" t="str">
        <f t="shared" si="1"/>
        <v>+7</v>
      </c>
      <c r="G212" s="57" t="s">
        <v>370</v>
      </c>
      <c r="H212" s="57" t="s">
        <v>237</v>
      </c>
      <c r="I212" s="57" t="s">
        <v>1093</v>
      </c>
      <c r="J212" s="57" t="str">
        <f t="array" ref="J212">XLOOKUP(F212,'коды стран'!$B$2:$B$7,'коды стран'!$A$2:$A$7)</f>
        <v>Россия</v>
      </c>
    </row>
    <row r="213" ht="14.25" customHeight="1">
      <c r="A213" s="57">
        <v>341.0</v>
      </c>
      <c r="B213" s="57" t="s">
        <v>1094</v>
      </c>
      <c r="C213" s="57" t="s">
        <v>1095</v>
      </c>
      <c r="D213" s="57" t="s">
        <v>206</v>
      </c>
      <c r="E213" s="59">
        <v>44724.0</v>
      </c>
      <c r="F213" s="57" t="str">
        <f t="shared" si="1"/>
        <v>+7</v>
      </c>
      <c r="G213" s="57" t="s">
        <v>936</v>
      </c>
      <c r="H213" s="57" t="s">
        <v>1096</v>
      </c>
      <c r="I213" s="57" t="s">
        <v>501</v>
      </c>
      <c r="J213" s="57" t="str">
        <f t="array" ref="J213">XLOOKUP(F213,'коды стран'!$B$2:$B$7,'коды стран'!$A$2:$A$7)</f>
        <v>Россия</v>
      </c>
    </row>
    <row r="214" ht="14.25" customHeight="1">
      <c r="A214" s="57">
        <v>463.0</v>
      </c>
      <c r="B214" s="57" t="s">
        <v>1097</v>
      </c>
      <c r="C214" s="57" t="s">
        <v>1098</v>
      </c>
      <c r="D214" s="57" t="s">
        <v>206</v>
      </c>
      <c r="E214" s="59">
        <v>44869.0</v>
      </c>
      <c r="F214" s="57" t="str">
        <f t="shared" si="1"/>
        <v>+380</v>
      </c>
      <c r="G214" s="57" t="s">
        <v>301</v>
      </c>
      <c r="H214" s="57" t="s">
        <v>476</v>
      </c>
      <c r="I214" s="57" t="s">
        <v>1099</v>
      </c>
      <c r="J214" s="57" t="str">
        <f t="array" ref="J214">XLOOKUP(F214,'коды стран'!$B$2:$B$7,'коды стран'!$A$2:$A$7)</f>
        <v>Украина</v>
      </c>
    </row>
    <row r="215" ht="14.25" customHeight="1">
      <c r="A215" s="57">
        <v>421.0</v>
      </c>
      <c r="B215" s="57" t="s">
        <v>1100</v>
      </c>
      <c r="C215" s="57" t="s">
        <v>1101</v>
      </c>
      <c r="D215" s="57" t="s">
        <v>206</v>
      </c>
      <c r="E215" s="59">
        <v>44620.0</v>
      </c>
      <c r="F215" s="57" t="str">
        <f t="shared" si="1"/>
        <v>+7</v>
      </c>
      <c r="G215" s="57" t="s">
        <v>1102</v>
      </c>
      <c r="H215" s="57" t="s">
        <v>796</v>
      </c>
      <c r="I215" s="57" t="s">
        <v>1103</v>
      </c>
      <c r="J215" s="57" t="str">
        <f t="array" ref="J215">XLOOKUP(F215,'коды стран'!$B$2:$B$7,'коды стран'!$A$2:$A$7)</f>
        <v>Россия</v>
      </c>
    </row>
    <row r="216" ht="14.25" customHeight="1">
      <c r="A216" s="57">
        <v>86.0</v>
      </c>
      <c r="B216" s="57" t="s">
        <v>1104</v>
      </c>
      <c r="C216" s="57" t="s">
        <v>1105</v>
      </c>
      <c r="D216" s="57" t="s">
        <v>205</v>
      </c>
      <c r="E216" s="59">
        <v>44692.0</v>
      </c>
      <c r="F216" s="57" t="str">
        <f t="shared" si="1"/>
        <v>+998</v>
      </c>
      <c r="G216" s="57" t="s">
        <v>1106</v>
      </c>
      <c r="H216" s="57" t="s">
        <v>725</v>
      </c>
      <c r="I216" s="57" t="s">
        <v>759</v>
      </c>
      <c r="J216" s="57" t="str">
        <f t="array" ref="J216">XLOOKUP(F216,'коды стран'!$B$2:$B$7,'коды стран'!$A$2:$A$7)</f>
        <v>Узбекистан</v>
      </c>
    </row>
    <row r="217" ht="14.25" customHeight="1">
      <c r="A217" s="57">
        <v>319.0</v>
      </c>
      <c r="B217" s="57" t="s">
        <v>1107</v>
      </c>
      <c r="C217" s="57" t="s">
        <v>1108</v>
      </c>
      <c r="D217" s="57" t="s">
        <v>205</v>
      </c>
      <c r="E217" s="59">
        <v>44674.0</v>
      </c>
      <c r="F217" s="57" t="str">
        <f t="shared" si="1"/>
        <v>+998</v>
      </c>
      <c r="G217" s="57" t="s">
        <v>1109</v>
      </c>
      <c r="H217" s="57" t="s">
        <v>471</v>
      </c>
      <c r="I217" s="57" t="s">
        <v>277</v>
      </c>
      <c r="J217" s="57" t="str">
        <f t="array" ref="J217">XLOOKUP(F217,'коды стран'!$B$2:$B$7,'коды стран'!$A$2:$A$7)</f>
        <v>Узбекистан</v>
      </c>
    </row>
    <row r="218" ht="14.25" customHeight="1">
      <c r="A218" s="57">
        <v>290.0</v>
      </c>
      <c r="B218" s="57" t="s">
        <v>1110</v>
      </c>
      <c r="C218" s="57" t="s">
        <v>1111</v>
      </c>
      <c r="D218" s="57" t="s">
        <v>205</v>
      </c>
      <c r="E218" s="59">
        <v>44777.0</v>
      </c>
      <c r="F218" s="57" t="str">
        <f t="shared" si="1"/>
        <v>+7</v>
      </c>
      <c r="G218" s="57" t="s">
        <v>1112</v>
      </c>
      <c r="H218" s="57" t="s">
        <v>874</v>
      </c>
      <c r="I218" s="57" t="s">
        <v>1113</v>
      </c>
      <c r="J218" s="57" t="str">
        <f t="array" ref="J218">XLOOKUP(F218,'коды стран'!$B$2:$B$7,'коды стран'!$A$2:$A$7)</f>
        <v>Россия</v>
      </c>
    </row>
    <row r="219" ht="14.25" customHeight="1">
      <c r="A219" s="57">
        <v>13.0</v>
      </c>
      <c r="B219" s="57" t="s">
        <v>1114</v>
      </c>
      <c r="C219" s="57" t="s">
        <v>1115</v>
      </c>
      <c r="D219" s="57" t="s">
        <v>206</v>
      </c>
      <c r="E219" s="59">
        <v>44724.0</v>
      </c>
      <c r="F219" s="57" t="str">
        <f t="shared" si="1"/>
        <v>+7</v>
      </c>
      <c r="G219" s="57" t="s">
        <v>939</v>
      </c>
      <c r="H219" s="57" t="s">
        <v>1116</v>
      </c>
      <c r="I219" s="57" t="s">
        <v>384</v>
      </c>
      <c r="J219" s="57" t="str">
        <f t="array" ref="J219">XLOOKUP(F219,'коды стран'!$B$2:$B$7,'коды стран'!$A$2:$A$7)</f>
        <v>Россия</v>
      </c>
    </row>
    <row r="220" ht="14.25" customHeight="1">
      <c r="A220" s="57">
        <v>453.0</v>
      </c>
      <c r="B220" s="57" t="s">
        <v>1117</v>
      </c>
      <c r="C220" s="57" t="s">
        <v>1118</v>
      </c>
      <c r="D220" s="57" t="s">
        <v>205</v>
      </c>
      <c r="E220" s="59">
        <v>44635.0</v>
      </c>
      <c r="F220" s="57" t="str">
        <f t="shared" si="1"/>
        <v>+7</v>
      </c>
      <c r="G220" s="57" t="s">
        <v>586</v>
      </c>
      <c r="H220" s="57" t="s">
        <v>1119</v>
      </c>
      <c r="I220" s="57" t="s">
        <v>518</v>
      </c>
      <c r="J220" s="57" t="str">
        <f t="array" ref="J220">XLOOKUP(F220,'коды стран'!$B$2:$B$7,'коды стран'!$A$2:$A$7)</f>
        <v>Россия</v>
      </c>
    </row>
    <row r="221" ht="14.25" customHeight="1">
      <c r="A221" s="57">
        <v>120.0</v>
      </c>
      <c r="B221" s="57" t="s">
        <v>1120</v>
      </c>
      <c r="C221" s="57" t="s">
        <v>1121</v>
      </c>
      <c r="D221" s="57" t="s">
        <v>205</v>
      </c>
      <c r="E221" s="59">
        <v>44691.0</v>
      </c>
      <c r="F221" s="57" t="str">
        <f t="shared" si="1"/>
        <v>+7</v>
      </c>
      <c r="G221" s="57" t="s">
        <v>1122</v>
      </c>
      <c r="H221" s="57" t="s">
        <v>229</v>
      </c>
      <c r="I221" s="57" t="s">
        <v>1123</v>
      </c>
      <c r="J221" s="57" t="str">
        <f t="array" ref="J221">XLOOKUP(F221,'коды стран'!$B$2:$B$7,'коды стран'!$A$2:$A$7)</f>
        <v>Россия</v>
      </c>
    </row>
    <row r="222" ht="14.25" customHeight="1">
      <c r="A222" s="57">
        <v>292.0</v>
      </c>
      <c r="B222" s="57" t="s">
        <v>1124</v>
      </c>
      <c r="C222" s="57" t="s">
        <v>1125</v>
      </c>
      <c r="D222" s="57" t="s">
        <v>206</v>
      </c>
      <c r="E222" s="59">
        <v>44608.0</v>
      </c>
      <c r="F222" s="57" t="str">
        <f t="shared" si="1"/>
        <v>+7</v>
      </c>
      <c r="G222" s="57" t="s">
        <v>1126</v>
      </c>
      <c r="H222" s="57" t="s">
        <v>1127</v>
      </c>
      <c r="I222" s="57" t="s">
        <v>594</v>
      </c>
      <c r="J222" s="57" t="str">
        <f t="array" ref="J222">XLOOKUP(F222,'коды стран'!$B$2:$B$7,'коды стран'!$A$2:$A$7)</f>
        <v>Россия</v>
      </c>
    </row>
    <row r="223" ht="14.25" customHeight="1">
      <c r="A223" s="57">
        <v>1.0</v>
      </c>
      <c r="B223" s="57" t="s">
        <v>1128</v>
      </c>
      <c r="C223" s="57" t="s">
        <v>1129</v>
      </c>
      <c r="D223" s="57" t="s">
        <v>205</v>
      </c>
      <c r="E223" s="59">
        <v>44585.0</v>
      </c>
      <c r="F223" s="57" t="str">
        <f t="shared" si="1"/>
        <v>+7</v>
      </c>
      <c r="G223" s="57" t="s">
        <v>1130</v>
      </c>
      <c r="H223" s="57" t="s">
        <v>1131</v>
      </c>
      <c r="I223" s="57" t="s">
        <v>799</v>
      </c>
      <c r="J223" s="57" t="str">
        <f t="array" ref="J223">XLOOKUP(F223,'коды стран'!$B$2:$B$7,'коды стран'!$A$2:$A$7)</f>
        <v>Россия</v>
      </c>
    </row>
    <row r="224" ht="14.25" customHeight="1">
      <c r="A224" s="57">
        <v>98.0</v>
      </c>
      <c r="B224" s="57" t="s">
        <v>1132</v>
      </c>
      <c r="C224" s="57" t="s">
        <v>1133</v>
      </c>
      <c r="D224" s="57" t="s">
        <v>205</v>
      </c>
      <c r="E224" s="59">
        <v>44637.0</v>
      </c>
      <c r="F224" s="57" t="str">
        <f t="shared" si="1"/>
        <v>+7</v>
      </c>
      <c r="G224" s="57" t="s">
        <v>1089</v>
      </c>
      <c r="H224" s="57" t="s">
        <v>336</v>
      </c>
      <c r="I224" s="57" t="s">
        <v>1134</v>
      </c>
      <c r="J224" s="57" t="str">
        <f t="array" ref="J224">XLOOKUP(F224,'коды стран'!$B$2:$B$7,'коды стран'!$A$2:$A$7)</f>
        <v>Россия</v>
      </c>
    </row>
    <row r="225" ht="14.25" customHeight="1">
      <c r="A225" s="57">
        <v>226.0</v>
      </c>
      <c r="B225" s="57" t="s">
        <v>1135</v>
      </c>
      <c r="C225" s="57" t="s">
        <v>1136</v>
      </c>
      <c r="D225" s="57" t="s">
        <v>205</v>
      </c>
      <c r="E225" s="59">
        <v>44702.0</v>
      </c>
      <c r="F225" s="57" t="str">
        <f t="shared" si="1"/>
        <v>+7</v>
      </c>
      <c r="G225" s="57" t="s">
        <v>1137</v>
      </c>
      <c r="H225" s="57" t="s">
        <v>792</v>
      </c>
      <c r="I225" s="57" t="s">
        <v>1138</v>
      </c>
      <c r="J225" s="57" t="str">
        <f t="array" ref="J225">XLOOKUP(F225,'коды стран'!$B$2:$B$7,'коды стран'!$A$2:$A$7)</f>
        <v>Россия</v>
      </c>
    </row>
    <row r="226" ht="14.25" customHeight="1">
      <c r="A226" s="57">
        <v>296.0</v>
      </c>
      <c r="B226" s="57" t="s">
        <v>1139</v>
      </c>
      <c r="C226" s="57" t="s">
        <v>1140</v>
      </c>
      <c r="D226" s="57" t="s">
        <v>206</v>
      </c>
      <c r="E226" s="59">
        <v>44758.0</v>
      </c>
      <c r="F226" s="57" t="str">
        <f t="shared" si="1"/>
        <v>+998</v>
      </c>
      <c r="G226" s="57" t="s">
        <v>1141</v>
      </c>
      <c r="H226" s="57" t="s">
        <v>1142</v>
      </c>
      <c r="I226" s="57" t="s">
        <v>640</v>
      </c>
      <c r="J226" s="57" t="str">
        <f t="array" ref="J226">XLOOKUP(F226,'коды стран'!$B$2:$B$7,'коды стран'!$A$2:$A$7)</f>
        <v>Узбекистан</v>
      </c>
    </row>
    <row r="227" ht="14.25" customHeight="1">
      <c r="A227" s="57">
        <v>29.0</v>
      </c>
      <c r="B227" s="57" t="s">
        <v>1143</v>
      </c>
      <c r="C227" s="57" t="s">
        <v>1144</v>
      </c>
      <c r="D227" s="57" t="s">
        <v>205</v>
      </c>
      <c r="E227" s="59">
        <v>44704.0</v>
      </c>
      <c r="F227" s="57" t="str">
        <f t="shared" si="1"/>
        <v>+7</v>
      </c>
      <c r="G227" s="57" t="s">
        <v>782</v>
      </c>
      <c r="H227" s="57" t="s">
        <v>1145</v>
      </c>
      <c r="I227" s="57" t="s">
        <v>735</v>
      </c>
      <c r="J227" s="57" t="str">
        <f t="array" ref="J227">XLOOKUP(F227,'коды стран'!$B$2:$B$7,'коды стран'!$A$2:$A$7)</f>
        <v>Россия</v>
      </c>
    </row>
    <row r="228" ht="14.25" customHeight="1">
      <c r="A228" s="57">
        <v>297.0</v>
      </c>
      <c r="B228" s="57" t="s">
        <v>1146</v>
      </c>
      <c r="C228" s="57" t="s">
        <v>1147</v>
      </c>
      <c r="D228" s="57" t="s">
        <v>206</v>
      </c>
      <c r="E228" s="59">
        <v>44666.0</v>
      </c>
      <c r="F228" s="57" t="str">
        <f t="shared" si="1"/>
        <v>+380</v>
      </c>
      <c r="G228" s="57" t="s">
        <v>1148</v>
      </c>
      <c r="H228" s="57" t="s">
        <v>335</v>
      </c>
      <c r="I228" s="57" t="s">
        <v>1149</v>
      </c>
      <c r="J228" s="57" t="str">
        <f t="array" ref="J228">XLOOKUP(F228,'коды стран'!$B$2:$B$7,'коды стран'!$A$2:$A$7)</f>
        <v>Украина</v>
      </c>
    </row>
    <row r="229" ht="14.25" customHeight="1">
      <c r="A229" s="57">
        <v>497.0</v>
      </c>
      <c r="B229" s="57" t="s">
        <v>1150</v>
      </c>
      <c r="C229" s="57" t="s">
        <v>1151</v>
      </c>
      <c r="D229" s="57" t="s">
        <v>206</v>
      </c>
      <c r="E229" s="59">
        <v>44826.0</v>
      </c>
      <c r="F229" s="57" t="str">
        <f t="shared" si="1"/>
        <v>+998</v>
      </c>
      <c r="G229" s="57" t="s">
        <v>751</v>
      </c>
      <c r="H229" s="57" t="s">
        <v>1152</v>
      </c>
      <c r="I229" s="57" t="s">
        <v>999</v>
      </c>
      <c r="J229" s="57" t="str">
        <f t="array" ref="J229">XLOOKUP(F229,'коды стран'!$B$2:$B$7,'коды стран'!$A$2:$A$7)</f>
        <v>Узбекистан</v>
      </c>
    </row>
    <row r="230" ht="14.25" customHeight="1">
      <c r="A230" s="57">
        <v>191.0</v>
      </c>
      <c r="B230" s="57" t="s">
        <v>1153</v>
      </c>
      <c r="C230" s="57" t="s">
        <v>1154</v>
      </c>
      <c r="D230" s="57" t="s">
        <v>205</v>
      </c>
      <c r="E230" s="59">
        <v>44866.0</v>
      </c>
      <c r="F230" s="57" t="str">
        <f t="shared" si="1"/>
        <v>+380</v>
      </c>
      <c r="G230" s="57" t="s">
        <v>1155</v>
      </c>
      <c r="H230" s="57" t="s">
        <v>1156</v>
      </c>
      <c r="I230" s="57" t="s">
        <v>1157</v>
      </c>
      <c r="J230" s="57" t="str">
        <f t="array" ref="J230">XLOOKUP(F230,'коды стран'!$B$2:$B$7,'коды стран'!$A$2:$A$7)</f>
        <v>Украина</v>
      </c>
    </row>
    <row r="231" ht="14.25" customHeight="1">
      <c r="A231" s="57">
        <v>58.0</v>
      </c>
      <c r="B231" s="57" t="s">
        <v>1158</v>
      </c>
      <c r="C231" s="57" t="s">
        <v>1159</v>
      </c>
      <c r="D231" s="57" t="s">
        <v>206</v>
      </c>
      <c r="E231" s="59">
        <v>44628.0</v>
      </c>
      <c r="F231" s="57" t="str">
        <f t="shared" si="1"/>
        <v>+375</v>
      </c>
      <c r="G231" s="57" t="s">
        <v>1160</v>
      </c>
      <c r="H231" s="57" t="s">
        <v>480</v>
      </c>
      <c r="I231" s="57" t="s">
        <v>730</v>
      </c>
      <c r="J231" s="57" t="str">
        <f t="array" ref="J231">XLOOKUP(F231,'коды стран'!$B$2:$B$7,'коды стран'!$A$2:$A$7)</f>
        <v>Беларусь</v>
      </c>
    </row>
    <row r="232" ht="14.25" customHeight="1">
      <c r="A232" s="57">
        <v>446.0</v>
      </c>
      <c r="B232" s="57" t="s">
        <v>1161</v>
      </c>
      <c r="C232" s="57" t="s">
        <v>1162</v>
      </c>
      <c r="D232" s="57" t="s">
        <v>205</v>
      </c>
      <c r="E232" s="59">
        <v>44671.0</v>
      </c>
      <c r="F232" s="57" t="str">
        <f t="shared" si="1"/>
        <v>+992</v>
      </c>
      <c r="G232" s="57" t="s">
        <v>405</v>
      </c>
      <c r="H232" s="57" t="s">
        <v>350</v>
      </c>
      <c r="I232" s="57" t="s">
        <v>1163</v>
      </c>
      <c r="J232" s="57" t="str">
        <f t="array" ref="J232">XLOOKUP(F232,'коды стран'!$B$2:$B$7,'коды стран'!$A$2:$A$7)</f>
        <v>Таджикистан</v>
      </c>
    </row>
    <row r="233" ht="14.25" customHeight="1">
      <c r="A233" s="57">
        <v>117.0</v>
      </c>
      <c r="B233" s="57" t="s">
        <v>1164</v>
      </c>
      <c r="C233" s="57" t="s">
        <v>1165</v>
      </c>
      <c r="D233" s="57" t="s">
        <v>205</v>
      </c>
      <c r="E233" s="59">
        <v>44706.0</v>
      </c>
      <c r="F233" s="57" t="str">
        <f t="shared" si="1"/>
        <v>+380</v>
      </c>
      <c r="G233" s="57" t="s">
        <v>1166</v>
      </c>
      <c r="H233" s="57" t="s">
        <v>1167</v>
      </c>
      <c r="I233" s="57" t="s">
        <v>1168</v>
      </c>
      <c r="J233" s="57" t="str">
        <f t="array" ref="J233">XLOOKUP(F233,'коды стран'!$B$2:$B$7,'коды стран'!$A$2:$A$7)</f>
        <v>Украина</v>
      </c>
    </row>
    <row r="234" ht="14.25" customHeight="1">
      <c r="A234" s="57">
        <v>187.0</v>
      </c>
      <c r="B234" s="57" t="s">
        <v>1169</v>
      </c>
      <c r="C234" s="57" t="s">
        <v>1170</v>
      </c>
      <c r="D234" s="57" t="s">
        <v>205</v>
      </c>
      <c r="E234" s="59">
        <v>44848.0</v>
      </c>
      <c r="F234" s="57" t="str">
        <f t="shared" si="1"/>
        <v>+7</v>
      </c>
      <c r="G234" s="57" t="s">
        <v>281</v>
      </c>
      <c r="H234" s="57" t="s">
        <v>1171</v>
      </c>
      <c r="I234" s="57" t="s">
        <v>1172</v>
      </c>
      <c r="J234" s="57" t="str">
        <f t="array" ref="J234">XLOOKUP(F234,'коды стран'!$B$2:$B$7,'коды стран'!$A$2:$A$7)</f>
        <v>Россия</v>
      </c>
    </row>
    <row r="235" ht="14.25" customHeight="1">
      <c r="A235" s="57">
        <v>231.0</v>
      </c>
      <c r="B235" s="57" t="s">
        <v>1173</v>
      </c>
      <c r="C235" s="57" t="s">
        <v>1174</v>
      </c>
      <c r="D235" s="57" t="s">
        <v>206</v>
      </c>
      <c r="E235" s="59">
        <v>44752.0</v>
      </c>
      <c r="F235" s="57" t="str">
        <f t="shared" si="1"/>
        <v>+7</v>
      </c>
      <c r="G235" s="57" t="s">
        <v>698</v>
      </c>
      <c r="H235" s="57" t="s">
        <v>1145</v>
      </c>
      <c r="I235" s="57" t="s">
        <v>1047</v>
      </c>
      <c r="J235" s="57" t="str">
        <f t="array" ref="J235">XLOOKUP(F235,'коды стран'!$B$2:$B$7,'коды стран'!$A$2:$A$7)</f>
        <v>Россия</v>
      </c>
    </row>
    <row r="236" ht="14.25" customHeight="1">
      <c r="A236" s="57">
        <v>265.0</v>
      </c>
      <c r="B236" s="57" t="s">
        <v>1175</v>
      </c>
      <c r="C236" s="57" t="s">
        <v>1176</v>
      </c>
      <c r="D236" s="57" t="s">
        <v>206</v>
      </c>
      <c r="E236" s="59">
        <v>44756.0</v>
      </c>
      <c r="F236" s="57" t="str">
        <f t="shared" si="1"/>
        <v>+998</v>
      </c>
      <c r="G236" s="57" t="s">
        <v>1177</v>
      </c>
      <c r="H236" s="57" t="s">
        <v>1178</v>
      </c>
      <c r="I236" s="57" t="s">
        <v>553</v>
      </c>
      <c r="J236" s="57" t="str">
        <f t="array" ref="J236">XLOOKUP(F236,'коды стран'!$B$2:$B$7,'коды стран'!$A$2:$A$7)</f>
        <v>Узбекистан</v>
      </c>
    </row>
    <row r="237" ht="14.25" customHeight="1">
      <c r="A237" s="57">
        <v>391.0</v>
      </c>
      <c r="B237" s="57" t="s">
        <v>1179</v>
      </c>
      <c r="C237" s="57" t="s">
        <v>1180</v>
      </c>
      <c r="D237" s="57" t="s">
        <v>205</v>
      </c>
      <c r="E237" s="59">
        <v>44675.0</v>
      </c>
      <c r="F237" s="57" t="str">
        <f t="shared" si="1"/>
        <v>+992</v>
      </c>
      <c r="G237" s="57" t="s">
        <v>301</v>
      </c>
      <c r="H237" s="57" t="s">
        <v>485</v>
      </c>
      <c r="I237" s="57" t="s">
        <v>1181</v>
      </c>
      <c r="J237" s="57" t="str">
        <f t="array" ref="J237">XLOOKUP(F237,'коды стран'!$B$2:$B$7,'коды стран'!$A$2:$A$7)</f>
        <v>Таджикистан</v>
      </c>
    </row>
    <row r="238" ht="14.25" customHeight="1">
      <c r="A238" s="57">
        <v>355.0</v>
      </c>
      <c r="B238" s="57" t="s">
        <v>1182</v>
      </c>
      <c r="C238" s="57" t="s">
        <v>1183</v>
      </c>
      <c r="D238" s="57" t="s">
        <v>206</v>
      </c>
      <c r="E238" s="59">
        <v>44631.0</v>
      </c>
      <c r="F238" s="57" t="str">
        <f t="shared" si="1"/>
        <v>+7</v>
      </c>
      <c r="G238" s="57" t="s">
        <v>808</v>
      </c>
      <c r="H238" s="57" t="s">
        <v>432</v>
      </c>
      <c r="I238" s="57" t="s">
        <v>365</v>
      </c>
      <c r="J238" s="57" t="str">
        <f t="array" ref="J238">XLOOKUP(F238,'коды стран'!$B$2:$B$7,'коды стран'!$A$2:$A$7)</f>
        <v>Россия</v>
      </c>
    </row>
    <row r="239" ht="14.25" customHeight="1">
      <c r="A239" s="57">
        <v>277.0</v>
      </c>
      <c r="B239" s="57" t="s">
        <v>1184</v>
      </c>
      <c r="C239" s="57" t="s">
        <v>1185</v>
      </c>
      <c r="D239" s="57" t="s">
        <v>205</v>
      </c>
      <c r="E239" s="59">
        <v>44750.0</v>
      </c>
      <c r="F239" s="57" t="str">
        <f t="shared" si="1"/>
        <v>+7</v>
      </c>
      <c r="G239" s="57" t="s">
        <v>738</v>
      </c>
      <c r="H239" s="57" t="s">
        <v>1043</v>
      </c>
      <c r="I239" s="57" t="s">
        <v>1186</v>
      </c>
      <c r="J239" s="57" t="str">
        <f t="array" ref="J239">XLOOKUP(F239,'коды стран'!$B$2:$B$7,'коды стран'!$A$2:$A$7)</f>
        <v>Россия</v>
      </c>
    </row>
    <row r="240" ht="14.25" customHeight="1">
      <c r="A240" s="57">
        <v>104.0</v>
      </c>
      <c r="B240" s="57" t="s">
        <v>1187</v>
      </c>
      <c r="C240" s="57" t="s">
        <v>1188</v>
      </c>
      <c r="D240" s="57" t="s">
        <v>206</v>
      </c>
      <c r="E240" s="59">
        <v>44772.0</v>
      </c>
      <c r="F240" s="57" t="str">
        <f t="shared" si="1"/>
        <v>+998</v>
      </c>
      <c r="G240" s="57" t="s">
        <v>603</v>
      </c>
      <c r="H240" s="57" t="s">
        <v>1189</v>
      </c>
      <c r="I240" s="57" t="s">
        <v>434</v>
      </c>
      <c r="J240" s="57" t="str">
        <f t="array" ref="J240">XLOOKUP(F240,'коды стран'!$B$2:$B$7,'коды стран'!$A$2:$A$7)</f>
        <v>Узбекистан</v>
      </c>
    </row>
    <row r="241" ht="14.25" customHeight="1">
      <c r="A241" s="57">
        <v>109.0</v>
      </c>
      <c r="B241" s="57" t="s">
        <v>1190</v>
      </c>
      <c r="C241" s="57" t="s">
        <v>1191</v>
      </c>
      <c r="D241" s="57" t="s">
        <v>205</v>
      </c>
      <c r="E241" s="59">
        <v>44732.0</v>
      </c>
      <c r="F241" s="57" t="str">
        <f t="shared" si="1"/>
        <v>+380</v>
      </c>
      <c r="G241" s="57" t="s">
        <v>1192</v>
      </c>
      <c r="H241" s="57" t="s">
        <v>1142</v>
      </c>
      <c r="I241" s="57" t="s">
        <v>914</v>
      </c>
      <c r="J241" s="57" t="str">
        <f t="array" ref="J241">XLOOKUP(F241,'коды стран'!$B$2:$B$7,'коды стран'!$A$2:$A$7)</f>
        <v>Украина</v>
      </c>
    </row>
    <row r="242" ht="14.25" customHeight="1">
      <c r="A242" s="57">
        <v>369.0</v>
      </c>
      <c r="B242" s="57" t="s">
        <v>1193</v>
      </c>
      <c r="C242" s="57" t="s">
        <v>1194</v>
      </c>
      <c r="D242" s="57" t="s">
        <v>205</v>
      </c>
      <c r="E242" s="59">
        <v>44678.0</v>
      </c>
      <c r="F242" s="57" t="str">
        <f t="shared" si="1"/>
        <v>+7</v>
      </c>
      <c r="G242" s="57" t="s">
        <v>729</v>
      </c>
      <c r="H242" s="57" t="s">
        <v>318</v>
      </c>
      <c r="I242" s="57" t="s">
        <v>1195</v>
      </c>
      <c r="J242" s="57" t="str">
        <f t="array" ref="J242">XLOOKUP(F242,'коды стран'!$B$2:$B$7,'коды стран'!$A$2:$A$7)</f>
        <v>Россия</v>
      </c>
    </row>
    <row r="243" ht="14.25" customHeight="1">
      <c r="A243" s="57">
        <v>78.0</v>
      </c>
      <c r="B243" s="57" t="s">
        <v>1196</v>
      </c>
      <c r="C243" s="57" t="s">
        <v>1197</v>
      </c>
      <c r="D243" s="57" t="s">
        <v>205</v>
      </c>
      <c r="E243" s="59">
        <v>44658.0</v>
      </c>
      <c r="F243" s="57" t="str">
        <f t="shared" si="1"/>
        <v>+380</v>
      </c>
      <c r="G243" s="57" t="s">
        <v>945</v>
      </c>
      <c r="H243" s="57" t="s">
        <v>512</v>
      </c>
      <c r="I243" s="57" t="s">
        <v>1198</v>
      </c>
      <c r="J243" s="57" t="str">
        <f t="array" ref="J243">XLOOKUP(F243,'коды стран'!$B$2:$B$7,'коды стран'!$A$2:$A$7)</f>
        <v>Украина</v>
      </c>
    </row>
    <row r="244" ht="14.25" customHeight="1">
      <c r="A244" s="57">
        <v>66.0</v>
      </c>
      <c r="B244" s="57" t="s">
        <v>1199</v>
      </c>
      <c r="C244" s="57" t="s">
        <v>1200</v>
      </c>
      <c r="D244" s="57" t="s">
        <v>206</v>
      </c>
      <c r="E244" s="59">
        <v>44777.0</v>
      </c>
      <c r="F244" s="57" t="str">
        <f t="shared" si="1"/>
        <v>+7</v>
      </c>
      <c r="G244" s="57" t="s">
        <v>1201</v>
      </c>
      <c r="H244" s="57" t="s">
        <v>907</v>
      </c>
      <c r="I244" s="57" t="s">
        <v>1202</v>
      </c>
      <c r="J244" s="57" t="str">
        <f t="array" ref="J244">XLOOKUP(F244,'коды стран'!$B$2:$B$7,'коды стран'!$A$2:$A$7)</f>
        <v>Россия</v>
      </c>
    </row>
    <row r="245" ht="14.25" customHeight="1">
      <c r="A245" s="57">
        <v>261.0</v>
      </c>
      <c r="B245" s="57" t="s">
        <v>1203</v>
      </c>
      <c r="C245" s="57" t="s">
        <v>1204</v>
      </c>
      <c r="D245" s="57" t="s">
        <v>205</v>
      </c>
      <c r="E245" s="59">
        <v>44848.0</v>
      </c>
      <c r="F245" s="57" t="str">
        <f t="shared" si="1"/>
        <v>+7</v>
      </c>
      <c r="G245" s="57" t="s">
        <v>1205</v>
      </c>
      <c r="H245" s="57" t="s">
        <v>1206</v>
      </c>
      <c r="I245" s="57" t="s">
        <v>1207</v>
      </c>
      <c r="J245" s="57" t="str">
        <f t="array" ref="J245">XLOOKUP(F245,'коды стран'!$B$2:$B$7,'коды стран'!$A$2:$A$7)</f>
        <v>Россия</v>
      </c>
    </row>
    <row r="246" ht="14.25" customHeight="1">
      <c r="A246" s="57">
        <v>307.0</v>
      </c>
      <c r="B246" s="57" t="s">
        <v>1208</v>
      </c>
      <c r="C246" s="57" t="s">
        <v>1209</v>
      </c>
      <c r="D246" s="57" t="s">
        <v>205</v>
      </c>
      <c r="E246" s="59">
        <v>44764.0</v>
      </c>
      <c r="F246" s="57" t="str">
        <f t="shared" si="1"/>
        <v>+375</v>
      </c>
      <c r="G246" s="57" t="s">
        <v>1201</v>
      </c>
      <c r="H246" s="57" t="s">
        <v>1210</v>
      </c>
      <c r="I246" s="57" t="s">
        <v>1211</v>
      </c>
      <c r="J246" s="57" t="str">
        <f t="array" ref="J246">XLOOKUP(F246,'коды стран'!$B$2:$B$7,'коды стран'!$A$2:$A$7)</f>
        <v>Беларусь</v>
      </c>
    </row>
    <row r="247" ht="14.25" customHeight="1">
      <c r="A247" s="57">
        <v>144.0</v>
      </c>
      <c r="B247" s="57" t="s">
        <v>1212</v>
      </c>
      <c r="C247" s="57" t="s">
        <v>1213</v>
      </c>
      <c r="D247" s="57" t="s">
        <v>205</v>
      </c>
      <c r="E247" s="59">
        <v>44705.0</v>
      </c>
      <c r="F247" s="57" t="str">
        <f t="shared" si="1"/>
        <v>+380</v>
      </c>
      <c r="G247" s="57" t="s">
        <v>755</v>
      </c>
      <c r="H247" s="57" t="s">
        <v>857</v>
      </c>
      <c r="I247" s="57" t="s">
        <v>1214</v>
      </c>
      <c r="J247" s="57" t="str">
        <f t="array" ref="J247">XLOOKUP(F247,'коды стран'!$B$2:$B$7,'коды стран'!$A$2:$A$7)</f>
        <v>Украина</v>
      </c>
    </row>
    <row r="248" ht="14.25" customHeight="1">
      <c r="A248" s="57">
        <v>76.0</v>
      </c>
      <c r="B248" s="57" t="s">
        <v>1215</v>
      </c>
      <c r="C248" s="57" t="s">
        <v>1216</v>
      </c>
      <c r="D248" s="57" t="s">
        <v>205</v>
      </c>
      <c r="E248" s="59">
        <v>44575.0</v>
      </c>
      <c r="F248" s="57" t="str">
        <f t="shared" si="1"/>
        <v>+375</v>
      </c>
      <c r="G248" s="57" t="s">
        <v>303</v>
      </c>
      <c r="H248" s="57" t="s">
        <v>471</v>
      </c>
      <c r="I248" s="57" t="s">
        <v>421</v>
      </c>
      <c r="J248" s="57" t="str">
        <f t="array" ref="J248">XLOOKUP(F248,'коды стран'!$B$2:$B$7,'коды стран'!$A$2:$A$7)</f>
        <v>Беларусь</v>
      </c>
    </row>
    <row r="249" ht="14.25" customHeight="1">
      <c r="A249" s="57">
        <v>84.0</v>
      </c>
      <c r="B249" s="57" t="s">
        <v>1217</v>
      </c>
      <c r="C249" s="57" t="s">
        <v>1218</v>
      </c>
      <c r="D249" s="57" t="s">
        <v>206</v>
      </c>
      <c r="E249" s="59">
        <v>44805.0</v>
      </c>
      <c r="F249" s="57" t="str">
        <f t="shared" si="1"/>
        <v>+992</v>
      </c>
      <c r="G249" s="57" t="s">
        <v>490</v>
      </c>
      <c r="H249" s="57" t="s">
        <v>224</v>
      </c>
      <c r="I249" s="57" t="s">
        <v>954</v>
      </c>
      <c r="J249" s="57" t="str">
        <f t="array" ref="J249">XLOOKUP(F249,'коды стран'!$B$2:$B$7,'коды стран'!$A$2:$A$7)</f>
        <v>Таджикистан</v>
      </c>
    </row>
    <row r="250" ht="14.25" customHeight="1">
      <c r="A250" s="57">
        <v>81.0</v>
      </c>
      <c r="B250" s="57" t="s">
        <v>1219</v>
      </c>
      <c r="C250" s="57" t="s">
        <v>1220</v>
      </c>
      <c r="D250" s="57" t="s">
        <v>205</v>
      </c>
      <c r="E250" s="59">
        <v>44825.0</v>
      </c>
      <c r="F250" s="57" t="str">
        <f t="shared" si="1"/>
        <v>+7</v>
      </c>
      <c r="G250" s="57" t="s">
        <v>1221</v>
      </c>
      <c r="H250" s="57" t="s">
        <v>759</v>
      </c>
      <c r="I250" s="57" t="s">
        <v>1222</v>
      </c>
      <c r="J250" s="57" t="str">
        <f t="array" ref="J250">XLOOKUP(F250,'коды стран'!$B$2:$B$7,'коды стран'!$A$2:$A$7)</f>
        <v>Россия</v>
      </c>
    </row>
    <row r="251" ht="14.25" customHeight="1">
      <c r="A251" s="57">
        <v>157.0</v>
      </c>
      <c r="B251" s="57" t="s">
        <v>1223</v>
      </c>
      <c r="C251" s="57" t="s">
        <v>1224</v>
      </c>
      <c r="D251" s="57" t="s">
        <v>206</v>
      </c>
      <c r="E251" s="59">
        <v>44783.0</v>
      </c>
      <c r="F251" s="57" t="str">
        <f t="shared" si="1"/>
        <v>+7</v>
      </c>
      <c r="G251" s="57" t="s">
        <v>1116</v>
      </c>
      <c r="H251" s="57" t="s">
        <v>604</v>
      </c>
      <c r="I251" s="57" t="s">
        <v>666</v>
      </c>
      <c r="J251" s="57" t="str">
        <f t="array" ref="J251">XLOOKUP(F251,'коды стран'!$B$2:$B$7,'коды стран'!$A$2:$A$7)</f>
        <v>Россия</v>
      </c>
    </row>
    <row r="252" ht="14.25" customHeight="1">
      <c r="A252" s="57">
        <v>57.0</v>
      </c>
      <c r="B252" s="57" t="s">
        <v>1225</v>
      </c>
      <c r="C252" s="57" t="s">
        <v>1226</v>
      </c>
      <c r="D252" s="57" t="s">
        <v>206</v>
      </c>
      <c r="E252" s="59">
        <v>44669.0</v>
      </c>
      <c r="F252" s="57" t="str">
        <f t="shared" si="1"/>
        <v>+7</v>
      </c>
      <c r="G252" s="57" t="s">
        <v>1227</v>
      </c>
      <c r="H252" s="57" t="s">
        <v>917</v>
      </c>
      <c r="I252" s="57" t="s">
        <v>1228</v>
      </c>
      <c r="J252" s="57" t="str">
        <f t="array" ref="J252">XLOOKUP(F252,'коды стран'!$B$2:$B$7,'коды стран'!$A$2:$A$7)</f>
        <v>Россия</v>
      </c>
    </row>
    <row r="253" ht="14.25" customHeight="1">
      <c r="A253" s="57">
        <v>479.0</v>
      </c>
      <c r="B253" s="57" t="s">
        <v>1229</v>
      </c>
      <c r="C253" s="57" t="s">
        <v>1230</v>
      </c>
      <c r="D253" s="57" t="s">
        <v>205</v>
      </c>
      <c r="E253" s="59">
        <v>44793.0</v>
      </c>
      <c r="F253" s="57" t="str">
        <f t="shared" si="1"/>
        <v>+7</v>
      </c>
      <c r="G253" s="57" t="s">
        <v>779</v>
      </c>
      <c r="H253" s="57" t="s">
        <v>233</v>
      </c>
      <c r="I253" s="57" t="s">
        <v>1231</v>
      </c>
      <c r="J253" s="57" t="str">
        <f t="array" ref="J253">XLOOKUP(F253,'коды стран'!$B$2:$B$7,'коды стран'!$A$2:$A$7)</f>
        <v>Россия</v>
      </c>
    </row>
    <row r="254" ht="14.25" customHeight="1">
      <c r="A254" s="57">
        <v>406.0</v>
      </c>
      <c r="B254" s="57" t="s">
        <v>1232</v>
      </c>
      <c r="C254" s="57" t="s">
        <v>1233</v>
      </c>
      <c r="D254" s="57" t="s">
        <v>205</v>
      </c>
      <c r="E254" s="59">
        <v>44895.0</v>
      </c>
      <c r="F254" s="57" t="str">
        <f t="shared" si="1"/>
        <v>+380</v>
      </c>
      <c r="G254" s="57" t="s">
        <v>1234</v>
      </c>
      <c r="H254" s="57" t="s">
        <v>1235</v>
      </c>
      <c r="I254" s="57" t="s">
        <v>1236</v>
      </c>
      <c r="J254" s="57" t="str">
        <f t="array" ref="J254">XLOOKUP(F254,'коды стран'!$B$2:$B$7,'коды стран'!$A$2:$A$7)</f>
        <v>Украина</v>
      </c>
    </row>
    <row r="255" ht="14.25" customHeight="1">
      <c r="A255" s="57">
        <v>56.0</v>
      </c>
      <c r="B255" s="57" t="s">
        <v>1237</v>
      </c>
      <c r="C255" s="57" t="s">
        <v>1238</v>
      </c>
      <c r="D255" s="57" t="s">
        <v>206</v>
      </c>
      <c r="E255" s="59">
        <v>44662.0</v>
      </c>
      <c r="F255" s="57" t="str">
        <f t="shared" si="1"/>
        <v>+992</v>
      </c>
      <c r="G255" s="57" t="s">
        <v>1239</v>
      </c>
      <c r="H255" s="57" t="s">
        <v>1240</v>
      </c>
      <c r="I255" s="57" t="s">
        <v>1241</v>
      </c>
      <c r="J255" s="57" t="str">
        <f t="array" ref="J255">XLOOKUP(F255,'коды стран'!$B$2:$B$7,'коды стран'!$A$2:$A$7)</f>
        <v>Таджикистан</v>
      </c>
    </row>
    <row r="256" ht="14.25" customHeight="1">
      <c r="A256" s="57">
        <v>10.0</v>
      </c>
      <c r="B256" s="57" t="s">
        <v>1242</v>
      </c>
      <c r="C256" s="57" t="s">
        <v>1243</v>
      </c>
      <c r="D256" s="57" t="s">
        <v>206</v>
      </c>
      <c r="E256" s="59">
        <v>44881.0</v>
      </c>
      <c r="F256" s="57" t="str">
        <f t="shared" si="1"/>
        <v>+380</v>
      </c>
      <c r="G256" s="57" t="s">
        <v>616</v>
      </c>
      <c r="H256" s="57" t="s">
        <v>1244</v>
      </c>
      <c r="I256" s="57" t="s">
        <v>1245</v>
      </c>
      <c r="J256" s="57" t="str">
        <f t="array" ref="J256">XLOOKUP(F256,'коды стран'!$B$2:$B$7,'коды стран'!$A$2:$A$7)</f>
        <v>Украина</v>
      </c>
    </row>
    <row r="257" ht="14.25" customHeight="1">
      <c r="A257" s="57">
        <v>174.0</v>
      </c>
      <c r="B257" s="57" t="s">
        <v>1246</v>
      </c>
      <c r="C257" s="57" t="s">
        <v>1247</v>
      </c>
      <c r="D257" s="57" t="s">
        <v>205</v>
      </c>
      <c r="E257" s="59">
        <v>44779.0</v>
      </c>
      <c r="F257" s="57" t="str">
        <f t="shared" si="1"/>
        <v>+992</v>
      </c>
      <c r="G257" s="57" t="s">
        <v>669</v>
      </c>
      <c r="H257" s="57" t="s">
        <v>1248</v>
      </c>
      <c r="I257" s="57" t="s">
        <v>1090</v>
      </c>
      <c r="J257" s="57" t="str">
        <f t="array" ref="J257">XLOOKUP(F257,'коды стран'!$B$2:$B$7,'коды стран'!$A$2:$A$7)</f>
        <v>Таджикистан</v>
      </c>
    </row>
    <row r="258" ht="14.25" customHeight="1">
      <c r="A258" s="57">
        <v>72.0</v>
      </c>
      <c r="B258" s="57" t="s">
        <v>1249</v>
      </c>
      <c r="C258" s="57" t="s">
        <v>1250</v>
      </c>
      <c r="D258" s="57" t="s">
        <v>205</v>
      </c>
      <c r="E258" s="59">
        <v>44906.0</v>
      </c>
      <c r="F258" s="57" t="str">
        <f t="shared" si="1"/>
        <v>+992</v>
      </c>
      <c r="G258" s="57" t="s">
        <v>1231</v>
      </c>
      <c r="H258" s="57" t="s">
        <v>1251</v>
      </c>
      <c r="I258" s="57" t="s">
        <v>313</v>
      </c>
      <c r="J258" s="57" t="str">
        <f t="array" ref="J258">XLOOKUP(F258,'коды стран'!$B$2:$B$7,'коды стран'!$A$2:$A$7)</f>
        <v>Таджикистан</v>
      </c>
    </row>
    <row r="259" ht="14.25" customHeight="1">
      <c r="A259" s="57">
        <v>38.0</v>
      </c>
      <c r="B259" s="57" t="s">
        <v>1252</v>
      </c>
      <c r="C259" s="57" t="s">
        <v>1253</v>
      </c>
      <c r="D259" s="57" t="s">
        <v>206</v>
      </c>
      <c r="E259" s="59">
        <v>44819.0</v>
      </c>
      <c r="F259" s="57" t="str">
        <f t="shared" si="1"/>
        <v>+992</v>
      </c>
      <c r="G259" s="57" t="s">
        <v>1254</v>
      </c>
      <c r="H259" s="57" t="s">
        <v>730</v>
      </c>
      <c r="I259" s="57" t="s">
        <v>1255</v>
      </c>
      <c r="J259" s="57" t="str">
        <f t="array" ref="J259">XLOOKUP(F259,'коды стран'!$B$2:$B$7,'коды стран'!$A$2:$A$7)</f>
        <v>Таджикистан</v>
      </c>
    </row>
    <row r="260" ht="14.25" customHeight="1">
      <c r="A260" s="57">
        <v>18.0</v>
      </c>
      <c r="B260" s="57" t="s">
        <v>1256</v>
      </c>
      <c r="C260" s="57" t="s">
        <v>1257</v>
      </c>
      <c r="D260" s="57" t="s">
        <v>206</v>
      </c>
      <c r="E260" s="59">
        <v>44578.0</v>
      </c>
      <c r="F260" s="57" t="str">
        <f t="shared" si="1"/>
        <v>+380</v>
      </c>
      <c r="G260" s="57" t="s">
        <v>1258</v>
      </c>
      <c r="H260" s="57" t="s">
        <v>1259</v>
      </c>
      <c r="I260" s="57" t="s">
        <v>1260</v>
      </c>
      <c r="J260" s="57" t="str">
        <f t="array" ref="J260">XLOOKUP(F260,'коды стран'!$B$2:$B$7,'коды стран'!$A$2:$A$7)</f>
        <v>Украина</v>
      </c>
    </row>
    <row r="261" ht="14.25" customHeight="1">
      <c r="A261" s="57">
        <v>88.0</v>
      </c>
      <c r="B261" s="57" t="s">
        <v>1261</v>
      </c>
      <c r="C261" s="57" t="s">
        <v>1262</v>
      </c>
      <c r="D261" s="57" t="s">
        <v>205</v>
      </c>
      <c r="E261" s="59">
        <v>44630.0</v>
      </c>
      <c r="F261" s="57" t="str">
        <f t="shared" si="1"/>
        <v>+380</v>
      </c>
      <c r="G261" s="57" t="s">
        <v>1263</v>
      </c>
      <c r="H261" s="57" t="s">
        <v>1264</v>
      </c>
      <c r="I261" s="57" t="s">
        <v>792</v>
      </c>
      <c r="J261" s="57" t="str">
        <f t="array" ref="J261">XLOOKUP(F261,'коды стран'!$B$2:$B$7,'коды стран'!$A$2:$A$7)</f>
        <v>Украина</v>
      </c>
    </row>
    <row r="262" ht="14.25" customHeight="1">
      <c r="A262" s="57">
        <v>129.0</v>
      </c>
      <c r="B262" s="57" t="s">
        <v>1265</v>
      </c>
      <c r="C262" s="57" t="s">
        <v>1266</v>
      </c>
      <c r="D262" s="57" t="s">
        <v>206</v>
      </c>
      <c r="E262" s="59">
        <v>44868.0</v>
      </c>
      <c r="F262" s="57" t="str">
        <f t="shared" si="1"/>
        <v>+375</v>
      </c>
      <c r="G262" s="57" t="s">
        <v>1254</v>
      </c>
      <c r="H262" s="57" t="s">
        <v>463</v>
      </c>
      <c r="I262" s="57" t="s">
        <v>778</v>
      </c>
      <c r="J262" s="57" t="str">
        <f t="array" ref="J262">XLOOKUP(F262,'коды стран'!$B$2:$B$7,'коды стран'!$A$2:$A$7)</f>
        <v>Беларусь</v>
      </c>
    </row>
    <row r="263" ht="14.25" customHeight="1">
      <c r="A263" s="57">
        <v>19.0</v>
      </c>
      <c r="B263" s="57" t="s">
        <v>1267</v>
      </c>
      <c r="C263" s="57" t="s">
        <v>1268</v>
      </c>
      <c r="D263" s="57" t="s">
        <v>205</v>
      </c>
      <c r="E263" s="59">
        <v>44902.0</v>
      </c>
      <c r="F263" s="57" t="str">
        <f t="shared" si="1"/>
        <v>+7</v>
      </c>
      <c r="G263" s="57" t="s">
        <v>1269</v>
      </c>
      <c r="H263" s="57" t="s">
        <v>1270</v>
      </c>
      <c r="I263" s="57" t="s">
        <v>662</v>
      </c>
      <c r="J263" s="57" t="str">
        <f t="array" ref="J263">XLOOKUP(F263,'коды стран'!$B$2:$B$7,'коды стран'!$A$2:$A$7)</f>
        <v>Россия</v>
      </c>
    </row>
    <row r="264" ht="14.25" customHeight="1">
      <c r="A264" s="57">
        <v>304.0</v>
      </c>
      <c r="B264" s="57" t="s">
        <v>1271</v>
      </c>
      <c r="C264" s="57" t="s">
        <v>1272</v>
      </c>
      <c r="D264" s="57" t="s">
        <v>206</v>
      </c>
      <c r="E264" s="59">
        <v>44886.0</v>
      </c>
      <c r="F264" s="57" t="str">
        <f t="shared" si="1"/>
        <v>+7</v>
      </c>
      <c r="G264" s="57" t="s">
        <v>316</v>
      </c>
      <c r="H264" s="57" t="s">
        <v>716</v>
      </c>
      <c r="I264" s="57" t="s">
        <v>491</v>
      </c>
      <c r="J264" s="57" t="str">
        <f t="array" ref="J264">XLOOKUP(F264,'коды стран'!$B$2:$B$7,'коды стран'!$A$2:$A$7)</f>
        <v>Россия</v>
      </c>
    </row>
    <row r="265" ht="14.25" customHeight="1">
      <c r="A265" s="57">
        <v>285.0</v>
      </c>
      <c r="B265" s="57" t="s">
        <v>1273</v>
      </c>
      <c r="C265" s="57" t="s">
        <v>1274</v>
      </c>
      <c r="D265" s="57" t="s">
        <v>206</v>
      </c>
      <c r="E265" s="59">
        <v>44922.0</v>
      </c>
      <c r="F265" s="57" t="str">
        <f t="shared" si="1"/>
        <v>+992</v>
      </c>
      <c r="G265" s="57" t="s">
        <v>1275</v>
      </c>
      <c r="H265" s="57" t="s">
        <v>1259</v>
      </c>
      <c r="I265" s="57" t="s">
        <v>1192</v>
      </c>
      <c r="J265" s="57" t="str">
        <f t="array" ref="J265">XLOOKUP(F265,'коды стран'!$B$2:$B$7,'коды стран'!$A$2:$A$7)</f>
        <v>Таджикистан</v>
      </c>
    </row>
    <row r="266" ht="14.25" customHeight="1">
      <c r="A266" s="57">
        <v>461.0</v>
      </c>
      <c r="B266" s="57" t="s">
        <v>1276</v>
      </c>
      <c r="C266" s="57" t="s">
        <v>1277</v>
      </c>
      <c r="D266" s="57" t="s">
        <v>205</v>
      </c>
      <c r="E266" s="59">
        <v>44667.0</v>
      </c>
      <c r="F266" s="57" t="str">
        <f t="shared" si="1"/>
        <v>+998</v>
      </c>
      <c r="G266" s="57" t="s">
        <v>1278</v>
      </c>
      <c r="H266" s="57" t="s">
        <v>457</v>
      </c>
      <c r="I266" s="57" t="s">
        <v>1279</v>
      </c>
      <c r="J266" s="57" t="str">
        <f t="array" ref="J266">XLOOKUP(F266,'коды стран'!$B$2:$B$7,'коды стран'!$A$2:$A$7)</f>
        <v>Узбекистан</v>
      </c>
    </row>
    <row r="267" ht="14.25" customHeight="1">
      <c r="A267" s="57">
        <v>278.0</v>
      </c>
      <c r="B267" s="57" t="s">
        <v>1280</v>
      </c>
      <c r="C267" s="57" t="s">
        <v>1281</v>
      </c>
      <c r="D267" s="57" t="s">
        <v>206</v>
      </c>
      <c r="E267" s="59">
        <v>44920.0</v>
      </c>
      <c r="F267" s="57" t="str">
        <f t="shared" si="1"/>
        <v>+998</v>
      </c>
      <c r="G267" s="57" t="s">
        <v>1282</v>
      </c>
      <c r="H267" s="57" t="s">
        <v>1283</v>
      </c>
      <c r="I267" s="57" t="s">
        <v>1284</v>
      </c>
      <c r="J267" s="57" t="str">
        <f t="array" ref="J267">XLOOKUP(F267,'коды стран'!$B$2:$B$7,'коды стран'!$A$2:$A$7)</f>
        <v>Узбекистан</v>
      </c>
    </row>
    <row r="268" ht="14.25" customHeight="1">
      <c r="A268" s="57">
        <v>246.0</v>
      </c>
      <c r="B268" s="57" t="s">
        <v>1285</v>
      </c>
      <c r="C268" s="57" t="s">
        <v>1286</v>
      </c>
      <c r="D268" s="57" t="s">
        <v>206</v>
      </c>
      <c r="E268" s="59">
        <v>44805.0</v>
      </c>
      <c r="F268" s="57" t="str">
        <f t="shared" si="1"/>
        <v>+998</v>
      </c>
      <c r="G268" s="57" t="s">
        <v>843</v>
      </c>
      <c r="H268" s="57" t="s">
        <v>1287</v>
      </c>
      <c r="I268" s="57" t="s">
        <v>1288</v>
      </c>
      <c r="J268" s="57" t="str">
        <f t="array" ref="J268">XLOOKUP(F268,'коды стран'!$B$2:$B$7,'коды стран'!$A$2:$A$7)</f>
        <v>Узбекистан</v>
      </c>
    </row>
    <row r="269" ht="14.25" customHeight="1">
      <c r="A269" s="57">
        <v>205.0</v>
      </c>
      <c r="B269" s="57" t="s">
        <v>1289</v>
      </c>
      <c r="C269" s="57" t="s">
        <v>1290</v>
      </c>
      <c r="D269" s="57" t="s">
        <v>205</v>
      </c>
      <c r="E269" s="59">
        <v>44918.0</v>
      </c>
      <c r="F269" s="57" t="str">
        <f t="shared" si="1"/>
        <v>+7</v>
      </c>
      <c r="G269" s="57" t="s">
        <v>663</v>
      </c>
      <c r="H269" s="57" t="s">
        <v>1291</v>
      </c>
      <c r="I269" s="57" t="s">
        <v>1292</v>
      </c>
      <c r="J269" s="57" t="str">
        <f t="array" ref="J269">XLOOKUP(F269,'коды стран'!$B$2:$B$7,'коды стран'!$A$2:$A$7)</f>
        <v>Россия</v>
      </c>
    </row>
    <row r="270" ht="14.25" customHeight="1">
      <c r="A270" s="57">
        <v>357.0</v>
      </c>
      <c r="B270" s="57" t="s">
        <v>1293</v>
      </c>
      <c r="C270" s="57" t="s">
        <v>1294</v>
      </c>
      <c r="D270" s="57" t="s">
        <v>205</v>
      </c>
      <c r="E270" s="59">
        <v>44913.0</v>
      </c>
      <c r="F270" s="57" t="str">
        <f t="shared" si="1"/>
        <v>+998</v>
      </c>
      <c r="G270" s="57" t="s">
        <v>1295</v>
      </c>
      <c r="H270" s="57" t="s">
        <v>764</v>
      </c>
      <c r="I270" s="57" t="s">
        <v>263</v>
      </c>
      <c r="J270" s="57" t="str">
        <f t="array" ref="J270">XLOOKUP(F270,'коды стран'!$B$2:$B$7,'коды стран'!$A$2:$A$7)</f>
        <v>Узбекистан</v>
      </c>
    </row>
    <row r="271" ht="14.25" customHeight="1">
      <c r="A271" s="57">
        <v>152.0</v>
      </c>
      <c r="B271" s="57" t="s">
        <v>1296</v>
      </c>
      <c r="C271" s="57" t="s">
        <v>1297</v>
      </c>
      <c r="D271" s="57" t="s">
        <v>206</v>
      </c>
      <c r="E271" s="59">
        <v>44791.0</v>
      </c>
      <c r="F271" s="57" t="str">
        <f t="shared" si="1"/>
        <v>+375</v>
      </c>
      <c r="G271" s="57" t="s">
        <v>301</v>
      </c>
      <c r="H271" s="57" t="s">
        <v>500</v>
      </c>
      <c r="I271" s="57" t="s">
        <v>1298</v>
      </c>
      <c r="J271" s="57" t="str">
        <f t="array" ref="J271">XLOOKUP(F271,'коды стран'!$B$2:$B$7,'коды стран'!$A$2:$A$7)</f>
        <v>Беларусь</v>
      </c>
    </row>
    <row r="272" ht="14.25" customHeight="1">
      <c r="A272" s="57">
        <v>323.0</v>
      </c>
      <c r="B272" s="57" t="s">
        <v>1299</v>
      </c>
      <c r="C272" s="57" t="s">
        <v>1300</v>
      </c>
      <c r="D272" s="57" t="s">
        <v>205</v>
      </c>
      <c r="E272" s="59">
        <v>44821.0</v>
      </c>
      <c r="F272" s="57" t="str">
        <f t="shared" si="1"/>
        <v>+992</v>
      </c>
      <c r="G272" s="57" t="s">
        <v>1301</v>
      </c>
      <c r="H272" s="57" t="s">
        <v>1189</v>
      </c>
      <c r="I272" s="57" t="s">
        <v>1255</v>
      </c>
      <c r="J272" s="57" t="str">
        <f t="array" ref="J272">XLOOKUP(F272,'коды стран'!$B$2:$B$7,'коды стран'!$A$2:$A$7)</f>
        <v>Таджикистан</v>
      </c>
    </row>
    <row r="273" ht="14.25" customHeight="1">
      <c r="A273" s="57">
        <v>185.0</v>
      </c>
      <c r="B273" s="57" t="s">
        <v>1302</v>
      </c>
      <c r="C273" s="57" t="s">
        <v>1303</v>
      </c>
      <c r="D273" s="57" t="s">
        <v>206</v>
      </c>
      <c r="E273" s="59">
        <v>44683.0</v>
      </c>
      <c r="F273" s="57" t="str">
        <f t="shared" si="1"/>
        <v>+998</v>
      </c>
      <c r="G273" s="57" t="s">
        <v>657</v>
      </c>
      <c r="H273" s="57" t="s">
        <v>834</v>
      </c>
      <c r="I273" s="57" t="s">
        <v>1304</v>
      </c>
      <c r="J273" s="57" t="str">
        <f t="array" ref="J273">XLOOKUP(F273,'коды стран'!$B$2:$B$7,'коды стран'!$A$2:$A$7)</f>
        <v>Узбекистан</v>
      </c>
    </row>
    <row r="274" ht="14.25" customHeight="1">
      <c r="A274" s="57">
        <v>314.0</v>
      </c>
      <c r="B274" s="57" t="s">
        <v>1305</v>
      </c>
      <c r="C274" s="57" t="s">
        <v>1306</v>
      </c>
      <c r="D274" s="57" t="s">
        <v>206</v>
      </c>
      <c r="E274" s="59">
        <v>44899.0</v>
      </c>
      <c r="F274" s="57" t="str">
        <f t="shared" si="1"/>
        <v>+7</v>
      </c>
      <c r="G274" s="57" t="s">
        <v>239</v>
      </c>
      <c r="H274" s="57" t="s">
        <v>1307</v>
      </c>
      <c r="I274" s="57" t="s">
        <v>1308</v>
      </c>
      <c r="J274" s="57" t="str">
        <f t="array" ref="J274">XLOOKUP(F274,'коды стран'!$B$2:$B$7,'коды стран'!$A$2:$A$7)</f>
        <v>Россия</v>
      </c>
    </row>
    <row r="275" ht="14.25" customHeight="1">
      <c r="A275" s="57">
        <v>476.0</v>
      </c>
      <c r="B275" s="57" t="s">
        <v>1309</v>
      </c>
      <c r="C275" s="57" t="s">
        <v>1310</v>
      </c>
      <c r="D275" s="57" t="s">
        <v>205</v>
      </c>
      <c r="E275" s="59">
        <v>44703.0</v>
      </c>
      <c r="F275" s="57" t="str">
        <f t="shared" si="1"/>
        <v>+380</v>
      </c>
      <c r="G275" s="57" t="s">
        <v>1311</v>
      </c>
      <c r="H275" s="57" t="s">
        <v>1312</v>
      </c>
      <c r="I275" s="57" t="s">
        <v>1313</v>
      </c>
      <c r="J275" s="57" t="str">
        <f t="array" ref="J275">XLOOKUP(F275,'коды стран'!$B$2:$B$7,'коды стран'!$A$2:$A$7)</f>
        <v>Украина</v>
      </c>
    </row>
    <row r="276" ht="14.25" customHeight="1">
      <c r="A276" s="57">
        <v>375.0</v>
      </c>
      <c r="B276" s="57" t="s">
        <v>1314</v>
      </c>
      <c r="C276" s="57" t="s">
        <v>1315</v>
      </c>
      <c r="D276" s="57" t="s">
        <v>205</v>
      </c>
      <c r="E276" s="59">
        <v>44674.0</v>
      </c>
      <c r="F276" s="57" t="str">
        <f t="shared" si="1"/>
        <v>+7</v>
      </c>
      <c r="G276" s="57" t="s">
        <v>393</v>
      </c>
      <c r="H276" s="57" t="s">
        <v>1313</v>
      </c>
      <c r="I276" s="57" t="s">
        <v>1316</v>
      </c>
      <c r="J276" s="57" t="str">
        <f t="array" ref="J276">XLOOKUP(F276,'коды стран'!$B$2:$B$7,'коды стран'!$A$2:$A$7)</f>
        <v>Россия</v>
      </c>
    </row>
    <row r="277" ht="14.25" customHeight="1">
      <c r="A277" s="57">
        <v>233.0</v>
      </c>
      <c r="B277" s="57" t="s">
        <v>1317</v>
      </c>
      <c r="C277" s="57" t="s">
        <v>1318</v>
      </c>
      <c r="D277" s="57" t="s">
        <v>205</v>
      </c>
      <c r="E277" s="59">
        <v>44616.0</v>
      </c>
      <c r="F277" s="57" t="str">
        <f t="shared" si="1"/>
        <v>+992</v>
      </c>
      <c r="G277" s="57" t="s">
        <v>878</v>
      </c>
      <c r="H277" s="57" t="s">
        <v>433</v>
      </c>
      <c r="I277" s="57" t="s">
        <v>1319</v>
      </c>
      <c r="J277" s="57" t="str">
        <f t="array" ref="J277">XLOOKUP(F277,'коды стран'!$B$2:$B$7,'коды стран'!$A$2:$A$7)</f>
        <v>Таджикистан</v>
      </c>
    </row>
    <row r="278" ht="14.25" customHeight="1">
      <c r="A278" s="57">
        <v>69.0</v>
      </c>
      <c r="B278" s="57" t="s">
        <v>1320</v>
      </c>
      <c r="C278" s="57" t="s">
        <v>1321</v>
      </c>
      <c r="D278" s="57" t="s">
        <v>206</v>
      </c>
      <c r="E278" s="59">
        <v>44587.0</v>
      </c>
      <c r="F278" s="57" t="str">
        <f t="shared" si="1"/>
        <v>+992</v>
      </c>
      <c r="G278" s="57" t="s">
        <v>1322</v>
      </c>
      <c r="H278" s="57" t="s">
        <v>1043</v>
      </c>
      <c r="I278" s="57" t="s">
        <v>1323</v>
      </c>
      <c r="J278" s="57" t="str">
        <f t="array" ref="J278">XLOOKUP(F278,'коды стран'!$B$2:$B$7,'коды стран'!$A$2:$A$7)</f>
        <v>Таджикистан</v>
      </c>
    </row>
    <row r="279" ht="14.25" customHeight="1">
      <c r="A279" s="57">
        <v>254.0</v>
      </c>
      <c r="B279" s="57" t="s">
        <v>1324</v>
      </c>
      <c r="C279" s="57" t="s">
        <v>1325</v>
      </c>
      <c r="D279" s="57" t="s">
        <v>205</v>
      </c>
      <c r="E279" s="59">
        <v>44862.0</v>
      </c>
      <c r="F279" s="57" t="str">
        <f t="shared" si="1"/>
        <v>+375</v>
      </c>
      <c r="G279" s="57" t="s">
        <v>257</v>
      </c>
      <c r="H279" s="57" t="s">
        <v>313</v>
      </c>
      <c r="I279" s="57" t="s">
        <v>382</v>
      </c>
      <c r="J279" s="57" t="str">
        <f t="array" ref="J279">XLOOKUP(F279,'коды стран'!$B$2:$B$7,'коды стран'!$A$2:$A$7)</f>
        <v>Беларусь</v>
      </c>
    </row>
    <row r="280" ht="14.25" customHeight="1">
      <c r="A280" s="57">
        <v>219.0</v>
      </c>
      <c r="B280" s="57" t="s">
        <v>1326</v>
      </c>
      <c r="C280" s="57" t="s">
        <v>1327</v>
      </c>
      <c r="D280" s="57" t="s">
        <v>205</v>
      </c>
      <c r="E280" s="59">
        <v>44585.0</v>
      </c>
      <c r="F280" s="57" t="str">
        <f t="shared" si="1"/>
        <v>+992</v>
      </c>
      <c r="G280" s="57" t="s">
        <v>773</v>
      </c>
      <c r="H280" s="57" t="s">
        <v>1328</v>
      </c>
      <c r="I280" s="57" t="s">
        <v>1329</v>
      </c>
      <c r="J280" s="57" t="str">
        <f t="array" ref="J280">XLOOKUP(F280,'коды стран'!$B$2:$B$7,'коды стран'!$A$2:$A$7)</f>
        <v>Таджикистан</v>
      </c>
    </row>
    <row r="281" ht="14.25" customHeight="1">
      <c r="A281" s="57">
        <v>232.0</v>
      </c>
      <c r="B281" s="57" t="s">
        <v>1330</v>
      </c>
      <c r="C281" s="57" t="s">
        <v>1331</v>
      </c>
      <c r="D281" s="57" t="s">
        <v>205</v>
      </c>
      <c r="E281" s="59">
        <v>44923.0</v>
      </c>
      <c r="F281" s="57" t="str">
        <f t="shared" si="1"/>
        <v>+992</v>
      </c>
      <c r="G281" s="57" t="s">
        <v>758</v>
      </c>
      <c r="H281" s="57" t="s">
        <v>1076</v>
      </c>
      <c r="I281" s="57" t="s">
        <v>1332</v>
      </c>
      <c r="J281" s="57" t="str">
        <f t="array" ref="J281">XLOOKUP(F281,'коды стран'!$B$2:$B$7,'коды стран'!$A$2:$A$7)</f>
        <v>Таджикистан</v>
      </c>
    </row>
    <row r="282" ht="14.25" customHeight="1">
      <c r="A282" s="57">
        <v>372.0</v>
      </c>
      <c r="B282" s="57" t="s">
        <v>1333</v>
      </c>
      <c r="C282" s="57" t="s">
        <v>1334</v>
      </c>
      <c r="D282" s="57" t="s">
        <v>206</v>
      </c>
      <c r="E282" s="59">
        <v>44772.0</v>
      </c>
      <c r="F282" s="57" t="str">
        <f t="shared" si="1"/>
        <v>+992</v>
      </c>
      <c r="G282" s="57" t="s">
        <v>1335</v>
      </c>
      <c r="H282" s="57" t="s">
        <v>1336</v>
      </c>
      <c r="I282" s="57" t="s">
        <v>1337</v>
      </c>
      <c r="J282" s="57" t="str">
        <f t="array" ref="J282">XLOOKUP(F282,'коды стран'!$B$2:$B$7,'коды стран'!$A$2:$A$7)</f>
        <v>Таджикистан</v>
      </c>
    </row>
    <row r="283" ht="14.25" customHeight="1">
      <c r="A283" s="57">
        <v>432.0</v>
      </c>
      <c r="B283" s="57" t="s">
        <v>1338</v>
      </c>
      <c r="C283" s="57" t="s">
        <v>1339</v>
      </c>
      <c r="D283" s="57" t="s">
        <v>206</v>
      </c>
      <c r="E283" s="59">
        <v>44718.0</v>
      </c>
      <c r="F283" s="57" t="str">
        <f t="shared" si="1"/>
        <v>+992</v>
      </c>
      <c r="G283" s="57" t="s">
        <v>755</v>
      </c>
      <c r="H283" s="57" t="s">
        <v>717</v>
      </c>
      <c r="I283" s="57" t="s">
        <v>1031</v>
      </c>
      <c r="J283" s="57" t="str">
        <f t="array" ref="J283">XLOOKUP(F283,'коды стран'!$B$2:$B$7,'коды стран'!$A$2:$A$7)</f>
        <v>Таджикистан</v>
      </c>
    </row>
    <row r="284" ht="14.25" customHeight="1">
      <c r="A284" s="57">
        <v>221.0</v>
      </c>
      <c r="B284" s="57" t="s">
        <v>1340</v>
      </c>
      <c r="C284" s="57" t="s">
        <v>1341</v>
      </c>
      <c r="D284" s="57" t="s">
        <v>205</v>
      </c>
      <c r="E284" s="59">
        <v>44820.0</v>
      </c>
      <c r="F284" s="57" t="str">
        <f t="shared" si="1"/>
        <v>+992</v>
      </c>
      <c r="G284" s="57" t="s">
        <v>297</v>
      </c>
      <c r="H284" s="57" t="s">
        <v>327</v>
      </c>
      <c r="I284" s="57" t="s">
        <v>1003</v>
      </c>
      <c r="J284" s="57" t="str">
        <f t="array" ref="J284">XLOOKUP(F284,'коды стран'!$B$2:$B$7,'коды стран'!$A$2:$A$7)</f>
        <v>Таджикистан</v>
      </c>
    </row>
    <row r="285" ht="14.25" customHeight="1">
      <c r="A285" s="57">
        <v>148.0</v>
      </c>
      <c r="B285" s="57" t="s">
        <v>1342</v>
      </c>
      <c r="C285" s="57" t="s">
        <v>1343</v>
      </c>
      <c r="D285" s="57" t="s">
        <v>205</v>
      </c>
      <c r="E285" s="59">
        <v>44700.0</v>
      </c>
      <c r="F285" s="57" t="str">
        <f t="shared" si="1"/>
        <v>+7</v>
      </c>
      <c r="G285" s="57" t="s">
        <v>317</v>
      </c>
      <c r="H285" s="57" t="s">
        <v>1240</v>
      </c>
      <c r="I285" s="57" t="s">
        <v>1344</v>
      </c>
      <c r="J285" s="57" t="str">
        <f t="array" ref="J285">XLOOKUP(F285,'коды стран'!$B$2:$B$7,'коды стран'!$A$2:$A$7)</f>
        <v>Россия</v>
      </c>
    </row>
    <row r="286" ht="14.25" customHeight="1">
      <c r="A286" s="57">
        <v>209.0</v>
      </c>
      <c r="B286" s="57" t="s">
        <v>1345</v>
      </c>
      <c r="C286" s="57" t="s">
        <v>1346</v>
      </c>
      <c r="D286" s="57" t="s">
        <v>206</v>
      </c>
      <c r="E286" s="59">
        <v>44628.0</v>
      </c>
      <c r="F286" s="57" t="str">
        <f t="shared" si="1"/>
        <v>+7</v>
      </c>
      <c r="G286" s="57" t="s">
        <v>1347</v>
      </c>
      <c r="H286" s="57" t="s">
        <v>1348</v>
      </c>
      <c r="I286" s="57" t="s">
        <v>620</v>
      </c>
      <c r="J286" s="57" t="str">
        <f t="array" ref="J286">XLOOKUP(F286,'коды стран'!$B$2:$B$7,'коды стран'!$A$2:$A$7)</f>
        <v>Россия</v>
      </c>
    </row>
    <row r="287" ht="14.25" customHeight="1">
      <c r="A287" s="57">
        <v>263.0</v>
      </c>
      <c r="B287" s="57" t="s">
        <v>1349</v>
      </c>
      <c r="C287" s="57" t="s">
        <v>1350</v>
      </c>
      <c r="D287" s="57" t="s">
        <v>205</v>
      </c>
      <c r="E287" s="59">
        <v>44612.0</v>
      </c>
      <c r="F287" s="57" t="str">
        <f t="shared" si="1"/>
        <v>+992</v>
      </c>
      <c r="G287" s="57" t="s">
        <v>482</v>
      </c>
      <c r="H287" s="57" t="s">
        <v>364</v>
      </c>
      <c r="I287" s="57" t="s">
        <v>1351</v>
      </c>
      <c r="J287" s="57" t="str">
        <f t="array" ref="J287">XLOOKUP(F287,'коды стран'!$B$2:$B$7,'коды стран'!$A$2:$A$7)</f>
        <v>Таджикистан</v>
      </c>
    </row>
    <row r="288" ht="14.25" customHeight="1">
      <c r="A288" s="57">
        <v>101.0</v>
      </c>
      <c r="B288" s="57" t="s">
        <v>1352</v>
      </c>
      <c r="C288" s="57" t="s">
        <v>1353</v>
      </c>
      <c r="D288" s="57" t="s">
        <v>206</v>
      </c>
      <c r="E288" s="59">
        <v>44727.0</v>
      </c>
      <c r="F288" s="57" t="str">
        <f t="shared" si="1"/>
        <v>+7</v>
      </c>
      <c r="G288" s="57" t="s">
        <v>1354</v>
      </c>
      <c r="H288" s="57" t="s">
        <v>522</v>
      </c>
      <c r="I288" s="57" t="s">
        <v>1355</v>
      </c>
      <c r="J288" s="57" t="str">
        <f t="array" ref="J288">XLOOKUP(F288,'коды стран'!$B$2:$B$7,'коды стран'!$A$2:$A$7)</f>
        <v>Россия</v>
      </c>
    </row>
    <row r="289" ht="14.25" customHeight="1">
      <c r="A289" s="57">
        <v>124.0</v>
      </c>
      <c r="B289" s="57" t="s">
        <v>1356</v>
      </c>
      <c r="C289" s="57" t="s">
        <v>1357</v>
      </c>
      <c r="D289" s="57" t="s">
        <v>205</v>
      </c>
      <c r="E289" s="59">
        <v>44795.0</v>
      </c>
      <c r="F289" s="57" t="str">
        <f t="shared" si="1"/>
        <v>+7</v>
      </c>
      <c r="G289" s="57" t="s">
        <v>1358</v>
      </c>
      <c r="H289" s="57" t="s">
        <v>1359</v>
      </c>
      <c r="I289" s="57" t="s">
        <v>811</v>
      </c>
      <c r="J289" s="57" t="str">
        <f t="array" ref="J289">XLOOKUP(F289,'коды стран'!$B$2:$B$7,'коды стран'!$A$2:$A$7)</f>
        <v>Россия</v>
      </c>
    </row>
    <row r="290" ht="14.25" customHeight="1">
      <c r="A290" s="57">
        <v>257.0</v>
      </c>
      <c r="B290" s="57" t="s">
        <v>1360</v>
      </c>
      <c r="C290" s="57" t="s">
        <v>1361</v>
      </c>
      <c r="D290" s="57" t="s">
        <v>206</v>
      </c>
      <c r="E290" s="59">
        <v>44701.0</v>
      </c>
      <c r="F290" s="57" t="str">
        <f t="shared" si="1"/>
        <v>+7</v>
      </c>
      <c r="G290" s="57" t="s">
        <v>1362</v>
      </c>
      <c r="H290" s="57" t="s">
        <v>1301</v>
      </c>
      <c r="I290" s="57" t="s">
        <v>313</v>
      </c>
      <c r="J290" s="57" t="str">
        <f t="array" ref="J290">XLOOKUP(F290,'коды стран'!$B$2:$B$7,'коды стран'!$A$2:$A$7)</f>
        <v>Россия</v>
      </c>
    </row>
    <row r="291" ht="14.25" customHeight="1">
      <c r="A291" s="57">
        <v>309.0</v>
      </c>
      <c r="B291" s="57" t="s">
        <v>1363</v>
      </c>
      <c r="C291" s="57" t="s">
        <v>1364</v>
      </c>
      <c r="D291" s="57" t="s">
        <v>206</v>
      </c>
      <c r="E291" s="59">
        <v>44711.0</v>
      </c>
      <c r="F291" s="57" t="str">
        <f t="shared" si="1"/>
        <v>+7</v>
      </c>
      <c r="G291" s="57" t="s">
        <v>738</v>
      </c>
      <c r="H291" s="57" t="s">
        <v>1365</v>
      </c>
      <c r="I291" s="57" t="s">
        <v>1366</v>
      </c>
      <c r="J291" s="57" t="str">
        <f t="array" ref="J291">XLOOKUP(F291,'коды стран'!$B$2:$B$7,'коды стран'!$A$2:$A$7)</f>
        <v>Россия</v>
      </c>
    </row>
    <row r="292" ht="14.25" customHeight="1">
      <c r="A292" s="57">
        <v>103.0</v>
      </c>
      <c r="B292" s="57" t="s">
        <v>1367</v>
      </c>
      <c r="C292" s="57" t="s">
        <v>1368</v>
      </c>
      <c r="D292" s="57" t="s">
        <v>205</v>
      </c>
      <c r="E292" s="59">
        <v>44787.0</v>
      </c>
      <c r="F292" s="57" t="str">
        <f t="shared" si="1"/>
        <v>+998</v>
      </c>
      <c r="G292" s="57" t="s">
        <v>1337</v>
      </c>
      <c r="H292" s="57" t="s">
        <v>1369</v>
      </c>
      <c r="I292" s="57" t="s">
        <v>1370</v>
      </c>
      <c r="J292" s="57" t="str">
        <f t="array" ref="J292">XLOOKUP(F292,'коды стран'!$B$2:$B$7,'коды стран'!$A$2:$A$7)</f>
        <v>Узбекистан</v>
      </c>
    </row>
    <row r="293" ht="14.25" customHeight="1">
      <c r="A293" s="57">
        <v>31.0</v>
      </c>
      <c r="B293" s="57" t="s">
        <v>1371</v>
      </c>
      <c r="C293" s="57" t="s">
        <v>1372</v>
      </c>
      <c r="D293" s="57" t="s">
        <v>206</v>
      </c>
      <c r="E293" s="59">
        <v>44580.0</v>
      </c>
      <c r="F293" s="57" t="str">
        <f t="shared" si="1"/>
        <v>+380</v>
      </c>
      <c r="G293" s="57" t="s">
        <v>442</v>
      </c>
      <c r="H293" s="57" t="s">
        <v>313</v>
      </c>
      <c r="I293" s="57" t="s">
        <v>1373</v>
      </c>
      <c r="J293" s="57" t="str">
        <f t="array" ref="J293">XLOOKUP(F293,'коды стран'!$B$2:$B$7,'коды стран'!$A$2:$A$7)</f>
        <v>Украина</v>
      </c>
    </row>
    <row r="294" ht="14.25" customHeight="1">
      <c r="A294" s="57">
        <v>306.0</v>
      </c>
      <c r="B294" s="57" t="s">
        <v>1374</v>
      </c>
      <c r="C294" s="57" t="s">
        <v>1375</v>
      </c>
      <c r="D294" s="57" t="s">
        <v>205</v>
      </c>
      <c r="E294" s="59">
        <v>44872.0</v>
      </c>
      <c r="F294" s="57" t="str">
        <f t="shared" si="1"/>
        <v>+380</v>
      </c>
      <c r="G294" s="57" t="s">
        <v>392</v>
      </c>
      <c r="H294" s="57" t="s">
        <v>1376</v>
      </c>
      <c r="I294" s="57" t="s">
        <v>1156</v>
      </c>
      <c r="J294" s="57" t="str">
        <f t="array" ref="J294">XLOOKUP(F294,'коды стран'!$B$2:$B$7,'коды стран'!$A$2:$A$7)</f>
        <v>Украина</v>
      </c>
    </row>
    <row r="295" ht="14.25" customHeight="1">
      <c r="A295" s="57">
        <v>383.0</v>
      </c>
      <c r="B295" s="57" t="s">
        <v>1377</v>
      </c>
      <c r="C295" s="57" t="s">
        <v>1378</v>
      </c>
      <c r="D295" s="57" t="s">
        <v>206</v>
      </c>
      <c r="E295" s="59">
        <v>44876.0</v>
      </c>
      <c r="F295" s="57" t="str">
        <f t="shared" si="1"/>
        <v>+380</v>
      </c>
      <c r="G295" s="57" t="s">
        <v>306</v>
      </c>
      <c r="H295" s="57" t="s">
        <v>657</v>
      </c>
      <c r="I295" s="57" t="s">
        <v>518</v>
      </c>
      <c r="J295" s="57" t="str">
        <f t="array" ref="J295">XLOOKUP(F295,'коды стран'!$B$2:$B$7,'коды стран'!$A$2:$A$7)</f>
        <v>Украина</v>
      </c>
    </row>
    <row r="296" ht="14.25" customHeight="1">
      <c r="A296" s="57">
        <v>367.0</v>
      </c>
      <c r="B296" s="57" t="s">
        <v>1379</v>
      </c>
      <c r="C296" s="57" t="s">
        <v>1380</v>
      </c>
      <c r="D296" s="57" t="s">
        <v>206</v>
      </c>
      <c r="E296" s="59">
        <v>44867.0</v>
      </c>
      <c r="F296" s="57" t="str">
        <f t="shared" si="1"/>
        <v>+992</v>
      </c>
      <c r="G296" s="57" t="s">
        <v>475</v>
      </c>
      <c r="H296" s="57" t="s">
        <v>350</v>
      </c>
      <c r="I296" s="57" t="s">
        <v>1381</v>
      </c>
      <c r="J296" s="57" t="str">
        <f t="array" ref="J296">XLOOKUP(F296,'коды стран'!$B$2:$B$7,'коды стран'!$A$2:$A$7)</f>
        <v>Таджикистан</v>
      </c>
    </row>
    <row r="297" ht="14.25" customHeight="1">
      <c r="A297" s="57">
        <v>138.0</v>
      </c>
      <c r="B297" s="57" t="s">
        <v>1382</v>
      </c>
      <c r="C297" s="57" t="s">
        <v>1383</v>
      </c>
      <c r="D297" s="57" t="s">
        <v>205</v>
      </c>
      <c r="E297" s="59">
        <v>44723.0</v>
      </c>
      <c r="F297" s="57" t="str">
        <f t="shared" si="1"/>
        <v>+380</v>
      </c>
      <c r="G297" s="57" t="s">
        <v>321</v>
      </c>
      <c r="H297" s="57" t="s">
        <v>759</v>
      </c>
      <c r="I297" s="57" t="s">
        <v>370</v>
      </c>
      <c r="J297" s="57" t="str">
        <f t="array" ref="J297">XLOOKUP(F297,'коды стран'!$B$2:$B$7,'коды стран'!$A$2:$A$7)</f>
        <v>Украина</v>
      </c>
    </row>
    <row r="298" ht="14.25" customHeight="1">
      <c r="A298" s="57">
        <v>158.0</v>
      </c>
      <c r="B298" s="57" t="s">
        <v>1384</v>
      </c>
      <c r="C298" s="57" t="s">
        <v>1385</v>
      </c>
      <c r="D298" s="57" t="s">
        <v>206</v>
      </c>
      <c r="E298" s="59">
        <v>44752.0</v>
      </c>
      <c r="F298" s="57" t="str">
        <f t="shared" si="1"/>
        <v>+998</v>
      </c>
      <c r="G298" s="57" t="s">
        <v>1109</v>
      </c>
      <c r="H298" s="57" t="s">
        <v>1221</v>
      </c>
      <c r="I298" s="57" t="s">
        <v>625</v>
      </c>
      <c r="J298" s="57" t="str">
        <f t="array" ref="J298">XLOOKUP(F298,'коды стран'!$B$2:$B$7,'коды стран'!$A$2:$A$7)</f>
        <v>Узбекистан</v>
      </c>
    </row>
    <row r="299" ht="14.25" customHeight="1">
      <c r="A299" s="57">
        <v>217.0</v>
      </c>
      <c r="B299" s="57" t="s">
        <v>1386</v>
      </c>
      <c r="C299" s="57" t="s">
        <v>1387</v>
      </c>
      <c r="D299" s="57" t="s">
        <v>206</v>
      </c>
      <c r="E299" s="59">
        <v>44826.0</v>
      </c>
      <c r="F299" s="57" t="str">
        <f t="shared" si="1"/>
        <v>+7</v>
      </c>
      <c r="G299" s="57" t="s">
        <v>453</v>
      </c>
      <c r="H299" s="57" t="s">
        <v>833</v>
      </c>
      <c r="I299" s="57" t="s">
        <v>1388</v>
      </c>
      <c r="J299" s="57" t="str">
        <f t="array" ref="J299">XLOOKUP(F299,'коды стран'!$B$2:$B$7,'коды стран'!$A$2:$A$7)</f>
        <v>Россия</v>
      </c>
    </row>
    <row r="300" ht="14.25" customHeight="1">
      <c r="A300" s="57">
        <v>102.0</v>
      </c>
      <c r="B300" s="57" t="s">
        <v>1389</v>
      </c>
      <c r="C300" s="57" t="s">
        <v>1390</v>
      </c>
      <c r="D300" s="57" t="s">
        <v>206</v>
      </c>
      <c r="E300" s="59">
        <v>44723.0</v>
      </c>
      <c r="F300" s="57" t="str">
        <f t="shared" si="1"/>
        <v>+998</v>
      </c>
      <c r="G300" s="57" t="s">
        <v>1391</v>
      </c>
      <c r="H300" s="57" t="s">
        <v>585</v>
      </c>
      <c r="I300" s="57" t="s">
        <v>1392</v>
      </c>
      <c r="J300" s="57" t="str">
        <f t="array" ref="J300">XLOOKUP(F300,'коды стран'!$B$2:$B$7,'коды стран'!$A$2:$A$7)</f>
        <v>Узбекистан</v>
      </c>
    </row>
    <row r="301" ht="14.25" customHeight="1">
      <c r="A301" s="57">
        <v>425.0</v>
      </c>
      <c r="B301" s="57" t="s">
        <v>1393</v>
      </c>
      <c r="C301" s="57" t="s">
        <v>1394</v>
      </c>
      <c r="D301" s="57" t="s">
        <v>206</v>
      </c>
      <c r="E301" s="59">
        <v>44782.0</v>
      </c>
      <c r="F301" s="57" t="str">
        <f t="shared" si="1"/>
        <v>+998</v>
      </c>
      <c r="G301" s="57" t="s">
        <v>936</v>
      </c>
      <c r="H301" s="57" t="s">
        <v>355</v>
      </c>
      <c r="I301" s="57" t="s">
        <v>1172</v>
      </c>
      <c r="J301" s="57" t="str">
        <f t="array" ref="J301">XLOOKUP(F301,'коды стран'!$B$2:$B$7,'коды стран'!$A$2:$A$7)</f>
        <v>Узбекистан</v>
      </c>
    </row>
    <row r="302" ht="14.25" customHeight="1">
      <c r="A302" s="57">
        <v>43.0</v>
      </c>
      <c r="B302" s="57" t="s">
        <v>1395</v>
      </c>
      <c r="C302" s="57" t="s">
        <v>1396</v>
      </c>
      <c r="D302" s="57" t="s">
        <v>205</v>
      </c>
      <c r="E302" s="59">
        <v>44912.0</v>
      </c>
      <c r="F302" s="57" t="str">
        <f t="shared" si="1"/>
        <v>+7</v>
      </c>
      <c r="G302" s="57" t="s">
        <v>1397</v>
      </c>
      <c r="H302" s="57" t="s">
        <v>490</v>
      </c>
      <c r="I302" s="57" t="s">
        <v>1398</v>
      </c>
      <c r="J302" s="57" t="str">
        <f t="array" ref="J302">XLOOKUP(F302,'коды стран'!$B$2:$B$7,'коды стран'!$A$2:$A$7)</f>
        <v>Россия</v>
      </c>
    </row>
    <row r="303" ht="14.25" customHeight="1">
      <c r="A303" s="57">
        <v>326.0</v>
      </c>
      <c r="B303" s="57" t="s">
        <v>1399</v>
      </c>
      <c r="C303" s="57" t="s">
        <v>1400</v>
      </c>
      <c r="D303" s="57" t="s">
        <v>206</v>
      </c>
      <c r="E303" s="59">
        <v>44655.0</v>
      </c>
      <c r="F303" s="57" t="str">
        <f t="shared" si="1"/>
        <v>+7</v>
      </c>
      <c r="G303" s="57" t="s">
        <v>1401</v>
      </c>
      <c r="H303" s="57" t="s">
        <v>1402</v>
      </c>
      <c r="I303" s="57" t="s">
        <v>1403</v>
      </c>
      <c r="J303" s="57" t="str">
        <f t="array" ref="J303">XLOOKUP(F303,'коды стран'!$B$2:$B$7,'коды стран'!$A$2:$A$7)</f>
        <v>Россия</v>
      </c>
    </row>
    <row r="304" ht="14.25" customHeight="1">
      <c r="A304" s="57">
        <v>402.0</v>
      </c>
      <c r="B304" s="57" t="s">
        <v>1404</v>
      </c>
      <c r="C304" s="57" t="s">
        <v>1405</v>
      </c>
      <c r="D304" s="57" t="s">
        <v>205</v>
      </c>
      <c r="E304" s="59">
        <v>44742.0</v>
      </c>
      <c r="F304" s="57" t="str">
        <f t="shared" si="1"/>
        <v>+998</v>
      </c>
      <c r="G304" s="57" t="s">
        <v>1406</v>
      </c>
      <c r="H304" s="57" t="s">
        <v>770</v>
      </c>
      <c r="I304" s="57" t="s">
        <v>1407</v>
      </c>
      <c r="J304" s="57" t="str">
        <f t="array" ref="J304">XLOOKUP(F304,'коды стран'!$B$2:$B$7,'коды стран'!$A$2:$A$7)</f>
        <v>Узбекистан</v>
      </c>
    </row>
    <row r="305" ht="14.25" customHeight="1">
      <c r="A305" s="57">
        <v>23.0</v>
      </c>
      <c r="B305" s="57" t="s">
        <v>1408</v>
      </c>
      <c r="C305" s="57" t="s">
        <v>1409</v>
      </c>
      <c r="D305" s="57" t="s">
        <v>206</v>
      </c>
      <c r="E305" s="59">
        <v>44706.0</v>
      </c>
      <c r="F305" s="57" t="str">
        <f t="shared" si="1"/>
        <v>+7</v>
      </c>
      <c r="G305" s="57" t="s">
        <v>437</v>
      </c>
      <c r="H305" s="57" t="s">
        <v>317</v>
      </c>
      <c r="I305" s="57" t="s">
        <v>360</v>
      </c>
      <c r="J305" s="57" t="str">
        <f t="array" ref="J305">XLOOKUP(F305,'коды стран'!$B$2:$B$7,'коды стран'!$A$2:$A$7)</f>
        <v>Россия</v>
      </c>
    </row>
    <row r="306" ht="14.25" customHeight="1">
      <c r="A306" s="57">
        <v>468.0</v>
      </c>
      <c r="B306" s="57" t="s">
        <v>1410</v>
      </c>
      <c r="C306" s="57" t="s">
        <v>1411</v>
      </c>
      <c r="D306" s="57" t="s">
        <v>205</v>
      </c>
      <c r="E306" s="59">
        <v>44619.0</v>
      </c>
      <c r="F306" s="57" t="str">
        <f t="shared" si="1"/>
        <v>+998</v>
      </c>
      <c r="G306" s="57" t="s">
        <v>1348</v>
      </c>
      <c r="H306" s="57" t="s">
        <v>1259</v>
      </c>
      <c r="I306" s="57" t="s">
        <v>407</v>
      </c>
      <c r="J306" s="57" t="str">
        <f t="array" ref="J306">XLOOKUP(F306,'коды стран'!$B$2:$B$7,'коды стран'!$A$2:$A$7)</f>
        <v>Узбекистан</v>
      </c>
    </row>
    <row r="307" ht="14.25" customHeight="1">
      <c r="A307" s="57">
        <v>141.0</v>
      </c>
      <c r="B307" s="57" t="s">
        <v>1412</v>
      </c>
      <c r="C307" s="57" t="s">
        <v>1413</v>
      </c>
      <c r="D307" s="57" t="s">
        <v>205</v>
      </c>
      <c r="E307" s="59">
        <v>44743.0</v>
      </c>
      <c r="F307" s="57" t="str">
        <f t="shared" si="1"/>
        <v>+7</v>
      </c>
      <c r="G307" s="57" t="s">
        <v>747</v>
      </c>
      <c r="H307" s="57" t="s">
        <v>1270</v>
      </c>
      <c r="I307" s="57" t="s">
        <v>1207</v>
      </c>
      <c r="J307" s="57" t="str">
        <f t="array" ref="J307">XLOOKUP(F307,'коды стран'!$B$2:$B$7,'коды стран'!$A$2:$A$7)</f>
        <v>Россия</v>
      </c>
    </row>
    <row r="308" ht="14.25" customHeight="1">
      <c r="A308" s="57">
        <v>182.0</v>
      </c>
      <c r="B308" s="57" t="s">
        <v>1414</v>
      </c>
      <c r="C308" s="57" t="s">
        <v>1415</v>
      </c>
      <c r="D308" s="57" t="s">
        <v>205</v>
      </c>
      <c r="E308" s="59">
        <v>44856.0</v>
      </c>
      <c r="F308" s="57" t="str">
        <f t="shared" si="1"/>
        <v>+998</v>
      </c>
      <c r="G308" s="57" t="s">
        <v>220</v>
      </c>
      <c r="H308" s="57" t="s">
        <v>1089</v>
      </c>
      <c r="I308" s="57" t="s">
        <v>1388</v>
      </c>
      <c r="J308" s="57" t="str">
        <f t="array" ref="J308">XLOOKUP(F308,'коды стран'!$B$2:$B$7,'коды стран'!$A$2:$A$7)</f>
        <v>Узбекистан</v>
      </c>
    </row>
    <row r="309" ht="14.25" customHeight="1">
      <c r="A309" s="57">
        <v>225.0</v>
      </c>
      <c r="B309" s="57" t="s">
        <v>1416</v>
      </c>
      <c r="C309" s="57" t="s">
        <v>1417</v>
      </c>
      <c r="D309" s="57" t="s">
        <v>205</v>
      </c>
      <c r="E309" s="59">
        <v>44827.0</v>
      </c>
      <c r="F309" s="57" t="str">
        <f t="shared" si="1"/>
        <v>+375</v>
      </c>
      <c r="G309" s="57" t="s">
        <v>247</v>
      </c>
      <c r="H309" s="57" t="s">
        <v>369</v>
      </c>
      <c r="I309" s="57" t="s">
        <v>489</v>
      </c>
      <c r="J309" s="57" t="str">
        <f t="array" ref="J309">XLOOKUP(F309,'коды стран'!$B$2:$B$7,'коды стран'!$A$2:$A$7)</f>
        <v>Беларусь</v>
      </c>
    </row>
    <row r="310" ht="14.25" customHeight="1">
      <c r="A310" s="57">
        <v>151.0</v>
      </c>
      <c r="B310" s="57" t="s">
        <v>1418</v>
      </c>
      <c r="C310" s="57" t="s">
        <v>1419</v>
      </c>
      <c r="D310" s="57" t="s">
        <v>206</v>
      </c>
      <c r="E310" s="59">
        <v>44923.0</v>
      </c>
      <c r="F310" s="57" t="str">
        <f t="shared" si="1"/>
        <v>+375</v>
      </c>
      <c r="G310" s="57" t="s">
        <v>705</v>
      </c>
      <c r="H310" s="57" t="s">
        <v>1420</v>
      </c>
      <c r="I310" s="57" t="s">
        <v>1421</v>
      </c>
      <c r="J310" s="57" t="str">
        <f t="array" ref="J310">XLOOKUP(F310,'коды стран'!$B$2:$B$7,'коды стран'!$A$2:$A$7)</f>
        <v>Беларусь</v>
      </c>
    </row>
    <row r="311" ht="14.25" customHeight="1">
      <c r="A311" s="57">
        <v>428.0</v>
      </c>
      <c r="B311" s="57" t="s">
        <v>1422</v>
      </c>
      <c r="C311" s="57" t="s">
        <v>1423</v>
      </c>
      <c r="D311" s="57" t="s">
        <v>206</v>
      </c>
      <c r="E311" s="59">
        <v>44848.0</v>
      </c>
      <c r="F311" s="57" t="str">
        <f t="shared" si="1"/>
        <v>+375</v>
      </c>
      <c r="G311" s="57" t="s">
        <v>1424</v>
      </c>
      <c r="H311" s="57" t="s">
        <v>1425</v>
      </c>
      <c r="I311" s="57" t="s">
        <v>918</v>
      </c>
      <c r="J311" s="57" t="str">
        <f t="array" ref="J311">XLOOKUP(F311,'коды стран'!$B$2:$B$7,'коды стран'!$A$2:$A$7)</f>
        <v>Беларусь</v>
      </c>
    </row>
    <row r="312" ht="14.25" customHeight="1">
      <c r="A312" s="57">
        <v>438.0</v>
      </c>
      <c r="B312" s="57" t="s">
        <v>1426</v>
      </c>
      <c r="C312" s="57" t="s">
        <v>1427</v>
      </c>
      <c r="D312" s="57" t="s">
        <v>205</v>
      </c>
      <c r="E312" s="59">
        <v>44693.0</v>
      </c>
      <c r="F312" s="57" t="str">
        <f t="shared" si="1"/>
        <v>+998</v>
      </c>
      <c r="G312" s="57" t="s">
        <v>1301</v>
      </c>
      <c r="H312" s="57" t="s">
        <v>884</v>
      </c>
      <c r="I312" s="57" t="s">
        <v>1195</v>
      </c>
      <c r="J312" s="57" t="str">
        <f t="array" ref="J312">XLOOKUP(F312,'коды стран'!$B$2:$B$7,'коды стран'!$A$2:$A$7)</f>
        <v>Узбекистан</v>
      </c>
    </row>
    <row r="313" ht="14.25" customHeight="1">
      <c r="A313" s="57">
        <v>465.0</v>
      </c>
      <c r="B313" s="57" t="s">
        <v>1428</v>
      </c>
      <c r="C313" s="57" t="s">
        <v>1429</v>
      </c>
      <c r="D313" s="57" t="s">
        <v>206</v>
      </c>
      <c r="E313" s="59">
        <v>44671.0</v>
      </c>
      <c r="F313" s="57" t="str">
        <f t="shared" si="1"/>
        <v>+998</v>
      </c>
      <c r="G313" s="57" t="s">
        <v>462</v>
      </c>
      <c r="H313" s="57" t="s">
        <v>355</v>
      </c>
      <c r="I313" s="57" t="s">
        <v>1430</v>
      </c>
      <c r="J313" s="57" t="str">
        <f t="array" ref="J313">XLOOKUP(F313,'коды стран'!$B$2:$B$7,'коды стран'!$A$2:$A$7)</f>
        <v>Узбекистан</v>
      </c>
    </row>
    <row r="314" ht="14.25" customHeight="1">
      <c r="A314" s="57">
        <v>215.0</v>
      </c>
      <c r="B314" s="57" t="s">
        <v>1431</v>
      </c>
      <c r="C314" s="57" t="s">
        <v>1432</v>
      </c>
      <c r="D314" s="57" t="s">
        <v>206</v>
      </c>
      <c r="E314" s="59">
        <v>44799.0</v>
      </c>
      <c r="F314" s="57" t="str">
        <f t="shared" si="1"/>
        <v>+7</v>
      </c>
      <c r="G314" s="57" t="s">
        <v>1433</v>
      </c>
      <c r="H314" s="57" t="s">
        <v>1434</v>
      </c>
      <c r="I314" s="57" t="s">
        <v>1435</v>
      </c>
      <c r="J314" s="57" t="str">
        <f t="array" ref="J314">XLOOKUP(F314,'коды стран'!$B$2:$B$7,'коды стран'!$A$2:$A$7)</f>
        <v>Россия</v>
      </c>
    </row>
    <row r="315" ht="14.25" customHeight="1">
      <c r="A315" s="57">
        <v>15.0</v>
      </c>
      <c r="B315" s="57" t="s">
        <v>1436</v>
      </c>
      <c r="C315" s="57" t="s">
        <v>1437</v>
      </c>
      <c r="D315" s="57" t="s">
        <v>206</v>
      </c>
      <c r="E315" s="59">
        <v>44711.0</v>
      </c>
      <c r="F315" s="57" t="str">
        <f t="shared" si="1"/>
        <v>+380</v>
      </c>
      <c r="G315" s="57" t="s">
        <v>1438</v>
      </c>
      <c r="H315" s="57" t="s">
        <v>1235</v>
      </c>
      <c r="I315" s="57" t="s">
        <v>684</v>
      </c>
      <c r="J315" s="57" t="str">
        <f t="array" ref="J315">XLOOKUP(F315,'коды стран'!$B$2:$B$7,'коды стран'!$A$2:$A$7)</f>
        <v>Украина</v>
      </c>
    </row>
    <row r="316" ht="14.25" customHeight="1">
      <c r="A316" s="57">
        <v>370.0</v>
      </c>
      <c r="B316" s="57" t="s">
        <v>1439</v>
      </c>
      <c r="C316" s="57" t="s">
        <v>1440</v>
      </c>
      <c r="D316" s="57" t="s">
        <v>205</v>
      </c>
      <c r="E316" s="59">
        <v>44726.0</v>
      </c>
      <c r="F316" s="57" t="str">
        <f t="shared" si="1"/>
        <v>+992</v>
      </c>
      <c r="G316" s="57" t="s">
        <v>1441</v>
      </c>
      <c r="H316" s="57" t="s">
        <v>1258</v>
      </c>
      <c r="I316" s="57" t="s">
        <v>318</v>
      </c>
      <c r="J316" s="57" t="str">
        <f t="array" ref="J316">XLOOKUP(F316,'коды стран'!$B$2:$B$7,'коды стран'!$A$2:$A$7)</f>
        <v>Таджикистан</v>
      </c>
    </row>
    <row r="317" ht="14.25" customHeight="1">
      <c r="A317" s="57">
        <v>80.0</v>
      </c>
      <c r="B317" s="57" t="s">
        <v>1442</v>
      </c>
      <c r="C317" s="57" t="s">
        <v>1443</v>
      </c>
      <c r="D317" s="57" t="s">
        <v>206</v>
      </c>
      <c r="E317" s="59">
        <v>44623.0</v>
      </c>
      <c r="F317" s="57" t="str">
        <f t="shared" si="1"/>
        <v>+375</v>
      </c>
      <c r="G317" s="57" t="s">
        <v>1444</v>
      </c>
      <c r="H317" s="57" t="s">
        <v>1445</v>
      </c>
      <c r="I317" s="57" t="s">
        <v>1446</v>
      </c>
      <c r="J317" s="57" t="str">
        <f t="array" ref="J317">XLOOKUP(F317,'коды стран'!$B$2:$B$7,'коды стран'!$A$2:$A$7)</f>
        <v>Беларусь</v>
      </c>
    </row>
    <row r="318" ht="14.25" customHeight="1">
      <c r="A318" s="57">
        <v>17.0</v>
      </c>
      <c r="B318" s="57" t="s">
        <v>1447</v>
      </c>
      <c r="C318" s="57" t="s">
        <v>1448</v>
      </c>
      <c r="D318" s="57" t="s">
        <v>206</v>
      </c>
      <c r="E318" s="59">
        <v>44877.0</v>
      </c>
      <c r="F318" s="57" t="str">
        <f t="shared" si="1"/>
        <v>+992</v>
      </c>
      <c r="G318" s="57" t="s">
        <v>456</v>
      </c>
      <c r="H318" s="57" t="s">
        <v>248</v>
      </c>
      <c r="I318" s="57" t="s">
        <v>1449</v>
      </c>
      <c r="J318" s="57" t="str">
        <f t="array" ref="J318">XLOOKUP(F318,'коды стран'!$B$2:$B$7,'коды стран'!$A$2:$A$7)</f>
        <v>Таджикистан</v>
      </c>
    </row>
    <row r="319" ht="14.25" customHeight="1">
      <c r="A319" s="57">
        <v>127.0</v>
      </c>
      <c r="B319" s="57" t="s">
        <v>1450</v>
      </c>
      <c r="C319" s="57" t="s">
        <v>1451</v>
      </c>
      <c r="D319" s="57" t="s">
        <v>206</v>
      </c>
      <c r="E319" s="59">
        <v>44914.0</v>
      </c>
      <c r="F319" s="57" t="str">
        <f t="shared" si="1"/>
        <v>+380</v>
      </c>
      <c r="G319" s="57" t="s">
        <v>1452</v>
      </c>
      <c r="H319" s="57" t="s">
        <v>1453</v>
      </c>
      <c r="I319" s="57" t="s">
        <v>1454</v>
      </c>
      <c r="J319" s="57" t="str">
        <f t="array" ref="J319">XLOOKUP(F319,'коды стран'!$B$2:$B$7,'коды стран'!$A$2:$A$7)</f>
        <v>Украина</v>
      </c>
    </row>
    <row r="320" ht="14.25" customHeight="1">
      <c r="A320" s="57">
        <v>441.0</v>
      </c>
      <c r="B320" s="57" t="s">
        <v>1455</v>
      </c>
      <c r="C320" s="57" t="s">
        <v>1456</v>
      </c>
      <c r="D320" s="57" t="s">
        <v>206</v>
      </c>
      <c r="E320" s="59">
        <v>44867.0</v>
      </c>
      <c r="F320" s="57" t="str">
        <f t="shared" si="1"/>
        <v>+998</v>
      </c>
      <c r="G320" s="57" t="s">
        <v>1457</v>
      </c>
      <c r="H320" s="57" t="s">
        <v>442</v>
      </c>
      <c r="I320" s="57" t="s">
        <v>1458</v>
      </c>
      <c r="J320" s="57" t="str">
        <f t="array" ref="J320">XLOOKUP(F320,'коды стран'!$B$2:$B$7,'коды стран'!$A$2:$A$7)</f>
        <v>Узбекистан</v>
      </c>
    </row>
    <row r="321" ht="14.25" customHeight="1">
      <c r="A321" s="57">
        <v>220.0</v>
      </c>
      <c r="B321" s="57" t="s">
        <v>1459</v>
      </c>
      <c r="C321" s="57" t="s">
        <v>1460</v>
      </c>
      <c r="D321" s="57" t="s">
        <v>206</v>
      </c>
      <c r="E321" s="59">
        <v>44570.0</v>
      </c>
      <c r="F321" s="57" t="str">
        <f t="shared" si="1"/>
        <v>+380</v>
      </c>
      <c r="G321" s="57" t="s">
        <v>1112</v>
      </c>
      <c r="H321" s="57" t="s">
        <v>1461</v>
      </c>
      <c r="I321" s="57" t="s">
        <v>1462</v>
      </c>
      <c r="J321" s="57" t="str">
        <f t="array" ref="J321">XLOOKUP(F321,'коды стран'!$B$2:$B$7,'коды стран'!$A$2:$A$7)</f>
        <v>Украина</v>
      </c>
    </row>
    <row r="322" ht="14.25" customHeight="1">
      <c r="A322" s="57">
        <v>206.0</v>
      </c>
      <c r="B322" s="57" t="s">
        <v>1463</v>
      </c>
      <c r="C322" s="57" t="s">
        <v>1464</v>
      </c>
      <c r="D322" s="57" t="s">
        <v>206</v>
      </c>
      <c r="E322" s="59">
        <v>44568.0</v>
      </c>
      <c r="F322" s="57" t="str">
        <f t="shared" si="1"/>
        <v>+7</v>
      </c>
      <c r="G322" s="57" t="s">
        <v>411</v>
      </c>
      <c r="H322" s="57" t="s">
        <v>1465</v>
      </c>
      <c r="I322" s="57" t="s">
        <v>1466</v>
      </c>
      <c r="J322" s="57" t="str">
        <f t="array" ref="J322">XLOOKUP(F322,'коды стран'!$B$2:$B$7,'коды стран'!$A$2:$A$7)</f>
        <v>Россия</v>
      </c>
    </row>
    <row r="323" ht="14.25" customHeight="1">
      <c r="A323" s="57">
        <v>210.0</v>
      </c>
      <c r="B323" s="57" t="s">
        <v>1467</v>
      </c>
      <c r="C323" s="57" t="s">
        <v>1468</v>
      </c>
      <c r="D323" s="57" t="s">
        <v>206</v>
      </c>
      <c r="E323" s="59">
        <v>44602.0</v>
      </c>
      <c r="F323" s="57" t="str">
        <f t="shared" si="1"/>
        <v>+998</v>
      </c>
      <c r="G323" s="57" t="s">
        <v>1469</v>
      </c>
      <c r="H323" s="57" t="s">
        <v>662</v>
      </c>
      <c r="I323" s="57" t="s">
        <v>1177</v>
      </c>
      <c r="J323" s="57" t="str">
        <f t="array" ref="J323">XLOOKUP(F323,'коды стран'!$B$2:$B$7,'коды стран'!$A$2:$A$7)</f>
        <v>Узбекистан</v>
      </c>
    </row>
    <row r="324" ht="14.25" customHeight="1">
      <c r="A324" s="57">
        <v>67.0</v>
      </c>
      <c r="B324" s="57" t="s">
        <v>1470</v>
      </c>
      <c r="C324" s="57" t="s">
        <v>1471</v>
      </c>
      <c r="D324" s="57" t="s">
        <v>205</v>
      </c>
      <c r="E324" s="59">
        <v>44731.0</v>
      </c>
      <c r="F324" s="57" t="str">
        <f t="shared" si="1"/>
        <v>+998</v>
      </c>
      <c r="G324" s="57" t="s">
        <v>964</v>
      </c>
      <c r="H324" s="57" t="s">
        <v>485</v>
      </c>
      <c r="I324" s="57" t="s">
        <v>1231</v>
      </c>
      <c r="J324" s="57" t="str">
        <f t="array" ref="J324">XLOOKUP(F324,'коды стран'!$B$2:$B$7,'коды стран'!$A$2:$A$7)</f>
        <v>Узбекистан</v>
      </c>
    </row>
    <row r="325" ht="14.25" customHeight="1">
      <c r="A325" s="57">
        <v>125.0</v>
      </c>
      <c r="B325" s="57" t="s">
        <v>1472</v>
      </c>
      <c r="C325" s="57" t="s">
        <v>1473</v>
      </c>
      <c r="D325" s="57" t="s">
        <v>206</v>
      </c>
      <c r="E325" s="59">
        <v>44701.0</v>
      </c>
      <c r="F325" s="57" t="str">
        <f t="shared" si="1"/>
        <v>+7</v>
      </c>
      <c r="G325" s="57" t="s">
        <v>644</v>
      </c>
      <c r="H325" s="57" t="s">
        <v>475</v>
      </c>
      <c r="I325" s="57" t="s">
        <v>1474</v>
      </c>
      <c r="J325" s="57" t="str">
        <f t="array" ref="J325">XLOOKUP(F325,'коды стран'!$B$2:$B$7,'коды стран'!$A$2:$A$7)</f>
        <v>Россия</v>
      </c>
    </row>
    <row r="326" ht="14.25" customHeight="1">
      <c r="A326" s="57">
        <v>213.0</v>
      </c>
      <c r="B326" s="57" t="s">
        <v>1475</v>
      </c>
      <c r="C326" s="57" t="s">
        <v>1476</v>
      </c>
      <c r="D326" s="57" t="s">
        <v>206</v>
      </c>
      <c r="E326" s="59">
        <v>44733.0</v>
      </c>
      <c r="F326" s="57" t="str">
        <f t="shared" si="1"/>
        <v>+998</v>
      </c>
      <c r="G326" s="57" t="s">
        <v>1421</v>
      </c>
      <c r="H326" s="57" t="s">
        <v>1018</v>
      </c>
      <c r="I326" s="57" t="s">
        <v>838</v>
      </c>
      <c r="J326" s="57" t="str">
        <f t="array" ref="J326">XLOOKUP(F326,'коды стран'!$B$2:$B$7,'коды стран'!$A$2:$A$7)</f>
        <v>Узбекистан</v>
      </c>
    </row>
    <row r="327" ht="14.25" customHeight="1">
      <c r="A327" s="57">
        <v>336.0</v>
      </c>
      <c r="B327" s="57" t="s">
        <v>1477</v>
      </c>
      <c r="C327" s="57" t="s">
        <v>1478</v>
      </c>
      <c r="D327" s="57" t="s">
        <v>206</v>
      </c>
      <c r="E327" s="59">
        <v>44856.0</v>
      </c>
      <c r="F327" s="57" t="str">
        <f t="shared" si="1"/>
        <v>+998</v>
      </c>
      <c r="G327" s="57" t="s">
        <v>942</v>
      </c>
      <c r="H327" s="57" t="s">
        <v>346</v>
      </c>
      <c r="I327" s="57" t="s">
        <v>981</v>
      </c>
      <c r="J327" s="57" t="str">
        <f t="array" ref="J327">XLOOKUP(F327,'коды стран'!$B$2:$B$7,'коды стран'!$A$2:$A$7)</f>
        <v>Узбекистан</v>
      </c>
    </row>
    <row r="328" ht="14.25" customHeight="1">
      <c r="A328" s="57">
        <v>294.0</v>
      </c>
      <c r="B328" s="57" t="s">
        <v>1479</v>
      </c>
      <c r="C328" s="57" t="s">
        <v>1480</v>
      </c>
      <c r="D328" s="57" t="s">
        <v>205</v>
      </c>
      <c r="E328" s="59">
        <v>44879.0</v>
      </c>
      <c r="F328" s="57" t="str">
        <f t="shared" si="1"/>
        <v>+380</v>
      </c>
      <c r="G328" s="57" t="s">
        <v>1061</v>
      </c>
      <c r="H328" s="57" t="s">
        <v>1481</v>
      </c>
      <c r="I328" s="57" t="s">
        <v>429</v>
      </c>
      <c r="J328" s="57" t="str">
        <f t="array" ref="J328">XLOOKUP(F328,'коды стран'!$B$2:$B$7,'коды стран'!$A$2:$A$7)</f>
        <v>Украина</v>
      </c>
    </row>
    <row r="329" ht="14.25" customHeight="1">
      <c r="A329" s="57">
        <v>27.0</v>
      </c>
      <c r="B329" s="57" t="s">
        <v>1482</v>
      </c>
      <c r="C329" s="57" t="s">
        <v>1483</v>
      </c>
      <c r="D329" s="57" t="s">
        <v>206</v>
      </c>
      <c r="E329" s="59">
        <v>44586.0</v>
      </c>
      <c r="F329" s="57" t="str">
        <f t="shared" si="1"/>
        <v>+380</v>
      </c>
      <c r="G329" s="57" t="s">
        <v>552</v>
      </c>
      <c r="H329" s="57" t="s">
        <v>971</v>
      </c>
      <c r="I329" s="57" t="s">
        <v>1484</v>
      </c>
      <c r="J329" s="57" t="str">
        <f t="array" ref="J329">XLOOKUP(F329,'коды стран'!$B$2:$B$7,'коды стран'!$A$2:$A$7)</f>
        <v>Украина</v>
      </c>
    </row>
    <row r="330" ht="14.25" customHeight="1">
      <c r="A330" s="57">
        <v>53.0</v>
      </c>
      <c r="B330" s="57" t="s">
        <v>1485</v>
      </c>
      <c r="C330" s="57" t="s">
        <v>1486</v>
      </c>
      <c r="D330" s="57" t="s">
        <v>206</v>
      </c>
      <c r="E330" s="59">
        <v>44593.0</v>
      </c>
      <c r="F330" s="57" t="str">
        <f t="shared" si="1"/>
        <v>+7</v>
      </c>
      <c r="G330" s="57" t="s">
        <v>1251</v>
      </c>
      <c r="H330" s="57" t="s">
        <v>438</v>
      </c>
      <c r="I330" s="57" t="s">
        <v>1487</v>
      </c>
      <c r="J330" s="57" t="str">
        <f t="array" ref="J330">XLOOKUP(F330,'коды стран'!$B$2:$B$7,'коды стран'!$A$2:$A$7)</f>
        <v>Россия</v>
      </c>
    </row>
    <row r="331" ht="14.25" customHeight="1">
      <c r="A331" s="57">
        <v>143.0</v>
      </c>
      <c r="B331" s="57" t="s">
        <v>1488</v>
      </c>
      <c r="C331" s="57" t="s">
        <v>1489</v>
      </c>
      <c r="D331" s="57" t="s">
        <v>206</v>
      </c>
      <c r="E331" s="59">
        <v>44601.0</v>
      </c>
      <c r="F331" s="57" t="str">
        <f t="shared" si="1"/>
        <v>+7</v>
      </c>
      <c r="G331" s="57" t="s">
        <v>589</v>
      </c>
      <c r="H331" s="57" t="s">
        <v>1490</v>
      </c>
      <c r="I331" s="57" t="s">
        <v>1491</v>
      </c>
      <c r="J331" s="57" t="str">
        <f t="array" ref="J331">XLOOKUP(F331,'коды стран'!$B$2:$B$7,'коды стран'!$A$2:$A$7)</f>
        <v>Россия</v>
      </c>
    </row>
    <row r="332" ht="14.25" customHeight="1">
      <c r="A332" s="57">
        <v>135.0</v>
      </c>
      <c r="B332" s="57" t="s">
        <v>1492</v>
      </c>
      <c r="C332" s="57" t="s">
        <v>1493</v>
      </c>
      <c r="D332" s="57" t="s">
        <v>205</v>
      </c>
      <c r="E332" s="59">
        <v>44602.0</v>
      </c>
      <c r="F332" s="57" t="str">
        <f t="shared" si="1"/>
        <v>+7</v>
      </c>
      <c r="G332" s="57" t="s">
        <v>1086</v>
      </c>
      <c r="H332" s="57" t="s">
        <v>398</v>
      </c>
      <c r="I332" s="57" t="s">
        <v>1494</v>
      </c>
      <c r="J332" s="57" t="str">
        <f t="array" ref="J332">XLOOKUP(F332,'коды стран'!$B$2:$B$7,'коды стран'!$A$2:$A$7)</f>
        <v>Россия</v>
      </c>
    </row>
    <row r="333" ht="14.25" customHeight="1">
      <c r="A333" s="57">
        <v>279.0</v>
      </c>
      <c r="B333" s="57" t="s">
        <v>1495</v>
      </c>
      <c r="C333" s="57" t="s">
        <v>1496</v>
      </c>
      <c r="D333" s="57" t="s">
        <v>205</v>
      </c>
      <c r="E333" s="59">
        <v>44786.0</v>
      </c>
      <c r="F333" s="57" t="str">
        <f t="shared" si="1"/>
        <v>+998</v>
      </c>
      <c r="G333" s="57" t="s">
        <v>1497</v>
      </c>
      <c r="H333" s="57" t="s">
        <v>485</v>
      </c>
      <c r="I333" s="57" t="s">
        <v>486</v>
      </c>
      <c r="J333" s="57" t="str">
        <f t="array" ref="J333">XLOOKUP(F333,'коды стран'!$B$2:$B$7,'коды стран'!$A$2:$A$7)</f>
        <v>Узбекистан</v>
      </c>
    </row>
    <row r="334" ht="14.25" customHeight="1">
      <c r="A334" s="57">
        <v>271.0</v>
      </c>
      <c r="B334" s="57" t="s">
        <v>1498</v>
      </c>
      <c r="C334" s="57" t="s">
        <v>1499</v>
      </c>
      <c r="D334" s="57" t="s">
        <v>206</v>
      </c>
      <c r="E334" s="59">
        <v>44892.0</v>
      </c>
      <c r="F334" s="57" t="str">
        <f t="shared" si="1"/>
        <v>+375</v>
      </c>
      <c r="G334" s="57" t="s">
        <v>698</v>
      </c>
      <c r="H334" s="57" t="s">
        <v>1500</v>
      </c>
      <c r="I334" s="57" t="s">
        <v>1131</v>
      </c>
      <c r="J334" s="57" t="str">
        <f t="array" ref="J334">XLOOKUP(F334,'коды стран'!$B$2:$B$7,'коды стран'!$A$2:$A$7)</f>
        <v>Беларусь</v>
      </c>
    </row>
    <row r="335" ht="14.25" customHeight="1">
      <c r="A335" s="57">
        <v>444.0</v>
      </c>
      <c r="B335" s="57" t="s">
        <v>1501</v>
      </c>
      <c r="C335" s="57" t="s">
        <v>1502</v>
      </c>
      <c r="D335" s="57" t="s">
        <v>205</v>
      </c>
      <c r="E335" s="59">
        <v>44688.0</v>
      </c>
      <c r="F335" s="57" t="str">
        <f t="shared" si="1"/>
        <v>+7</v>
      </c>
      <c r="G335" s="57" t="s">
        <v>945</v>
      </c>
      <c r="H335" s="57" t="s">
        <v>755</v>
      </c>
      <c r="I335" s="57" t="s">
        <v>726</v>
      </c>
      <c r="J335" s="57" t="str">
        <f t="array" ref="J335">XLOOKUP(F335,'коды стран'!$B$2:$B$7,'коды стран'!$A$2:$A$7)</f>
        <v>Россия</v>
      </c>
    </row>
    <row r="336" ht="14.25" customHeight="1">
      <c r="A336" s="57">
        <v>133.0</v>
      </c>
      <c r="B336" s="57" t="s">
        <v>1503</v>
      </c>
      <c r="C336" s="57" t="s">
        <v>1504</v>
      </c>
      <c r="D336" s="57" t="s">
        <v>206</v>
      </c>
      <c r="E336" s="59">
        <v>44588.0</v>
      </c>
      <c r="F336" s="57" t="str">
        <f t="shared" si="1"/>
        <v>+998</v>
      </c>
      <c r="G336" s="57" t="s">
        <v>716</v>
      </c>
      <c r="H336" s="57" t="s">
        <v>224</v>
      </c>
      <c r="I336" s="57" t="s">
        <v>1505</v>
      </c>
      <c r="J336" s="57" t="str">
        <f t="array" ref="J336">XLOOKUP(F336,'коды стран'!$B$2:$B$7,'коды стран'!$A$2:$A$7)</f>
        <v>Узбекистан</v>
      </c>
    </row>
    <row r="337" ht="14.25" customHeight="1">
      <c r="A337" s="57">
        <v>300.0</v>
      </c>
      <c r="B337" s="57" t="s">
        <v>1506</v>
      </c>
      <c r="C337" s="57" t="s">
        <v>1507</v>
      </c>
      <c r="D337" s="57" t="s">
        <v>205</v>
      </c>
      <c r="E337" s="59">
        <v>44824.0</v>
      </c>
      <c r="F337" s="57" t="str">
        <f t="shared" si="1"/>
        <v>+380</v>
      </c>
      <c r="G337" s="57" t="s">
        <v>822</v>
      </c>
      <c r="H337" s="57" t="s">
        <v>1508</v>
      </c>
      <c r="I337" s="57" t="s">
        <v>662</v>
      </c>
      <c r="J337" s="57" t="str">
        <f t="array" ref="J337">XLOOKUP(F337,'коды стран'!$B$2:$B$7,'коды стран'!$A$2:$A$7)</f>
        <v>Украина</v>
      </c>
    </row>
    <row r="338" ht="14.25" customHeight="1">
      <c r="A338" s="57">
        <v>54.0</v>
      </c>
      <c r="B338" s="57" t="s">
        <v>1509</v>
      </c>
      <c r="C338" s="57" t="s">
        <v>1510</v>
      </c>
      <c r="D338" s="57" t="s">
        <v>206</v>
      </c>
      <c r="E338" s="59">
        <v>44847.0</v>
      </c>
      <c r="F338" s="57" t="str">
        <f t="shared" si="1"/>
        <v>+375</v>
      </c>
      <c r="G338" s="57" t="s">
        <v>1511</v>
      </c>
      <c r="H338" s="57" t="s">
        <v>401</v>
      </c>
      <c r="I338" s="57" t="s">
        <v>1512</v>
      </c>
      <c r="J338" s="57" t="str">
        <f t="array" ref="J338">XLOOKUP(F338,'коды стран'!$B$2:$B$7,'коды стран'!$A$2:$A$7)</f>
        <v>Беларусь</v>
      </c>
    </row>
    <row r="339" ht="14.25" customHeight="1">
      <c r="A339" s="57">
        <v>340.0</v>
      </c>
      <c r="B339" s="57" t="s">
        <v>1513</v>
      </c>
      <c r="C339" s="57" t="s">
        <v>1514</v>
      </c>
      <c r="D339" s="57" t="s">
        <v>206</v>
      </c>
      <c r="E339" s="59">
        <v>44896.0</v>
      </c>
      <c r="F339" s="57" t="str">
        <f t="shared" si="1"/>
        <v>+7</v>
      </c>
      <c r="G339" s="57" t="s">
        <v>1515</v>
      </c>
      <c r="H339" s="57" t="s">
        <v>1149</v>
      </c>
      <c r="I339" s="57" t="s">
        <v>1516</v>
      </c>
      <c r="J339" s="57" t="str">
        <f t="array" ref="J339">XLOOKUP(F339,'коды стран'!$B$2:$B$7,'коды стран'!$A$2:$A$7)</f>
        <v>Россия</v>
      </c>
    </row>
    <row r="340" ht="14.25" customHeight="1">
      <c r="A340" s="57">
        <v>272.0</v>
      </c>
      <c r="B340" s="57" t="s">
        <v>1517</v>
      </c>
      <c r="C340" s="57" t="s">
        <v>1518</v>
      </c>
      <c r="D340" s="57" t="s">
        <v>206</v>
      </c>
      <c r="E340" s="59">
        <v>44668.0</v>
      </c>
      <c r="F340" s="57" t="str">
        <f t="shared" si="1"/>
        <v>+992</v>
      </c>
      <c r="G340" s="57" t="s">
        <v>1490</v>
      </c>
      <c r="H340" s="57" t="s">
        <v>1207</v>
      </c>
      <c r="I340" s="57" t="s">
        <v>268</v>
      </c>
      <c r="J340" s="57" t="str">
        <f t="array" ref="J340">XLOOKUP(F340,'коды стран'!$B$2:$B$7,'коды стран'!$A$2:$A$7)</f>
        <v>Таджикистан</v>
      </c>
    </row>
    <row r="341" ht="14.25" customHeight="1">
      <c r="A341" s="57">
        <v>165.0</v>
      </c>
      <c r="B341" s="57" t="s">
        <v>1519</v>
      </c>
      <c r="C341" s="57" t="s">
        <v>1520</v>
      </c>
      <c r="D341" s="57" t="s">
        <v>205</v>
      </c>
      <c r="E341" s="59">
        <v>44599.0</v>
      </c>
      <c r="F341" s="57" t="str">
        <f t="shared" si="1"/>
        <v>+992</v>
      </c>
      <c r="G341" s="57" t="s">
        <v>699</v>
      </c>
      <c r="H341" s="57" t="s">
        <v>1521</v>
      </c>
      <c r="I341" s="57" t="s">
        <v>1522</v>
      </c>
      <c r="J341" s="57" t="str">
        <f t="array" ref="J341">XLOOKUP(F341,'коды стран'!$B$2:$B$7,'коды стран'!$A$2:$A$7)</f>
        <v>Таджикистан</v>
      </c>
    </row>
    <row r="342" ht="14.25" customHeight="1">
      <c r="A342" s="57">
        <v>214.0</v>
      </c>
      <c r="B342" s="57" t="s">
        <v>1523</v>
      </c>
      <c r="C342" s="57" t="s">
        <v>1524</v>
      </c>
      <c r="D342" s="57" t="s">
        <v>205</v>
      </c>
      <c r="E342" s="59">
        <v>44601.0</v>
      </c>
      <c r="F342" s="57" t="str">
        <f t="shared" si="1"/>
        <v>+7</v>
      </c>
      <c r="G342" s="57" t="s">
        <v>1525</v>
      </c>
      <c r="H342" s="57" t="s">
        <v>1526</v>
      </c>
      <c r="I342" s="57" t="s">
        <v>917</v>
      </c>
      <c r="J342" s="57" t="str">
        <f t="array" ref="J342">XLOOKUP(F342,'коды стран'!$B$2:$B$7,'коды стран'!$A$2:$A$7)</f>
        <v>Россия</v>
      </c>
    </row>
    <row r="343" ht="14.25" customHeight="1">
      <c r="A343" s="57">
        <v>409.0</v>
      </c>
      <c r="B343" s="57" t="s">
        <v>1527</v>
      </c>
      <c r="C343" s="57" t="s">
        <v>1528</v>
      </c>
      <c r="D343" s="57" t="s">
        <v>206</v>
      </c>
      <c r="E343" s="59">
        <v>44869.0</v>
      </c>
      <c r="F343" s="57" t="str">
        <f t="shared" si="1"/>
        <v>+380</v>
      </c>
      <c r="G343" s="57" t="s">
        <v>1529</v>
      </c>
      <c r="H343" s="57" t="s">
        <v>741</v>
      </c>
      <c r="I343" s="57" t="s">
        <v>981</v>
      </c>
      <c r="J343" s="57" t="str">
        <f t="array" ref="J343">XLOOKUP(F343,'коды стран'!$B$2:$B$7,'коды стран'!$A$2:$A$7)</f>
        <v>Украина</v>
      </c>
    </row>
    <row r="344" ht="14.25" customHeight="1">
      <c r="A344" s="57">
        <v>348.0</v>
      </c>
      <c r="B344" s="57" t="s">
        <v>1530</v>
      </c>
      <c r="C344" s="57" t="s">
        <v>1531</v>
      </c>
      <c r="D344" s="57" t="s">
        <v>205</v>
      </c>
      <c r="E344" s="59">
        <v>44569.0</v>
      </c>
      <c r="F344" s="57" t="str">
        <f t="shared" si="1"/>
        <v>+380</v>
      </c>
      <c r="G344" s="57" t="s">
        <v>540</v>
      </c>
      <c r="H344" s="57" t="s">
        <v>541</v>
      </c>
      <c r="I344" s="57" t="s">
        <v>1532</v>
      </c>
      <c r="J344" s="57" t="str">
        <f t="array" ref="J344">XLOOKUP(F344,'коды стран'!$B$2:$B$7,'коды стран'!$A$2:$A$7)</f>
        <v>Украина</v>
      </c>
    </row>
    <row r="345" ht="14.25" customHeight="1">
      <c r="A345" s="57">
        <v>351.0</v>
      </c>
      <c r="B345" s="57" t="s">
        <v>1533</v>
      </c>
      <c r="C345" s="57" t="s">
        <v>1534</v>
      </c>
      <c r="D345" s="57" t="s">
        <v>205</v>
      </c>
      <c r="E345" s="59">
        <v>44863.0</v>
      </c>
      <c r="F345" s="57" t="str">
        <f t="shared" si="1"/>
        <v>+7</v>
      </c>
      <c r="G345" s="57" t="s">
        <v>1535</v>
      </c>
      <c r="H345" s="57" t="s">
        <v>364</v>
      </c>
      <c r="I345" s="57" t="s">
        <v>1030</v>
      </c>
      <c r="J345" s="57" t="str">
        <f t="array" ref="J345">XLOOKUP(F345,'коды стран'!$B$2:$B$7,'коды стран'!$A$2:$A$7)</f>
        <v>Россия</v>
      </c>
    </row>
    <row r="346" ht="14.25" customHeight="1">
      <c r="A346" s="57">
        <v>40.0</v>
      </c>
      <c r="B346" s="57" t="s">
        <v>1536</v>
      </c>
      <c r="C346" s="57" t="s">
        <v>1537</v>
      </c>
      <c r="D346" s="57" t="s">
        <v>206</v>
      </c>
      <c r="E346" s="59">
        <v>44855.0</v>
      </c>
      <c r="F346" s="57" t="str">
        <f t="shared" si="1"/>
        <v>+7</v>
      </c>
      <c r="G346" s="57" t="s">
        <v>1538</v>
      </c>
      <c r="H346" s="57" t="s">
        <v>1207</v>
      </c>
      <c r="I346" s="57" t="s">
        <v>1539</v>
      </c>
      <c r="J346" s="57" t="str">
        <f t="array" ref="J346">XLOOKUP(F346,'коды стран'!$B$2:$B$7,'коды стран'!$A$2:$A$7)</f>
        <v>Россия</v>
      </c>
    </row>
    <row r="347" ht="14.25" customHeight="1">
      <c r="A347" s="57">
        <v>245.0</v>
      </c>
      <c r="B347" s="57" t="s">
        <v>1540</v>
      </c>
      <c r="C347" s="57" t="s">
        <v>1541</v>
      </c>
      <c r="D347" s="57" t="s">
        <v>206</v>
      </c>
      <c r="E347" s="59">
        <v>44695.0</v>
      </c>
      <c r="F347" s="57" t="str">
        <f t="shared" si="1"/>
        <v>+998</v>
      </c>
      <c r="G347" s="57" t="s">
        <v>317</v>
      </c>
      <c r="H347" s="57" t="s">
        <v>277</v>
      </c>
      <c r="I347" s="57" t="s">
        <v>1542</v>
      </c>
      <c r="J347" s="57" t="str">
        <f t="array" ref="J347">XLOOKUP(F347,'коды стран'!$B$2:$B$7,'коды стран'!$A$2:$A$7)</f>
        <v>Узбекистан</v>
      </c>
    </row>
    <row r="348" ht="14.25" customHeight="1">
      <c r="A348" s="57">
        <v>466.0</v>
      </c>
      <c r="B348" s="57" t="s">
        <v>1543</v>
      </c>
      <c r="C348" s="57" t="s">
        <v>1544</v>
      </c>
      <c r="D348" s="57" t="s">
        <v>205</v>
      </c>
      <c r="E348" s="59">
        <v>44772.0</v>
      </c>
      <c r="F348" s="57" t="str">
        <f t="shared" si="1"/>
        <v>+375</v>
      </c>
      <c r="G348" s="57" t="s">
        <v>958</v>
      </c>
      <c r="H348" s="57" t="s">
        <v>405</v>
      </c>
      <c r="I348" s="57" t="s">
        <v>224</v>
      </c>
      <c r="J348" s="57" t="str">
        <f t="array" ref="J348">XLOOKUP(F348,'коды стран'!$B$2:$B$7,'коды стран'!$A$2:$A$7)</f>
        <v>Беларусь</v>
      </c>
    </row>
    <row r="349" ht="14.25" customHeight="1">
      <c r="A349" s="57">
        <v>122.0</v>
      </c>
      <c r="B349" s="57" t="s">
        <v>1545</v>
      </c>
      <c r="C349" s="57" t="s">
        <v>1546</v>
      </c>
      <c r="D349" s="57" t="s">
        <v>206</v>
      </c>
      <c r="E349" s="59">
        <v>44683.0</v>
      </c>
      <c r="F349" s="57" t="str">
        <f t="shared" si="1"/>
        <v>+375</v>
      </c>
      <c r="G349" s="57" t="s">
        <v>1547</v>
      </c>
      <c r="H349" s="57" t="s">
        <v>735</v>
      </c>
      <c r="I349" s="57" t="s">
        <v>1548</v>
      </c>
      <c r="J349" s="57" t="str">
        <f t="array" ref="J349">XLOOKUP(F349,'коды стран'!$B$2:$B$7,'коды стран'!$A$2:$A$7)</f>
        <v>Беларусь</v>
      </c>
    </row>
    <row r="350" ht="14.25" customHeight="1">
      <c r="A350" s="57">
        <v>199.0</v>
      </c>
      <c r="B350" s="57" t="s">
        <v>1549</v>
      </c>
      <c r="C350" s="57" t="s">
        <v>1550</v>
      </c>
      <c r="D350" s="57" t="s">
        <v>205</v>
      </c>
      <c r="E350" s="59">
        <v>44715.0</v>
      </c>
      <c r="F350" s="57" t="str">
        <f t="shared" si="1"/>
        <v>+998</v>
      </c>
      <c r="G350" s="57" t="s">
        <v>680</v>
      </c>
      <c r="H350" s="57" t="s">
        <v>936</v>
      </c>
      <c r="I350" s="57" t="s">
        <v>625</v>
      </c>
      <c r="J350" s="57" t="str">
        <f t="array" ref="J350">XLOOKUP(F350,'коды стран'!$B$2:$B$7,'коды стран'!$A$2:$A$7)</f>
        <v>Узбекистан</v>
      </c>
    </row>
    <row r="351" ht="14.25" customHeight="1">
      <c r="A351" s="57">
        <v>447.0</v>
      </c>
      <c r="B351" s="57" t="s">
        <v>1551</v>
      </c>
      <c r="C351" s="57" t="s">
        <v>1552</v>
      </c>
      <c r="D351" s="57" t="s">
        <v>205</v>
      </c>
      <c r="E351" s="59">
        <v>44898.0</v>
      </c>
      <c r="F351" s="57" t="str">
        <f t="shared" si="1"/>
        <v>+992</v>
      </c>
      <c r="G351" s="57" t="s">
        <v>645</v>
      </c>
      <c r="H351" s="57" t="s">
        <v>726</v>
      </c>
      <c r="I351" s="57" t="s">
        <v>1449</v>
      </c>
      <c r="J351" s="57" t="str">
        <f t="array" ref="J351">XLOOKUP(F351,'коды стран'!$B$2:$B$7,'коды стран'!$A$2:$A$7)</f>
        <v>Таджикистан</v>
      </c>
    </row>
    <row r="352" ht="14.25" customHeight="1">
      <c r="A352" s="57">
        <v>163.0</v>
      </c>
      <c r="B352" s="57" t="s">
        <v>1553</v>
      </c>
      <c r="C352" s="57" t="s">
        <v>1554</v>
      </c>
      <c r="D352" s="57" t="s">
        <v>205</v>
      </c>
      <c r="E352" s="59">
        <v>44571.0</v>
      </c>
      <c r="F352" s="57" t="str">
        <f t="shared" si="1"/>
        <v>+998</v>
      </c>
      <c r="G352" s="57" t="s">
        <v>957</v>
      </c>
      <c r="H352" s="57" t="s">
        <v>1308</v>
      </c>
      <c r="I352" s="57" t="s">
        <v>1555</v>
      </c>
      <c r="J352" s="57" t="str">
        <f t="array" ref="J352">XLOOKUP(F352,'коды стран'!$B$2:$B$7,'коды стран'!$A$2:$A$7)</f>
        <v>Узбекистан</v>
      </c>
    </row>
    <row r="353" ht="14.25" customHeight="1">
      <c r="A353" s="57">
        <v>320.0</v>
      </c>
      <c r="B353" s="57" t="s">
        <v>1556</v>
      </c>
      <c r="C353" s="57" t="s">
        <v>1557</v>
      </c>
      <c r="D353" s="57" t="s">
        <v>206</v>
      </c>
      <c r="E353" s="59">
        <v>44869.0</v>
      </c>
      <c r="F353" s="57" t="str">
        <f t="shared" si="1"/>
        <v>+375</v>
      </c>
      <c r="G353" s="57" t="s">
        <v>311</v>
      </c>
      <c r="H353" s="57" t="s">
        <v>432</v>
      </c>
      <c r="I353" s="57" t="s">
        <v>1051</v>
      </c>
      <c r="J353" s="57" t="str">
        <f t="array" ref="J353">XLOOKUP(F353,'коды стран'!$B$2:$B$7,'коды стран'!$A$2:$A$7)</f>
        <v>Беларусь</v>
      </c>
    </row>
    <row r="354" ht="14.25" customHeight="1">
      <c r="A354" s="57">
        <v>173.0</v>
      </c>
      <c r="B354" s="57" t="s">
        <v>1558</v>
      </c>
      <c r="C354" s="57" t="s">
        <v>1559</v>
      </c>
      <c r="D354" s="57" t="s">
        <v>206</v>
      </c>
      <c r="E354" s="59">
        <v>44673.0</v>
      </c>
      <c r="F354" s="57" t="str">
        <f t="shared" si="1"/>
        <v>+7</v>
      </c>
      <c r="G354" s="57" t="s">
        <v>1539</v>
      </c>
      <c r="H354" s="57" t="s">
        <v>1155</v>
      </c>
      <c r="I354" s="57" t="s">
        <v>1235</v>
      </c>
      <c r="J354" s="57" t="str">
        <f t="array" ref="J354">XLOOKUP(F354,'коды стран'!$B$2:$B$7,'коды стран'!$A$2:$A$7)</f>
        <v>Россия</v>
      </c>
    </row>
    <row r="355" ht="14.25" customHeight="1">
      <c r="A355" s="57">
        <v>485.0</v>
      </c>
      <c r="B355" s="57" t="s">
        <v>1560</v>
      </c>
      <c r="C355" s="57" t="s">
        <v>1561</v>
      </c>
      <c r="D355" s="57" t="s">
        <v>206</v>
      </c>
      <c r="E355" s="59">
        <v>44723.0</v>
      </c>
      <c r="F355" s="57" t="str">
        <f t="shared" si="1"/>
        <v>+7</v>
      </c>
      <c r="G355" s="57" t="s">
        <v>1186</v>
      </c>
      <c r="H355" s="57" t="s">
        <v>1562</v>
      </c>
      <c r="I355" s="57" t="s">
        <v>308</v>
      </c>
      <c r="J355" s="57" t="str">
        <f t="array" ref="J355">XLOOKUP(F355,'коды стран'!$B$2:$B$7,'коды стран'!$A$2:$A$7)</f>
        <v>Россия</v>
      </c>
    </row>
    <row r="356" ht="14.25" customHeight="1">
      <c r="A356" s="57">
        <v>401.0</v>
      </c>
      <c r="B356" s="57" t="s">
        <v>1563</v>
      </c>
      <c r="C356" s="57" t="s">
        <v>1564</v>
      </c>
      <c r="D356" s="57" t="s">
        <v>206</v>
      </c>
      <c r="E356" s="59">
        <v>44856.0</v>
      </c>
      <c r="F356" s="57" t="str">
        <f t="shared" si="1"/>
        <v>+7</v>
      </c>
      <c r="G356" s="57" t="s">
        <v>996</v>
      </c>
      <c r="H356" s="57" t="s">
        <v>1403</v>
      </c>
      <c r="I356" s="57" t="s">
        <v>851</v>
      </c>
      <c r="J356" s="57" t="str">
        <f t="array" ref="J356">XLOOKUP(F356,'коды стран'!$B$2:$B$7,'коды стран'!$A$2:$A$7)</f>
        <v>Россия</v>
      </c>
    </row>
    <row r="357" ht="14.25" customHeight="1">
      <c r="A357" s="57">
        <v>379.0</v>
      </c>
      <c r="B357" s="57" t="s">
        <v>1565</v>
      </c>
      <c r="C357" s="57" t="s">
        <v>1566</v>
      </c>
      <c r="D357" s="57" t="s">
        <v>206</v>
      </c>
      <c r="E357" s="59">
        <v>44581.0</v>
      </c>
      <c r="F357" s="57" t="str">
        <f t="shared" si="1"/>
        <v>+992</v>
      </c>
      <c r="G357" s="57" t="s">
        <v>1555</v>
      </c>
      <c r="H357" s="57" t="s">
        <v>1258</v>
      </c>
      <c r="I357" s="57" t="s">
        <v>1351</v>
      </c>
      <c r="J357" s="57" t="str">
        <f t="array" ref="J357">XLOOKUP(F357,'коды стран'!$B$2:$B$7,'коды стран'!$A$2:$A$7)</f>
        <v>Таджикистан</v>
      </c>
    </row>
    <row r="358" ht="14.25" customHeight="1">
      <c r="A358" s="57">
        <v>201.0</v>
      </c>
      <c r="B358" s="57" t="s">
        <v>1567</v>
      </c>
      <c r="C358" s="57" t="s">
        <v>1568</v>
      </c>
      <c r="D358" s="57" t="s">
        <v>205</v>
      </c>
      <c r="E358" s="59">
        <v>44843.0</v>
      </c>
      <c r="F358" s="57" t="str">
        <f t="shared" si="1"/>
        <v>+992</v>
      </c>
      <c r="G358" s="57" t="s">
        <v>1392</v>
      </c>
      <c r="H358" s="57" t="s">
        <v>1569</v>
      </c>
      <c r="I358" s="57" t="s">
        <v>662</v>
      </c>
      <c r="J358" s="57" t="str">
        <f t="array" ref="J358">XLOOKUP(F358,'коды стран'!$B$2:$B$7,'коды стран'!$A$2:$A$7)</f>
        <v>Таджикистан</v>
      </c>
    </row>
    <row r="359" ht="14.25" customHeight="1">
      <c r="A359" s="57">
        <v>498.0</v>
      </c>
      <c r="B359" s="57" t="s">
        <v>1570</v>
      </c>
      <c r="C359" s="57" t="s">
        <v>1571</v>
      </c>
      <c r="D359" s="57" t="s">
        <v>205</v>
      </c>
      <c r="E359" s="59">
        <v>44721.0</v>
      </c>
      <c r="F359" s="57" t="str">
        <f t="shared" si="1"/>
        <v>+380</v>
      </c>
      <c r="G359" s="57" t="s">
        <v>1572</v>
      </c>
      <c r="H359" s="57" t="s">
        <v>1573</v>
      </c>
      <c r="I359" s="57" t="s">
        <v>838</v>
      </c>
      <c r="J359" s="57" t="str">
        <f t="array" ref="J359">XLOOKUP(F359,'коды стран'!$B$2:$B$7,'коды стран'!$A$2:$A$7)</f>
        <v>Украина</v>
      </c>
    </row>
    <row r="360" ht="14.25" customHeight="1">
      <c r="A360" s="57">
        <v>237.0</v>
      </c>
      <c r="B360" s="57" t="s">
        <v>1574</v>
      </c>
      <c r="C360" s="57" t="s">
        <v>1575</v>
      </c>
      <c r="D360" s="57" t="s">
        <v>205</v>
      </c>
      <c r="E360" s="59">
        <v>44886.0</v>
      </c>
      <c r="F360" s="57" t="str">
        <f t="shared" si="1"/>
        <v>+7</v>
      </c>
      <c r="G360" s="57" t="s">
        <v>603</v>
      </c>
      <c r="H360" s="57" t="s">
        <v>981</v>
      </c>
      <c r="I360" s="57" t="s">
        <v>897</v>
      </c>
      <c r="J360" s="57" t="str">
        <f t="array" ref="J360">XLOOKUP(F360,'коды стран'!$B$2:$B$7,'коды стран'!$A$2:$A$7)</f>
        <v>Россия</v>
      </c>
    </row>
    <row r="361" ht="14.25" customHeight="1">
      <c r="A361" s="57">
        <v>403.0</v>
      </c>
      <c r="B361" s="57" t="s">
        <v>1576</v>
      </c>
      <c r="C361" s="57" t="s">
        <v>1577</v>
      </c>
      <c r="D361" s="57" t="s">
        <v>206</v>
      </c>
      <c r="E361" s="59">
        <v>44594.0</v>
      </c>
      <c r="F361" s="57" t="str">
        <f t="shared" si="1"/>
        <v>+7</v>
      </c>
      <c r="G361" s="57" t="s">
        <v>1578</v>
      </c>
      <c r="H361" s="57" t="s">
        <v>1458</v>
      </c>
      <c r="I361" s="57" t="s">
        <v>1579</v>
      </c>
      <c r="J361" s="57" t="str">
        <f t="array" ref="J361">XLOOKUP(F361,'коды стран'!$B$2:$B$7,'коды стран'!$A$2:$A$7)</f>
        <v>Россия</v>
      </c>
    </row>
    <row r="362" ht="14.25" customHeight="1">
      <c r="A362" s="57">
        <v>460.0</v>
      </c>
      <c r="B362" s="57" t="s">
        <v>1580</v>
      </c>
      <c r="C362" s="57" t="s">
        <v>1581</v>
      </c>
      <c r="D362" s="57" t="s">
        <v>206</v>
      </c>
      <c r="E362" s="59">
        <v>44821.0</v>
      </c>
      <c r="F362" s="57" t="str">
        <f t="shared" si="1"/>
        <v>+7</v>
      </c>
      <c r="G362" s="57" t="s">
        <v>936</v>
      </c>
      <c r="H362" s="57" t="s">
        <v>463</v>
      </c>
      <c r="I362" s="57" t="s">
        <v>1582</v>
      </c>
      <c r="J362" s="57" t="str">
        <f t="array" ref="J362">XLOOKUP(F362,'коды стран'!$B$2:$B$7,'коды стран'!$A$2:$A$7)</f>
        <v>Россия</v>
      </c>
    </row>
    <row r="363" ht="14.25" customHeight="1">
      <c r="A363" s="57">
        <v>50.0</v>
      </c>
      <c r="B363" s="57" t="s">
        <v>1583</v>
      </c>
      <c r="C363" s="57" t="s">
        <v>1584</v>
      </c>
      <c r="D363" s="57" t="s">
        <v>205</v>
      </c>
      <c r="E363" s="59">
        <v>44576.0</v>
      </c>
      <c r="F363" s="57" t="str">
        <f t="shared" si="1"/>
        <v>+998</v>
      </c>
      <c r="G363" s="57" t="s">
        <v>893</v>
      </c>
      <c r="H363" s="57" t="s">
        <v>594</v>
      </c>
      <c r="I363" s="57" t="s">
        <v>1585</v>
      </c>
      <c r="J363" s="57" t="str">
        <f t="array" ref="J363">XLOOKUP(F363,'коды стран'!$B$2:$B$7,'коды стран'!$A$2:$A$7)</f>
        <v>Узбекистан</v>
      </c>
    </row>
    <row r="364" ht="14.25" customHeight="1">
      <c r="A364" s="57">
        <v>197.0</v>
      </c>
      <c r="B364" s="57" t="s">
        <v>1586</v>
      </c>
      <c r="C364" s="57" t="s">
        <v>1587</v>
      </c>
      <c r="D364" s="57" t="s">
        <v>206</v>
      </c>
      <c r="E364" s="59">
        <v>44785.0</v>
      </c>
      <c r="F364" s="57" t="str">
        <f t="shared" si="1"/>
        <v>+380</v>
      </c>
      <c r="G364" s="57" t="s">
        <v>1588</v>
      </c>
      <c r="H364" s="57" t="s">
        <v>1288</v>
      </c>
      <c r="I364" s="57" t="s">
        <v>1201</v>
      </c>
      <c r="J364" s="57" t="str">
        <f t="array" ref="J364">XLOOKUP(F364,'коды стран'!$B$2:$B$7,'коды стран'!$A$2:$A$7)</f>
        <v>Украина</v>
      </c>
    </row>
    <row r="365" ht="14.25" customHeight="1">
      <c r="A365" s="57">
        <v>243.0</v>
      </c>
      <c r="B365" s="57" t="s">
        <v>1589</v>
      </c>
      <c r="C365" s="57" t="s">
        <v>1590</v>
      </c>
      <c r="D365" s="57" t="s">
        <v>206</v>
      </c>
      <c r="E365" s="59">
        <v>44681.0</v>
      </c>
      <c r="F365" s="57" t="str">
        <f t="shared" si="1"/>
        <v>+7</v>
      </c>
      <c r="G365" s="57" t="s">
        <v>716</v>
      </c>
      <c r="H365" s="57" t="s">
        <v>604</v>
      </c>
      <c r="I365" s="57" t="s">
        <v>1591</v>
      </c>
      <c r="J365" s="57" t="str">
        <f t="array" ref="J365">XLOOKUP(F365,'коды стран'!$B$2:$B$7,'коды стран'!$A$2:$A$7)</f>
        <v>Россия</v>
      </c>
    </row>
    <row r="366" ht="14.25" customHeight="1">
      <c r="A366" s="57">
        <v>45.0</v>
      </c>
      <c r="B366" s="57" t="s">
        <v>1592</v>
      </c>
      <c r="C366" s="57" t="s">
        <v>1593</v>
      </c>
      <c r="D366" s="57" t="s">
        <v>205</v>
      </c>
      <c r="E366" s="59">
        <v>44662.0</v>
      </c>
      <c r="F366" s="57" t="str">
        <f t="shared" si="1"/>
        <v>+998</v>
      </c>
      <c r="G366" s="57" t="s">
        <v>1322</v>
      </c>
      <c r="H366" s="57" t="s">
        <v>690</v>
      </c>
      <c r="I366" s="57" t="s">
        <v>607</v>
      </c>
      <c r="J366" s="57" t="str">
        <f t="array" ref="J366">XLOOKUP(F366,'коды стран'!$B$2:$B$7,'коды стран'!$A$2:$A$7)</f>
        <v>Узбекистан</v>
      </c>
    </row>
    <row r="367" ht="14.25" customHeight="1">
      <c r="A367" s="57">
        <v>242.0</v>
      </c>
      <c r="B367" s="57" t="s">
        <v>1594</v>
      </c>
      <c r="C367" s="57" t="s">
        <v>1595</v>
      </c>
      <c r="D367" s="57" t="s">
        <v>206</v>
      </c>
      <c r="E367" s="59">
        <v>44747.0</v>
      </c>
      <c r="F367" s="57" t="str">
        <f t="shared" si="1"/>
        <v>+7</v>
      </c>
      <c r="G367" s="57" t="s">
        <v>1596</v>
      </c>
      <c r="H367" s="57" t="s">
        <v>313</v>
      </c>
      <c r="I367" s="57" t="s">
        <v>1597</v>
      </c>
      <c r="J367" s="57" t="str">
        <f t="array" ref="J367">XLOOKUP(F367,'коды стран'!$B$2:$B$7,'коды стран'!$A$2:$A$7)</f>
        <v>Россия</v>
      </c>
    </row>
    <row r="368" ht="14.25" customHeight="1">
      <c r="A368" s="57">
        <v>79.0</v>
      </c>
      <c r="B368" s="57" t="s">
        <v>1598</v>
      </c>
      <c r="C368" s="57" t="s">
        <v>1599</v>
      </c>
      <c r="D368" s="57" t="s">
        <v>206</v>
      </c>
      <c r="E368" s="59">
        <v>44716.0</v>
      </c>
      <c r="F368" s="57" t="str">
        <f t="shared" si="1"/>
        <v>+992</v>
      </c>
      <c r="G368" s="57" t="s">
        <v>1077</v>
      </c>
      <c r="H368" s="57" t="s">
        <v>953</v>
      </c>
      <c r="I368" s="57" t="s">
        <v>513</v>
      </c>
      <c r="J368" s="57" t="str">
        <f t="array" ref="J368">XLOOKUP(F368,'коды стран'!$B$2:$B$7,'коды стран'!$A$2:$A$7)</f>
        <v>Таджикистан</v>
      </c>
    </row>
    <row r="369" ht="14.25" customHeight="1">
      <c r="A369" s="57">
        <v>70.0</v>
      </c>
      <c r="B369" s="57" t="s">
        <v>1600</v>
      </c>
      <c r="C369" s="57" t="s">
        <v>1601</v>
      </c>
      <c r="D369" s="57" t="s">
        <v>205</v>
      </c>
      <c r="E369" s="59">
        <v>44591.0</v>
      </c>
      <c r="F369" s="57" t="str">
        <f t="shared" si="1"/>
        <v>+380</v>
      </c>
      <c r="G369" s="57" t="s">
        <v>565</v>
      </c>
      <c r="H369" s="57" t="s">
        <v>792</v>
      </c>
      <c r="I369" s="57" t="s">
        <v>712</v>
      </c>
      <c r="J369" s="57" t="str">
        <f t="array" ref="J369">XLOOKUP(F369,'коды стран'!$B$2:$B$7,'коды стран'!$A$2:$A$7)</f>
        <v>Украина</v>
      </c>
    </row>
    <row r="370" ht="14.25" customHeight="1">
      <c r="A370" s="57">
        <v>345.0</v>
      </c>
      <c r="B370" s="57" t="s">
        <v>1602</v>
      </c>
      <c r="C370" s="57" t="s">
        <v>1603</v>
      </c>
      <c r="D370" s="57" t="s">
        <v>205</v>
      </c>
      <c r="E370" s="59">
        <v>44705.0</v>
      </c>
      <c r="F370" s="57" t="str">
        <f t="shared" si="1"/>
        <v>+375</v>
      </c>
      <c r="G370" s="57" t="s">
        <v>548</v>
      </c>
      <c r="H370" s="57" t="s">
        <v>1254</v>
      </c>
      <c r="I370" s="57" t="s">
        <v>848</v>
      </c>
      <c r="J370" s="57" t="str">
        <f t="array" ref="J370">XLOOKUP(F370,'коды стран'!$B$2:$B$7,'коды стран'!$A$2:$A$7)</f>
        <v>Беларусь</v>
      </c>
    </row>
    <row r="371" ht="14.25" customHeight="1">
      <c r="A371" s="57">
        <v>33.0</v>
      </c>
      <c r="B371" s="57" t="s">
        <v>1604</v>
      </c>
      <c r="C371" s="57" t="s">
        <v>1605</v>
      </c>
      <c r="D371" s="57" t="s">
        <v>206</v>
      </c>
      <c r="E371" s="59">
        <v>44730.0</v>
      </c>
      <c r="F371" s="57" t="str">
        <f t="shared" si="1"/>
        <v>+7</v>
      </c>
      <c r="G371" s="57" t="s">
        <v>1606</v>
      </c>
      <c r="H371" s="57" t="s">
        <v>317</v>
      </c>
      <c r="I371" s="57" t="s">
        <v>1607</v>
      </c>
      <c r="J371" s="57" t="str">
        <f t="array" ref="J371">XLOOKUP(F371,'коды стран'!$B$2:$B$7,'коды стран'!$A$2:$A$7)</f>
        <v>Россия</v>
      </c>
    </row>
    <row r="372" ht="14.25" customHeight="1">
      <c r="A372" s="57">
        <v>7.0</v>
      </c>
      <c r="B372" s="57" t="s">
        <v>1608</v>
      </c>
      <c r="C372" s="57" t="s">
        <v>1609</v>
      </c>
      <c r="D372" s="57" t="s">
        <v>205</v>
      </c>
      <c r="E372" s="59">
        <v>44893.0</v>
      </c>
      <c r="F372" s="57" t="str">
        <f t="shared" si="1"/>
        <v>+7</v>
      </c>
      <c r="G372" s="57" t="s">
        <v>1610</v>
      </c>
      <c r="H372" s="57" t="s">
        <v>725</v>
      </c>
      <c r="I372" s="57" t="s">
        <v>443</v>
      </c>
      <c r="J372" s="57" t="str">
        <f t="array" ref="J372">XLOOKUP(F372,'коды стран'!$B$2:$B$7,'коды стран'!$A$2:$A$7)</f>
        <v>Россия</v>
      </c>
    </row>
    <row r="373" ht="14.25" customHeight="1">
      <c r="A373" s="57">
        <v>494.0</v>
      </c>
      <c r="B373" s="57" t="s">
        <v>1611</v>
      </c>
      <c r="C373" s="57" t="s">
        <v>1612</v>
      </c>
      <c r="D373" s="57" t="s">
        <v>206</v>
      </c>
      <c r="E373" s="59">
        <v>44738.0</v>
      </c>
      <c r="F373" s="57" t="str">
        <f t="shared" si="1"/>
        <v>+375</v>
      </c>
      <c r="G373" s="57" t="s">
        <v>1588</v>
      </c>
      <c r="H373" s="57" t="s">
        <v>501</v>
      </c>
      <c r="I373" s="57" t="s">
        <v>856</v>
      </c>
      <c r="J373" s="57" t="str">
        <f t="array" ref="J373">XLOOKUP(F373,'коды стран'!$B$2:$B$7,'коды стран'!$A$2:$A$7)</f>
        <v>Беларусь</v>
      </c>
    </row>
    <row r="374" ht="14.25" customHeight="1">
      <c r="A374" s="57">
        <v>83.0</v>
      </c>
      <c r="B374" s="57" t="s">
        <v>1613</v>
      </c>
      <c r="C374" s="57" t="s">
        <v>1614</v>
      </c>
      <c r="D374" s="57" t="s">
        <v>205</v>
      </c>
      <c r="E374" s="59">
        <v>44739.0</v>
      </c>
      <c r="F374" s="57" t="str">
        <f t="shared" si="1"/>
        <v>+992</v>
      </c>
      <c r="G374" s="57" t="s">
        <v>821</v>
      </c>
      <c r="H374" s="57" t="s">
        <v>892</v>
      </c>
      <c r="I374" s="57" t="s">
        <v>1615</v>
      </c>
      <c r="J374" s="57" t="str">
        <f t="array" ref="J374">XLOOKUP(F374,'коды стран'!$B$2:$B$7,'коды стран'!$A$2:$A$7)</f>
        <v>Таджикистан</v>
      </c>
    </row>
    <row r="375" ht="14.25" customHeight="1">
      <c r="A375" s="57">
        <v>352.0</v>
      </c>
      <c r="B375" s="57" t="s">
        <v>1616</v>
      </c>
      <c r="C375" s="57" t="s">
        <v>1617</v>
      </c>
      <c r="D375" s="57" t="s">
        <v>206</v>
      </c>
      <c r="E375" s="59">
        <v>44573.0</v>
      </c>
      <c r="F375" s="57" t="str">
        <f t="shared" si="1"/>
        <v>+7</v>
      </c>
      <c r="G375" s="57" t="s">
        <v>574</v>
      </c>
      <c r="H375" s="57" t="s">
        <v>804</v>
      </c>
      <c r="I375" s="57" t="s">
        <v>1189</v>
      </c>
      <c r="J375" s="57" t="str">
        <f t="array" ref="J375">XLOOKUP(F375,'коды стран'!$B$2:$B$7,'коды стран'!$A$2:$A$7)</f>
        <v>Россия</v>
      </c>
    </row>
    <row r="376" ht="14.25" customHeight="1">
      <c r="A376" s="57">
        <v>8.0</v>
      </c>
      <c r="B376" s="57" t="s">
        <v>1618</v>
      </c>
      <c r="C376" s="57" t="s">
        <v>1619</v>
      </c>
      <c r="D376" s="57" t="s">
        <v>205</v>
      </c>
      <c r="E376" s="59">
        <v>44883.0</v>
      </c>
      <c r="F376" s="57" t="str">
        <f t="shared" si="1"/>
        <v>+375</v>
      </c>
      <c r="G376" s="57" t="s">
        <v>242</v>
      </c>
      <c r="H376" s="57" t="s">
        <v>1198</v>
      </c>
      <c r="I376" s="57" t="s">
        <v>995</v>
      </c>
      <c r="J376" s="57" t="str">
        <f t="array" ref="J376">XLOOKUP(F376,'коды стран'!$B$2:$B$7,'коды стран'!$A$2:$A$7)</f>
        <v>Беларусь</v>
      </c>
    </row>
    <row r="377" ht="14.25" customHeight="1">
      <c r="A377" s="57">
        <v>291.0</v>
      </c>
      <c r="B377" s="57" t="s">
        <v>1620</v>
      </c>
      <c r="C377" s="57" t="s">
        <v>1621</v>
      </c>
      <c r="D377" s="57" t="s">
        <v>205</v>
      </c>
      <c r="E377" s="59">
        <v>44710.0</v>
      </c>
      <c r="F377" s="57" t="str">
        <f t="shared" si="1"/>
        <v>+992</v>
      </c>
      <c r="G377" s="57" t="s">
        <v>1362</v>
      </c>
      <c r="H377" s="57" t="s">
        <v>364</v>
      </c>
      <c r="I377" s="57" t="s">
        <v>277</v>
      </c>
      <c r="J377" s="57" t="str">
        <f t="array" ref="J377">XLOOKUP(F377,'коды стран'!$B$2:$B$7,'коды стран'!$A$2:$A$7)</f>
        <v>Таджикистан</v>
      </c>
    </row>
    <row r="378" ht="14.25" customHeight="1">
      <c r="A378" s="57">
        <v>418.0</v>
      </c>
      <c r="B378" s="57" t="s">
        <v>1622</v>
      </c>
      <c r="C378" s="57" t="s">
        <v>1623</v>
      </c>
      <c r="D378" s="57" t="s">
        <v>205</v>
      </c>
      <c r="E378" s="59">
        <v>44700.0</v>
      </c>
      <c r="F378" s="57" t="str">
        <f t="shared" si="1"/>
        <v>+375</v>
      </c>
      <c r="G378" s="57" t="s">
        <v>257</v>
      </c>
      <c r="H378" s="57" t="s">
        <v>907</v>
      </c>
      <c r="I378" s="57" t="s">
        <v>311</v>
      </c>
      <c r="J378" s="57" t="str">
        <f t="array" ref="J378">XLOOKUP(F378,'коды стран'!$B$2:$B$7,'коды стран'!$A$2:$A$7)</f>
        <v>Беларусь</v>
      </c>
    </row>
    <row r="379" ht="14.25" customHeight="1">
      <c r="A379" s="57">
        <v>470.0</v>
      </c>
      <c r="B379" s="57" t="s">
        <v>1624</v>
      </c>
      <c r="C379" s="57" t="s">
        <v>1625</v>
      </c>
      <c r="D379" s="57" t="s">
        <v>205</v>
      </c>
      <c r="E379" s="59">
        <v>44690.0</v>
      </c>
      <c r="F379" s="57" t="str">
        <f t="shared" si="1"/>
        <v>+992</v>
      </c>
      <c r="G379" s="57" t="s">
        <v>1626</v>
      </c>
      <c r="H379" s="57" t="s">
        <v>359</v>
      </c>
      <c r="I379" s="57" t="s">
        <v>481</v>
      </c>
      <c r="J379" s="57" t="str">
        <f t="array" ref="J379">XLOOKUP(F379,'коды стран'!$B$2:$B$7,'коды стран'!$A$2:$A$7)</f>
        <v>Таджикистан</v>
      </c>
    </row>
    <row r="380" ht="14.25" customHeight="1">
      <c r="A380" s="57">
        <v>123.0</v>
      </c>
      <c r="B380" s="57" t="s">
        <v>1627</v>
      </c>
      <c r="C380" s="57" t="s">
        <v>1628</v>
      </c>
      <c r="D380" s="57" t="s">
        <v>206</v>
      </c>
      <c r="E380" s="59">
        <v>44600.0</v>
      </c>
      <c r="F380" s="57" t="str">
        <f t="shared" si="1"/>
        <v>+7</v>
      </c>
      <c r="G380" s="57" t="s">
        <v>698</v>
      </c>
      <c r="H380" s="57" t="s">
        <v>1629</v>
      </c>
      <c r="I380" s="57" t="s">
        <v>1630</v>
      </c>
      <c r="J380" s="57" t="str">
        <f t="array" ref="J380">XLOOKUP(F380,'коды стран'!$B$2:$B$7,'коды стран'!$A$2:$A$7)</f>
        <v>Россия</v>
      </c>
    </row>
    <row r="381" ht="14.25" customHeight="1">
      <c r="A381" s="57">
        <v>442.0</v>
      </c>
      <c r="B381" s="57" t="s">
        <v>1631</v>
      </c>
      <c r="C381" s="57" t="s">
        <v>1632</v>
      </c>
      <c r="D381" s="57" t="s">
        <v>206</v>
      </c>
      <c r="E381" s="59">
        <v>44746.0</v>
      </c>
      <c r="F381" s="57" t="str">
        <f t="shared" si="1"/>
        <v>+992</v>
      </c>
      <c r="G381" s="57" t="s">
        <v>1633</v>
      </c>
      <c r="H381" s="57" t="s">
        <v>1634</v>
      </c>
      <c r="I381" s="57" t="s">
        <v>1635</v>
      </c>
      <c r="J381" s="57" t="str">
        <f t="array" ref="J381">XLOOKUP(F381,'коды стран'!$B$2:$B$7,'коды стран'!$A$2:$A$7)</f>
        <v>Таджикистан</v>
      </c>
    </row>
    <row r="382" ht="14.25" customHeight="1">
      <c r="A382" s="57">
        <v>218.0</v>
      </c>
      <c r="B382" s="57" t="s">
        <v>1636</v>
      </c>
      <c r="C382" s="57" t="s">
        <v>1637</v>
      </c>
      <c r="D382" s="57" t="s">
        <v>206</v>
      </c>
      <c r="E382" s="59">
        <v>44721.0</v>
      </c>
      <c r="F382" s="57" t="str">
        <f t="shared" si="1"/>
        <v>+998</v>
      </c>
      <c r="G382" s="57" t="s">
        <v>936</v>
      </c>
      <c r="H382" s="57" t="s">
        <v>620</v>
      </c>
      <c r="I382" s="57" t="s">
        <v>1141</v>
      </c>
      <c r="J382" s="57" t="str">
        <f t="array" ref="J382">XLOOKUP(F382,'коды стран'!$B$2:$B$7,'коды стран'!$A$2:$A$7)</f>
        <v>Узбекистан</v>
      </c>
    </row>
    <row r="383" ht="14.25" customHeight="1">
      <c r="A383" s="57">
        <v>331.0</v>
      </c>
      <c r="B383" s="57" t="s">
        <v>1638</v>
      </c>
      <c r="C383" s="57" t="s">
        <v>1639</v>
      </c>
      <c r="D383" s="57" t="s">
        <v>206</v>
      </c>
      <c r="E383" s="59">
        <v>44813.0</v>
      </c>
      <c r="F383" s="57" t="str">
        <f t="shared" si="1"/>
        <v>+998</v>
      </c>
      <c r="G383" s="57" t="s">
        <v>1640</v>
      </c>
      <c r="H383" s="57" t="s">
        <v>783</v>
      </c>
      <c r="I383" s="57" t="s">
        <v>1512</v>
      </c>
      <c r="J383" s="57" t="str">
        <f t="array" ref="J383">XLOOKUP(F383,'коды стран'!$B$2:$B$7,'коды стран'!$A$2:$A$7)</f>
        <v>Узбекистан</v>
      </c>
    </row>
    <row r="384" ht="14.25" customHeight="1">
      <c r="A384" s="57">
        <v>196.0</v>
      </c>
      <c r="B384" s="57" t="s">
        <v>1641</v>
      </c>
      <c r="C384" s="57" t="s">
        <v>1642</v>
      </c>
      <c r="D384" s="57" t="s">
        <v>205</v>
      </c>
      <c r="E384" s="59">
        <v>44835.0</v>
      </c>
      <c r="F384" s="57" t="str">
        <f t="shared" si="1"/>
        <v>+7</v>
      </c>
      <c r="G384" s="57" t="s">
        <v>1643</v>
      </c>
      <c r="H384" s="57" t="s">
        <v>349</v>
      </c>
      <c r="I384" s="57" t="s">
        <v>907</v>
      </c>
      <c r="J384" s="57" t="str">
        <f t="array" ref="J384">XLOOKUP(F384,'коды стран'!$B$2:$B$7,'коды стран'!$A$2:$A$7)</f>
        <v>Россия</v>
      </c>
    </row>
    <row r="385" ht="14.25" customHeight="1">
      <c r="A385" s="57">
        <v>36.0</v>
      </c>
      <c r="B385" s="57" t="s">
        <v>1644</v>
      </c>
      <c r="C385" s="57" t="s">
        <v>1645</v>
      </c>
      <c r="D385" s="57" t="s">
        <v>206</v>
      </c>
      <c r="E385" s="59">
        <v>44700.0</v>
      </c>
      <c r="F385" s="57" t="str">
        <f t="shared" si="1"/>
        <v>+7</v>
      </c>
      <c r="G385" s="57" t="s">
        <v>1646</v>
      </c>
      <c r="H385" s="57" t="s">
        <v>856</v>
      </c>
      <c r="I385" s="57" t="s">
        <v>1647</v>
      </c>
      <c r="J385" s="57" t="str">
        <f t="array" ref="J385">XLOOKUP(F385,'коды стран'!$B$2:$B$7,'коды стран'!$A$2:$A$7)</f>
        <v>Россия</v>
      </c>
    </row>
    <row r="386" ht="14.25" customHeight="1">
      <c r="A386" s="57">
        <v>22.0</v>
      </c>
      <c r="B386" s="57" t="s">
        <v>1648</v>
      </c>
      <c r="C386" s="57" t="s">
        <v>1649</v>
      </c>
      <c r="D386" s="57" t="s">
        <v>205</v>
      </c>
      <c r="E386" s="59">
        <v>44870.0</v>
      </c>
      <c r="F386" s="57" t="str">
        <f t="shared" si="1"/>
        <v>+375</v>
      </c>
      <c r="G386" s="57" t="s">
        <v>1650</v>
      </c>
      <c r="H386" s="57" t="s">
        <v>271</v>
      </c>
      <c r="I386" s="57" t="s">
        <v>342</v>
      </c>
      <c r="J386" s="57" t="str">
        <f t="array" ref="J386">XLOOKUP(F386,'коды стран'!$B$2:$B$7,'коды стран'!$A$2:$A$7)</f>
        <v>Беларусь</v>
      </c>
    </row>
    <row r="387" ht="14.25" customHeight="1">
      <c r="A387" s="57">
        <v>360.0</v>
      </c>
      <c r="B387" s="57" t="s">
        <v>1651</v>
      </c>
      <c r="C387" s="57" t="s">
        <v>1652</v>
      </c>
      <c r="D387" s="57" t="s">
        <v>206</v>
      </c>
      <c r="E387" s="59">
        <v>44728.0</v>
      </c>
      <c r="F387" s="57" t="str">
        <f t="shared" si="1"/>
        <v>+375</v>
      </c>
      <c r="G387" s="57" t="s">
        <v>921</v>
      </c>
      <c r="H387" s="57" t="s">
        <v>783</v>
      </c>
      <c r="I387" s="57" t="s">
        <v>774</v>
      </c>
      <c r="J387" s="57" t="str">
        <f t="array" ref="J387">XLOOKUP(F387,'коды стран'!$B$2:$B$7,'коды стран'!$A$2:$A$7)</f>
        <v>Беларусь</v>
      </c>
    </row>
    <row r="388" ht="14.25" customHeight="1">
      <c r="A388" s="57">
        <v>188.0</v>
      </c>
      <c r="B388" s="57" t="s">
        <v>1653</v>
      </c>
      <c r="C388" s="57" t="s">
        <v>1654</v>
      </c>
      <c r="D388" s="57" t="s">
        <v>206</v>
      </c>
      <c r="E388" s="59">
        <v>44801.0</v>
      </c>
      <c r="F388" s="57" t="str">
        <f t="shared" si="1"/>
        <v>+992</v>
      </c>
      <c r="G388" s="57" t="s">
        <v>415</v>
      </c>
      <c r="H388" s="57" t="s">
        <v>950</v>
      </c>
      <c r="I388" s="57" t="s">
        <v>373</v>
      </c>
      <c r="J388" s="57" t="str">
        <f t="array" ref="J388">XLOOKUP(F388,'коды стран'!$B$2:$B$7,'коды стран'!$A$2:$A$7)</f>
        <v>Таджикистан</v>
      </c>
    </row>
    <row r="389" ht="14.25" customHeight="1">
      <c r="A389" s="57">
        <v>63.0</v>
      </c>
      <c r="B389" s="57" t="s">
        <v>1655</v>
      </c>
      <c r="C389" s="57" t="s">
        <v>1656</v>
      </c>
      <c r="D389" s="57" t="s">
        <v>205</v>
      </c>
      <c r="E389" s="59">
        <v>44684.0</v>
      </c>
      <c r="F389" s="57" t="str">
        <f t="shared" si="1"/>
        <v>+380</v>
      </c>
      <c r="G389" s="57" t="s">
        <v>470</v>
      </c>
      <c r="H389" s="57" t="s">
        <v>1201</v>
      </c>
      <c r="I389" s="57" t="s">
        <v>438</v>
      </c>
      <c r="J389" s="57" t="str">
        <f t="array" ref="J389">XLOOKUP(F389,'коды стран'!$B$2:$B$7,'коды стран'!$A$2:$A$7)</f>
        <v>Украина</v>
      </c>
    </row>
    <row r="390" ht="14.25" customHeight="1">
      <c r="A390" s="57">
        <v>238.0</v>
      </c>
      <c r="B390" s="57" t="s">
        <v>1657</v>
      </c>
      <c r="C390" s="57" t="s">
        <v>1658</v>
      </c>
      <c r="D390" s="57" t="s">
        <v>205</v>
      </c>
      <c r="E390" s="59">
        <v>44909.0</v>
      </c>
      <c r="F390" s="57" t="str">
        <f t="shared" si="1"/>
        <v>+380</v>
      </c>
      <c r="G390" s="57" t="s">
        <v>1659</v>
      </c>
      <c r="H390" s="57" t="s">
        <v>534</v>
      </c>
      <c r="I390" s="57" t="s">
        <v>1660</v>
      </c>
      <c r="J390" s="57" t="str">
        <f t="array" ref="J390">XLOOKUP(F390,'коды стран'!$B$2:$B$7,'коды стран'!$A$2:$A$7)</f>
        <v>Украина</v>
      </c>
    </row>
    <row r="391" ht="14.25" customHeight="1">
      <c r="A391" s="57">
        <v>105.0</v>
      </c>
      <c r="B391" s="57" t="s">
        <v>1661</v>
      </c>
      <c r="C391" s="57" t="s">
        <v>1662</v>
      </c>
      <c r="D391" s="57" t="s">
        <v>205</v>
      </c>
      <c r="E391" s="59">
        <v>44918.0</v>
      </c>
      <c r="F391" s="57" t="str">
        <f t="shared" si="1"/>
        <v>+998</v>
      </c>
      <c r="G391" s="57" t="s">
        <v>1319</v>
      </c>
      <c r="H391" s="57" t="s">
        <v>247</v>
      </c>
      <c r="I391" s="57" t="s">
        <v>369</v>
      </c>
      <c r="J391" s="57" t="str">
        <f t="array" ref="J391">XLOOKUP(F391,'коды стран'!$B$2:$B$7,'коды стран'!$A$2:$A$7)</f>
        <v>Узбекистан</v>
      </c>
    </row>
    <row r="392" ht="14.25" customHeight="1">
      <c r="A392" s="57">
        <v>260.0</v>
      </c>
      <c r="B392" s="57" t="s">
        <v>1663</v>
      </c>
      <c r="C392" s="57" t="s">
        <v>1664</v>
      </c>
      <c r="D392" s="57" t="s">
        <v>205</v>
      </c>
      <c r="E392" s="59">
        <v>44729.0</v>
      </c>
      <c r="F392" s="57" t="str">
        <f t="shared" si="1"/>
        <v>+380</v>
      </c>
      <c r="G392" s="57" t="s">
        <v>1505</v>
      </c>
      <c r="H392" s="57" t="s">
        <v>1221</v>
      </c>
      <c r="I392" s="57" t="s">
        <v>1351</v>
      </c>
      <c r="J392" s="57" t="str">
        <f t="array" ref="J392">XLOOKUP(F392,'коды стран'!$B$2:$B$7,'коды стран'!$A$2:$A$7)</f>
        <v>Украина</v>
      </c>
    </row>
    <row r="393" ht="14.25" customHeight="1">
      <c r="A393" s="57">
        <v>394.0</v>
      </c>
      <c r="B393" s="57" t="s">
        <v>1665</v>
      </c>
      <c r="C393" s="57" t="s">
        <v>1666</v>
      </c>
      <c r="D393" s="57" t="s">
        <v>205</v>
      </c>
      <c r="E393" s="59">
        <v>44708.0</v>
      </c>
      <c r="F393" s="57" t="str">
        <f t="shared" si="1"/>
        <v>+7</v>
      </c>
      <c r="G393" s="57" t="s">
        <v>1667</v>
      </c>
      <c r="H393" s="57" t="s">
        <v>1668</v>
      </c>
      <c r="I393" s="57" t="s">
        <v>394</v>
      </c>
      <c r="J393" s="57" t="str">
        <f t="array" ref="J393">XLOOKUP(F393,'коды стран'!$B$2:$B$7,'коды стран'!$A$2:$A$7)</f>
        <v>Россия</v>
      </c>
    </row>
    <row r="394" ht="14.25" customHeight="1">
      <c r="A394" s="57">
        <v>248.0</v>
      </c>
      <c r="B394" s="57" t="s">
        <v>1669</v>
      </c>
      <c r="C394" s="57" t="s">
        <v>1670</v>
      </c>
      <c r="D394" s="57" t="s">
        <v>206</v>
      </c>
      <c r="E394" s="59">
        <v>44694.0</v>
      </c>
      <c r="F394" s="57" t="str">
        <f t="shared" si="1"/>
        <v>+7</v>
      </c>
      <c r="G394" s="57" t="s">
        <v>1671</v>
      </c>
      <c r="H394" s="57" t="s">
        <v>1402</v>
      </c>
      <c r="I394" s="57" t="s">
        <v>513</v>
      </c>
      <c r="J394" s="57" t="str">
        <f t="array" ref="J394">XLOOKUP(F394,'коды стран'!$B$2:$B$7,'коды стран'!$A$2:$A$7)</f>
        <v>Россия</v>
      </c>
    </row>
    <row r="395" ht="14.25" customHeight="1">
      <c r="A395" s="57">
        <v>3.0</v>
      </c>
      <c r="B395" s="57" t="s">
        <v>1672</v>
      </c>
      <c r="C395" s="57" t="s">
        <v>1673</v>
      </c>
      <c r="D395" s="57" t="s">
        <v>206</v>
      </c>
      <c r="E395" s="59">
        <v>44666.0</v>
      </c>
      <c r="F395" s="57" t="str">
        <f t="shared" si="1"/>
        <v>+380</v>
      </c>
      <c r="G395" s="57" t="s">
        <v>908</v>
      </c>
      <c r="H395" s="57" t="s">
        <v>1027</v>
      </c>
      <c r="I395" s="57" t="s">
        <v>1607</v>
      </c>
      <c r="J395" s="57" t="str">
        <f t="array" ref="J395">XLOOKUP(F395,'коды стран'!$B$2:$B$7,'коды стран'!$A$2:$A$7)</f>
        <v>Украина</v>
      </c>
    </row>
    <row r="396" ht="14.25" customHeight="1">
      <c r="A396" s="57">
        <v>435.0</v>
      </c>
      <c r="B396" s="57" t="s">
        <v>1674</v>
      </c>
      <c r="C396" s="57" t="s">
        <v>1675</v>
      </c>
      <c r="D396" s="57" t="s">
        <v>206</v>
      </c>
      <c r="E396" s="59">
        <v>44618.0</v>
      </c>
      <c r="F396" s="57" t="str">
        <f t="shared" si="1"/>
        <v>+998</v>
      </c>
      <c r="G396" s="57" t="s">
        <v>842</v>
      </c>
      <c r="H396" s="57" t="s">
        <v>1254</v>
      </c>
      <c r="I396" s="57" t="s">
        <v>355</v>
      </c>
      <c r="J396" s="57" t="str">
        <f t="array" ref="J396">XLOOKUP(F396,'коды стран'!$B$2:$B$7,'коды стран'!$A$2:$A$7)</f>
        <v>Узбекистан</v>
      </c>
    </row>
    <row r="397" ht="14.25" customHeight="1">
      <c r="A397" s="57">
        <v>262.0</v>
      </c>
      <c r="B397" s="57" t="s">
        <v>1676</v>
      </c>
      <c r="C397" s="57" t="s">
        <v>1677</v>
      </c>
      <c r="D397" s="57" t="s">
        <v>205</v>
      </c>
      <c r="E397" s="59">
        <v>44778.0</v>
      </c>
      <c r="F397" s="57" t="str">
        <f t="shared" si="1"/>
        <v>+992</v>
      </c>
      <c r="G397" s="57" t="s">
        <v>1588</v>
      </c>
      <c r="H397" s="57" t="s">
        <v>1678</v>
      </c>
      <c r="I397" s="57" t="s">
        <v>512</v>
      </c>
      <c r="J397" s="57" t="str">
        <f t="array" ref="J397">XLOOKUP(F397,'коды стран'!$B$2:$B$7,'коды стран'!$A$2:$A$7)</f>
        <v>Таджикистан</v>
      </c>
    </row>
    <row r="398" ht="14.25" customHeight="1">
      <c r="A398" s="57">
        <v>264.0</v>
      </c>
      <c r="B398" s="57" t="s">
        <v>1679</v>
      </c>
      <c r="C398" s="57" t="s">
        <v>1680</v>
      </c>
      <c r="D398" s="57" t="s">
        <v>206</v>
      </c>
      <c r="E398" s="59">
        <v>44907.0</v>
      </c>
      <c r="F398" s="57" t="str">
        <f t="shared" si="1"/>
        <v>+375</v>
      </c>
      <c r="G398" s="57" t="s">
        <v>738</v>
      </c>
      <c r="H398" s="57" t="s">
        <v>1328</v>
      </c>
      <c r="I398" s="57" t="s">
        <v>446</v>
      </c>
      <c r="J398" s="57" t="str">
        <f t="array" ref="J398">XLOOKUP(F398,'коды стран'!$B$2:$B$7,'коды стран'!$A$2:$A$7)</f>
        <v>Беларусь</v>
      </c>
    </row>
    <row r="399" ht="14.25" customHeight="1">
      <c r="A399" s="57">
        <v>99.0</v>
      </c>
      <c r="B399" s="57" t="s">
        <v>1681</v>
      </c>
      <c r="C399" s="57" t="s">
        <v>1682</v>
      </c>
      <c r="D399" s="57" t="s">
        <v>206</v>
      </c>
      <c r="E399" s="59">
        <v>44886.0</v>
      </c>
      <c r="F399" s="57" t="str">
        <f t="shared" si="1"/>
        <v>+7</v>
      </c>
      <c r="G399" s="57" t="s">
        <v>526</v>
      </c>
      <c r="H399" s="57" t="s">
        <v>853</v>
      </c>
      <c r="I399" s="57" t="s">
        <v>1683</v>
      </c>
      <c r="J399" s="57" t="str">
        <f t="array" ref="J399">XLOOKUP(F399,'коды стран'!$B$2:$B$7,'коды стран'!$A$2:$A$7)</f>
        <v>Россия</v>
      </c>
    </row>
    <row r="400" ht="14.25" customHeight="1">
      <c r="A400" s="57">
        <v>404.0</v>
      </c>
      <c r="B400" s="57" t="s">
        <v>1684</v>
      </c>
      <c r="C400" s="57" t="s">
        <v>1685</v>
      </c>
      <c r="D400" s="57" t="s">
        <v>206</v>
      </c>
      <c r="E400" s="59">
        <v>44913.0</v>
      </c>
      <c r="F400" s="57" t="str">
        <f t="shared" si="1"/>
        <v>+380</v>
      </c>
      <c r="G400" s="57" t="s">
        <v>1686</v>
      </c>
      <c r="H400" s="57" t="s">
        <v>1239</v>
      </c>
      <c r="I400" s="57" t="s">
        <v>1687</v>
      </c>
      <c r="J400" s="57" t="str">
        <f t="array" ref="J400">XLOOKUP(F400,'коды стран'!$B$2:$B$7,'коды стран'!$A$2:$A$7)</f>
        <v>Украина</v>
      </c>
    </row>
    <row r="401" ht="14.25" customHeight="1">
      <c r="A401" s="57">
        <v>146.0</v>
      </c>
      <c r="B401" s="57" t="s">
        <v>1688</v>
      </c>
      <c r="C401" s="57" t="s">
        <v>1689</v>
      </c>
      <c r="D401" s="57" t="s">
        <v>206</v>
      </c>
      <c r="E401" s="59">
        <v>44617.0</v>
      </c>
      <c r="F401" s="57" t="str">
        <f t="shared" si="1"/>
        <v>+375</v>
      </c>
      <c r="G401" s="57" t="s">
        <v>307</v>
      </c>
      <c r="H401" s="57" t="s">
        <v>448</v>
      </c>
      <c r="I401" s="57" t="s">
        <v>1039</v>
      </c>
      <c r="J401" s="57" t="str">
        <f t="array" ref="J401">XLOOKUP(F401,'коды стран'!$B$2:$B$7,'коды стран'!$A$2:$A$7)</f>
        <v>Беларусь</v>
      </c>
    </row>
    <row r="402" ht="14.25" customHeight="1">
      <c r="A402" s="57">
        <v>338.0</v>
      </c>
      <c r="B402" s="57" t="s">
        <v>1690</v>
      </c>
      <c r="C402" s="57" t="s">
        <v>1691</v>
      </c>
      <c r="D402" s="57" t="s">
        <v>206</v>
      </c>
      <c r="E402" s="59">
        <v>44577.0</v>
      </c>
      <c r="F402" s="57" t="str">
        <f t="shared" si="1"/>
        <v>+992</v>
      </c>
      <c r="G402" s="57" t="s">
        <v>237</v>
      </c>
      <c r="H402" s="57" t="s">
        <v>1171</v>
      </c>
      <c r="I402" s="57" t="s">
        <v>1692</v>
      </c>
      <c r="J402" s="57" t="str">
        <f t="array" ref="J402">XLOOKUP(F402,'коды стран'!$B$2:$B$7,'коды стран'!$A$2:$A$7)</f>
        <v>Таджикистан</v>
      </c>
    </row>
    <row r="403" ht="14.25" customHeight="1">
      <c r="A403" s="57">
        <v>445.0</v>
      </c>
      <c r="B403" s="57" t="s">
        <v>1693</v>
      </c>
      <c r="C403" s="57" t="s">
        <v>1694</v>
      </c>
      <c r="D403" s="57" t="s">
        <v>206</v>
      </c>
      <c r="E403" s="59">
        <v>44676.0</v>
      </c>
      <c r="F403" s="57" t="str">
        <f t="shared" si="1"/>
        <v>+7</v>
      </c>
      <c r="G403" s="57" t="s">
        <v>716</v>
      </c>
      <c r="H403" s="57" t="s">
        <v>1096</v>
      </c>
      <c r="I403" s="57" t="s">
        <v>1255</v>
      </c>
      <c r="J403" s="57" t="str">
        <f t="array" ref="J403">XLOOKUP(F403,'коды стран'!$B$2:$B$7,'коды стран'!$A$2:$A$7)</f>
        <v>Россия</v>
      </c>
    </row>
    <row r="404" ht="14.25" customHeight="1">
      <c r="A404" s="57">
        <v>208.0</v>
      </c>
      <c r="B404" s="57" t="s">
        <v>1695</v>
      </c>
      <c r="C404" s="57" t="s">
        <v>1696</v>
      </c>
      <c r="D404" s="57" t="s">
        <v>206</v>
      </c>
      <c r="E404" s="59">
        <v>44736.0</v>
      </c>
      <c r="F404" s="57" t="str">
        <f t="shared" si="1"/>
        <v>+380</v>
      </c>
      <c r="G404" s="57" t="s">
        <v>565</v>
      </c>
      <c r="H404" s="57" t="s">
        <v>1697</v>
      </c>
      <c r="I404" s="57" t="s">
        <v>1516</v>
      </c>
      <c r="J404" s="57" t="str">
        <f t="array" ref="J404">XLOOKUP(F404,'коды стран'!$B$2:$B$7,'коды стран'!$A$2:$A$7)</f>
        <v>Украина</v>
      </c>
    </row>
    <row r="405" ht="14.25" customHeight="1">
      <c r="A405" s="57">
        <v>343.0</v>
      </c>
      <c r="B405" s="57" t="s">
        <v>1698</v>
      </c>
      <c r="C405" s="57" t="s">
        <v>1699</v>
      </c>
      <c r="D405" s="57" t="s">
        <v>206</v>
      </c>
      <c r="E405" s="59">
        <v>44874.0</v>
      </c>
      <c r="F405" s="57" t="str">
        <f t="shared" si="1"/>
        <v>+380</v>
      </c>
      <c r="G405" s="57" t="s">
        <v>839</v>
      </c>
      <c r="H405" s="57" t="s">
        <v>1538</v>
      </c>
      <c r="I405" s="57" t="s">
        <v>1283</v>
      </c>
      <c r="J405" s="57" t="str">
        <f t="array" ref="J405">XLOOKUP(F405,'коды стран'!$B$2:$B$7,'коды стран'!$A$2:$A$7)</f>
        <v>Украина</v>
      </c>
    </row>
    <row r="406" ht="14.25" customHeight="1">
      <c r="A406" s="57">
        <v>486.0</v>
      </c>
      <c r="B406" s="57" t="s">
        <v>1700</v>
      </c>
      <c r="C406" s="57" t="s">
        <v>1701</v>
      </c>
      <c r="D406" s="57" t="s">
        <v>205</v>
      </c>
      <c r="E406" s="59">
        <v>44723.0</v>
      </c>
      <c r="F406" s="57" t="str">
        <f t="shared" si="1"/>
        <v>+7</v>
      </c>
      <c r="G406" s="57" t="s">
        <v>554</v>
      </c>
      <c r="H406" s="57" t="s">
        <v>1702</v>
      </c>
      <c r="I406" s="57" t="s">
        <v>1465</v>
      </c>
      <c r="J406" s="57" t="str">
        <f t="array" ref="J406">XLOOKUP(F406,'коды стран'!$B$2:$B$7,'коды стран'!$A$2:$A$7)</f>
        <v>Россия</v>
      </c>
    </row>
    <row r="407" ht="14.25" customHeight="1">
      <c r="A407" s="57">
        <v>299.0</v>
      </c>
      <c r="B407" s="57" t="s">
        <v>1703</v>
      </c>
      <c r="C407" s="57" t="s">
        <v>1704</v>
      </c>
      <c r="D407" s="57" t="s">
        <v>206</v>
      </c>
      <c r="E407" s="59">
        <v>44666.0</v>
      </c>
      <c r="F407" s="57" t="str">
        <f t="shared" si="1"/>
        <v>+380</v>
      </c>
      <c r="G407" s="57" t="s">
        <v>1585</v>
      </c>
      <c r="H407" s="57" t="s">
        <v>1705</v>
      </c>
      <c r="I407" s="57" t="s">
        <v>1454</v>
      </c>
      <c r="J407" s="57" t="str">
        <f t="array" ref="J407">XLOOKUP(F407,'коды стран'!$B$2:$B$7,'коды стран'!$A$2:$A$7)</f>
        <v>Украина</v>
      </c>
    </row>
    <row r="408" ht="14.25" customHeight="1">
      <c r="A408" s="57">
        <v>368.0</v>
      </c>
      <c r="B408" s="57" t="s">
        <v>1706</v>
      </c>
      <c r="C408" s="57" t="s">
        <v>1707</v>
      </c>
      <c r="D408" s="57" t="s">
        <v>205</v>
      </c>
      <c r="E408" s="59">
        <v>44872.0</v>
      </c>
      <c r="F408" s="57" t="str">
        <f t="shared" si="1"/>
        <v>+998</v>
      </c>
      <c r="G408" s="57" t="s">
        <v>228</v>
      </c>
      <c r="H408" s="57" t="s">
        <v>287</v>
      </c>
      <c r="I408" s="57" t="s">
        <v>1708</v>
      </c>
      <c r="J408" s="57" t="str">
        <f t="array" ref="J408">XLOOKUP(F408,'коды стран'!$B$2:$B$7,'коды стран'!$A$2:$A$7)</f>
        <v>Узбекистан</v>
      </c>
    </row>
    <row r="409" ht="14.25" customHeight="1">
      <c r="A409" s="57">
        <v>108.0</v>
      </c>
      <c r="B409" s="57" t="s">
        <v>1709</v>
      </c>
      <c r="C409" s="57" t="s">
        <v>1710</v>
      </c>
      <c r="D409" s="57" t="s">
        <v>205</v>
      </c>
      <c r="E409" s="59">
        <v>44835.0</v>
      </c>
      <c r="F409" s="57" t="str">
        <f t="shared" si="1"/>
        <v>+998</v>
      </c>
      <c r="G409" s="57" t="s">
        <v>964</v>
      </c>
      <c r="H409" s="57" t="s">
        <v>1403</v>
      </c>
      <c r="I409" s="57" t="s">
        <v>1711</v>
      </c>
      <c r="J409" s="57" t="str">
        <f t="array" ref="J409">XLOOKUP(F409,'коды стран'!$B$2:$B$7,'коды стран'!$A$2:$A$7)</f>
        <v>Узбекистан</v>
      </c>
    </row>
    <row r="410" ht="14.25" customHeight="1">
      <c r="A410" s="57">
        <v>443.0</v>
      </c>
      <c r="B410" s="57" t="s">
        <v>1712</v>
      </c>
      <c r="C410" s="57" t="s">
        <v>1713</v>
      </c>
      <c r="D410" s="57" t="s">
        <v>205</v>
      </c>
      <c r="E410" s="59">
        <v>44649.0</v>
      </c>
      <c r="F410" s="57" t="str">
        <f t="shared" si="1"/>
        <v>+7</v>
      </c>
      <c r="G410" s="57" t="s">
        <v>276</v>
      </c>
      <c r="H410" s="57" t="s">
        <v>640</v>
      </c>
      <c r="I410" s="57" t="s">
        <v>1714</v>
      </c>
      <c r="J410" s="57" t="str">
        <f t="array" ref="J410">XLOOKUP(F410,'коды стран'!$B$2:$B$7,'коды стран'!$A$2:$A$7)</f>
        <v>Россия</v>
      </c>
    </row>
    <row r="411" ht="14.25" customHeight="1">
      <c r="A411" s="57">
        <v>91.0</v>
      </c>
      <c r="B411" s="57" t="s">
        <v>1715</v>
      </c>
      <c r="C411" s="57" t="s">
        <v>1716</v>
      </c>
      <c r="D411" s="57" t="s">
        <v>206</v>
      </c>
      <c r="E411" s="59">
        <v>44687.0</v>
      </c>
      <c r="F411" s="57" t="str">
        <f t="shared" si="1"/>
        <v>+7</v>
      </c>
      <c r="G411" s="57" t="s">
        <v>1717</v>
      </c>
      <c r="H411" s="57" t="s">
        <v>681</v>
      </c>
      <c r="I411" s="57" t="s">
        <v>604</v>
      </c>
      <c r="J411" s="57" t="str">
        <f t="array" ref="J411">XLOOKUP(F411,'коды стран'!$B$2:$B$7,'коды стран'!$A$2:$A$7)</f>
        <v>Россия</v>
      </c>
    </row>
    <row r="412" ht="14.25" customHeight="1">
      <c r="A412" s="57">
        <v>473.0</v>
      </c>
      <c r="B412" s="57" t="s">
        <v>1718</v>
      </c>
      <c r="C412" s="57" t="s">
        <v>1719</v>
      </c>
      <c r="D412" s="57" t="s">
        <v>205</v>
      </c>
      <c r="E412" s="59">
        <v>44799.0</v>
      </c>
      <c r="F412" s="57" t="str">
        <f t="shared" si="1"/>
        <v>+7</v>
      </c>
      <c r="G412" s="57" t="s">
        <v>1720</v>
      </c>
      <c r="H412" s="57" t="s">
        <v>508</v>
      </c>
      <c r="I412" s="57" t="s">
        <v>1721</v>
      </c>
      <c r="J412" s="57" t="str">
        <f t="array" ref="J412">XLOOKUP(F412,'коды стран'!$B$2:$B$7,'коды стран'!$A$2:$A$7)</f>
        <v>Россия</v>
      </c>
    </row>
    <row r="413" ht="14.25" customHeight="1">
      <c r="A413" s="57">
        <v>482.0</v>
      </c>
      <c r="B413" s="57" t="s">
        <v>1722</v>
      </c>
      <c r="C413" s="57" t="s">
        <v>1723</v>
      </c>
      <c r="D413" s="57" t="s">
        <v>206</v>
      </c>
      <c r="E413" s="59">
        <v>44679.0</v>
      </c>
      <c r="F413" s="57" t="str">
        <f t="shared" si="1"/>
        <v>+380</v>
      </c>
      <c r="G413" s="57" t="s">
        <v>1562</v>
      </c>
      <c r="H413" s="57" t="s">
        <v>1388</v>
      </c>
      <c r="I413" s="57" t="s">
        <v>1724</v>
      </c>
      <c r="J413" s="57" t="str">
        <f t="array" ref="J413">XLOOKUP(F413,'коды стран'!$B$2:$B$7,'коды стран'!$A$2:$A$7)</f>
        <v>Украина</v>
      </c>
    </row>
    <row r="414" ht="14.25" customHeight="1">
      <c r="A414" s="57">
        <v>48.0</v>
      </c>
      <c r="B414" s="57" t="s">
        <v>1725</v>
      </c>
      <c r="C414" s="57" t="s">
        <v>1726</v>
      </c>
      <c r="D414" s="57" t="s">
        <v>206</v>
      </c>
      <c r="E414" s="59">
        <v>44856.0</v>
      </c>
      <c r="F414" s="57" t="str">
        <f t="shared" si="1"/>
        <v>+998</v>
      </c>
      <c r="G414" s="57" t="s">
        <v>1529</v>
      </c>
      <c r="H414" s="57" t="s">
        <v>223</v>
      </c>
      <c r="I414" s="57" t="s">
        <v>636</v>
      </c>
      <c r="J414" s="57" t="str">
        <f t="array" ref="J414">XLOOKUP(F414,'коды стран'!$B$2:$B$7,'коды стран'!$A$2:$A$7)</f>
        <v>Узбекистан</v>
      </c>
    </row>
    <row r="415" ht="14.25" customHeight="1">
      <c r="A415" s="57">
        <v>26.0</v>
      </c>
      <c r="B415" s="57" t="s">
        <v>1727</v>
      </c>
      <c r="C415" s="57" t="s">
        <v>1728</v>
      </c>
      <c r="D415" s="57" t="s">
        <v>205</v>
      </c>
      <c r="E415" s="59">
        <v>44819.0</v>
      </c>
      <c r="F415" s="57" t="str">
        <f t="shared" si="1"/>
        <v>+992</v>
      </c>
      <c r="G415" s="57" t="s">
        <v>904</v>
      </c>
      <c r="H415" s="57" t="s">
        <v>1515</v>
      </c>
      <c r="I415" s="57" t="s">
        <v>752</v>
      </c>
      <c r="J415" s="57" t="str">
        <f t="array" ref="J415">XLOOKUP(F415,'коды стран'!$B$2:$B$7,'коды стран'!$A$2:$A$7)</f>
        <v>Таджикистан</v>
      </c>
    </row>
    <row r="416" ht="14.25" customHeight="1">
      <c r="A416" s="57">
        <v>417.0</v>
      </c>
      <c r="B416" s="57" t="s">
        <v>1729</v>
      </c>
      <c r="C416" s="57" t="s">
        <v>1730</v>
      </c>
      <c r="D416" s="57" t="s">
        <v>206</v>
      </c>
      <c r="E416" s="59">
        <v>44608.0</v>
      </c>
      <c r="F416" s="57" t="str">
        <f t="shared" si="1"/>
        <v>+992</v>
      </c>
      <c r="G416" s="57" t="s">
        <v>1731</v>
      </c>
      <c r="H416" s="57" t="s">
        <v>223</v>
      </c>
      <c r="I416" s="57" t="s">
        <v>369</v>
      </c>
      <c r="J416" s="57" t="str">
        <f t="array" ref="J416">XLOOKUP(F416,'коды стран'!$B$2:$B$7,'коды стран'!$A$2:$A$7)</f>
        <v>Таджикистан</v>
      </c>
    </row>
    <row r="417" ht="14.25" customHeight="1">
      <c r="A417" s="57">
        <v>491.0</v>
      </c>
      <c r="B417" s="57" t="s">
        <v>1732</v>
      </c>
      <c r="C417" s="57" t="s">
        <v>1733</v>
      </c>
      <c r="D417" s="57" t="s">
        <v>205</v>
      </c>
      <c r="E417" s="59">
        <v>44752.0</v>
      </c>
      <c r="F417" s="57" t="str">
        <f t="shared" si="1"/>
        <v>+7</v>
      </c>
      <c r="G417" s="57" t="s">
        <v>1279</v>
      </c>
      <c r="H417" s="57" t="s">
        <v>405</v>
      </c>
      <c r="I417" s="57" t="s">
        <v>513</v>
      </c>
      <c r="J417" s="57" t="str">
        <f t="array" ref="J417">XLOOKUP(F417,'коды стран'!$B$2:$B$7,'коды стран'!$A$2:$A$7)</f>
        <v>Россия</v>
      </c>
    </row>
    <row r="418" ht="14.25" customHeight="1">
      <c r="A418" s="57">
        <v>492.0</v>
      </c>
      <c r="B418" s="57" t="s">
        <v>1734</v>
      </c>
      <c r="C418" s="57" t="s">
        <v>1735</v>
      </c>
      <c r="D418" s="57" t="s">
        <v>205</v>
      </c>
      <c r="E418" s="59">
        <v>44688.0</v>
      </c>
      <c r="F418" s="57" t="str">
        <f t="shared" si="1"/>
        <v>+380</v>
      </c>
      <c r="G418" s="57" t="s">
        <v>1736</v>
      </c>
      <c r="H418" s="57" t="s">
        <v>566</v>
      </c>
      <c r="I418" s="57" t="s">
        <v>1737</v>
      </c>
      <c r="J418" s="57" t="str">
        <f t="array" ref="J418">XLOOKUP(F418,'коды стран'!$B$2:$B$7,'коды стран'!$A$2:$A$7)</f>
        <v>Украина</v>
      </c>
    </row>
    <row r="419" ht="14.25" customHeight="1">
      <c r="A419" s="57">
        <v>155.0</v>
      </c>
      <c r="B419" s="57" t="s">
        <v>1738</v>
      </c>
      <c r="C419" s="57" t="s">
        <v>1739</v>
      </c>
      <c r="D419" s="57" t="s">
        <v>206</v>
      </c>
      <c r="E419" s="59">
        <v>44564.0</v>
      </c>
      <c r="F419" s="57" t="str">
        <f t="shared" si="1"/>
        <v>+380</v>
      </c>
      <c r="G419" s="57" t="s">
        <v>1329</v>
      </c>
      <c r="H419" s="57" t="s">
        <v>1740</v>
      </c>
      <c r="I419" s="57" t="s">
        <v>394</v>
      </c>
      <c r="J419" s="57" t="str">
        <f t="array" ref="J419">XLOOKUP(F419,'коды стран'!$B$2:$B$7,'коды стран'!$A$2:$A$7)</f>
        <v>Украина</v>
      </c>
    </row>
    <row r="420" ht="14.25" customHeight="1">
      <c r="A420" s="57">
        <v>430.0</v>
      </c>
      <c r="B420" s="57" t="s">
        <v>1741</v>
      </c>
      <c r="C420" s="57" t="s">
        <v>1742</v>
      </c>
      <c r="D420" s="57" t="s">
        <v>206</v>
      </c>
      <c r="E420" s="59">
        <v>44799.0</v>
      </c>
      <c r="F420" s="57" t="str">
        <f t="shared" si="1"/>
        <v>+992</v>
      </c>
      <c r="G420" s="57" t="s">
        <v>1743</v>
      </c>
      <c r="H420" s="57" t="s">
        <v>1047</v>
      </c>
      <c r="I420" s="57" t="s">
        <v>1446</v>
      </c>
      <c r="J420" s="57" t="str">
        <f t="array" ref="J420">XLOOKUP(F420,'коды стран'!$B$2:$B$7,'коды стран'!$A$2:$A$7)</f>
        <v>Таджикистан</v>
      </c>
    </row>
    <row r="421" ht="14.25" customHeight="1">
      <c r="A421" s="57">
        <v>488.0</v>
      </c>
      <c r="B421" s="57" t="s">
        <v>1744</v>
      </c>
      <c r="C421" s="57" t="s">
        <v>1745</v>
      </c>
      <c r="D421" s="57" t="s">
        <v>205</v>
      </c>
      <c r="E421" s="59">
        <v>44738.0</v>
      </c>
      <c r="F421" s="57" t="str">
        <f t="shared" si="1"/>
        <v>+375</v>
      </c>
      <c r="G421" s="57" t="s">
        <v>787</v>
      </c>
      <c r="H421" s="57" t="s">
        <v>421</v>
      </c>
      <c r="I421" s="57" t="s">
        <v>897</v>
      </c>
      <c r="J421" s="57" t="str">
        <f t="array" ref="J421">XLOOKUP(F421,'коды стран'!$B$2:$B$7,'коды стран'!$A$2:$A$7)</f>
        <v>Беларусь</v>
      </c>
    </row>
    <row r="422" ht="14.25" customHeight="1">
      <c r="A422" s="57">
        <v>6.0</v>
      </c>
      <c r="B422" s="57" t="s">
        <v>1746</v>
      </c>
      <c r="C422" s="57" t="s">
        <v>1747</v>
      </c>
      <c r="D422" s="57" t="s">
        <v>206</v>
      </c>
      <c r="E422" s="59">
        <v>44710.0</v>
      </c>
      <c r="F422" s="57" t="str">
        <f t="shared" si="1"/>
        <v>+380</v>
      </c>
      <c r="G422" s="57" t="s">
        <v>475</v>
      </c>
      <c r="H422" s="57" t="s">
        <v>406</v>
      </c>
      <c r="I422" s="57" t="s">
        <v>1241</v>
      </c>
      <c r="J422" s="57" t="str">
        <f t="array" ref="J422">XLOOKUP(F422,'коды стран'!$B$2:$B$7,'коды стран'!$A$2:$A$7)</f>
        <v>Украина</v>
      </c>
    </row>
    <row r="423" ht="14.25" customHeight="1">
      <c r="A423" s="57">
        <v>400.0</v>
      </c>
      <c r="B423" s="57" t="s">
        <v>1748</v>
      </c>
      <c r="C423" s="57" t="s">
        <v>1749</v>
      </c>
      <c r="D423" s="57" t="s">
        <v>205</v>
      </c>
      <c r="E423" s="59">
        <v>44765.0</v>
      </c>
      <c r="F423" s="57" t="str">
        <f t="shared" si="1"/>
        <v>+375</v>
      </c>
      <c r="G423" s="57" t="s">
        <v>1750</v>
      </c>
      <c r="H423" s="57" t="s">
        <v>817</v>
      </c>
      <c r="I423" s="57" t="s">
        <v>402</v>
      </c>
      <c r="J423" s="57" t="str">
        <f t="array" ref="J423">XLOOKUP(F423,'коды стран'!$B$2:$B$7,'коды стран'!$A$2:$A$7)</f>
        <v>Беларусь</v>
      </c>
    </row>
    <row r="424" ht="14.25" customHeight="1">
      <c r="A424" s="57">
        <v>282.0</v>
      </c>
      <c r="B424" s="57" t="s">
        <v>1751</v>
      </c>
      <c r="C424" s="57" t="s">
        <v>1752</v>
      </c>
      <c r="D424" s="57" t="s">
        <v>205</v>
      </c>
      <c r="E424" s="59">
        <v>44735.0</v>
      </c>
      <c r="F424" s="57" t="str">
        <f t="shared" si="1"/>
        <v>+998</v>
      </c>
      <c r="G424" s="57" t="s">
        <v>1027</v>
      </c>
      <c r="H424" s="57" t="s">
        <v>853</v>
      </c>
      <c r="I424" s="57" t="s">
        <v>628</v>
      </c>
      <c r="J424" s="57" t="str">
        <f t="array" ref="J424">XLOOKUP(F424,'коды стран'!$B$2:$B$7,'коды стран'!$A$2:$A$7)</f>
        <v>Узбекистан</v>
      </c>
    </row>
    <row r="425" ht="14.25" customHeight="1">
      <c r="A425" s="57">
        <v>433.0</v>
      </c>
      <c r="B425" s="57" t="s">
        <v>1753</v>
      </c>
      <c r="C425" s="57" t="s">
        <v>1754</v>
      </c>
      <c r="D425" s="57" t="s">
        <v>205</v>
      </c>
      <c r="E425" s="59">
        <v>44832.0</v>
      </c>
      <c r="F425" s="57" t="str">
        <f t="shared" si="1"/>
        <v>+992</v>
      </c>
      <c r="G425" s="57" t="s">
        <v>1142</v>
      </c>
      <c r="H425" s="57" t="s">
        <v>438</v>
      </c>
      <c r="I425" s="57" t="s">
        <v>514</v>
      </c>
      <c r="J425" s="57" t="str">
        <f t="array" ref="J425">XLOOKUP(F425,'коды стран'!$B$2:$B$7,'коды стран'!$A$2:$A$7)</f>
        <v>Таджикистан</v>
      </c>
    </row>
    <row r="426" ht="14.25" customHeight="1">
      <c r="A426" s="57">
        <v>212.0</v>
      </c>
      <c r="B426" s="57" t="s">
        <v>1755</v>
      </c>
      <c r="C426" s="57" t="s">
        <v>1756</v>
      </c>
      <c r="D426" s="57" t="s">
        <v>206</v>
      </c>
      <c r="E426" s="59">
        <v>44815.0</v>
      </c>
      <c r="F426" s="57" t="str">
        <f t="shared" si="1"/>
        <v>+998</v>
      </c>
      <c r="G426" s="57" t="s">
        <v>1244</v>
      </c>
      <c r="H426" s="57" t="s">
        <v>1512</v>
      </c>
      <c r="I426" s="57" t="s">
        <v>1205</v>
      </c>
      <c r="J426" s="57" t="str">
        <f t="array" ref="J426">XLOOKUP(F426,'коды стран'!$B$2:$B$7,'коды стран'!$A$2:$A$7)</f>
        <v>Узбекистан</v>
      </c>
    </row>
    <row r="427" ht="14.25" customHeight="1">
      <c r="A427" s="57">
        <v>499.0</v>
      </c>
      <c r="B427" s="57" t="s">
        <v>1757</v>
      </c>
      <c r="C427" s="57" t="s">
        <v>1758</v>
      </c>
      <c r="D427" s="57" t="s">
        <v>205</v>
      </c>
      <c r="E427" s="59">
        <v>44798.0</v>
      </c>
      <c r="F427" s="57" t="str">
        <f t="shared" si="1"/>
        <v>+375</v>
      </c>
      <c r="G427" s="57" t="s">
        <v>1759</v>
      </c>
      <c r="H427" s="57" t="s">
        <v>1481</v>
      </c>
      <c r="I427" s="57" t="s">
        <v>1760</v>
      </c>
      <c r="J427" s="57" t="str">
        <f t="array" ref="J427">XLOOKUP(F427,'коды стран'!$B$2:$B$7,'коды стран'!$A$2:$A$7)</f>
        <v>Беларусь</v>
      </c>
    </row>
    <row r="428" ht="14.25" customHeight="1">
      <c r="A428" s="57">
        <v>347.0</v>
      </c>
      <c r="B428" s="57" t="s">
        <v>1761</v>
      </c>
      <c r="C428" s="57" t="s">
        <v>1762</v>
      </c>
      <c r="D428" s="57" t="s">
        <v>205</v>
      </c>
      <c r="E428" s="59">
        <v>44588.0</v>
      </c>
      <c r="F428" s="57" t="str">
        <f t="shared" si="1"/>
        <v>+992</v>
      </c>
      <c r="G428" s="57" t="s">
        <v>536</v>
      </c>
      <c r="H428" s="57" t="s">
        <v>1763</v>
      </c>
      <c r="I428" s="57" t="s">
        <v>1073</v>
      </c>
      <c r="J428" s="57" t="str">
        <f t="array" ref="J428">XLOOKUP(F428,'коды стран'!$B$2:$B$7,'коды стран'!$A$2:$A$7)</f>
        <v>Таджикистан</v>
      </c>
    </row>
    <row r="429" ht="14.25" customHeight="1">
      <c r="A429" s="57">
        <v>469.0</v>
      </c>
      <c r="B429" s="57" t="s">
        <v>1764</v>
      </c>
      <c r="C429" s="57" t="s">
        <v>1765</v>
      </c>
      <c r="D429" s="57" t="s">
        <v>205</v>
      </c>
      <c r="E429" s="59">
        <v>44659.0</v>
      </c>
      <c r="F429" s="57" t="str">
        <f t="shared" si="1"/>
        <v>+7</v>
      </c>
      <c r="G429" s="57" t="s">
        <v>1275</v>
      </c>
      <c r="H429" s="57" t="s">
        <v>896</v>
      </c>
      <c r="I429" s="57" t="s">
        <v>1766</v>
      </c>
      <c r="J429" s="57" t="str">
        <f t="array" ref="J429">XLOOKUP(F429,'коды стран'!$B$2:$B$7,'коды стран'!$A$2:$A$7)</f>
        <v>Россия</v>
      </c>
    </row>
    <row r="430" ht="14.25" customHeight="1">
      <c r="A430" s="57">
        <v>93.0</v>
      </c>
      <c r="B430" s="57" t="s">
        <v>1767</v>
      </c>
      <c r="C430" s="57" t="s">
        <v>1768</v>
      </c>
      <c r="D430" s="57" t="s">
        <v>206</v>
      </c>
      <c r="E430" s="59">
        <v>44905.0</v>
      </c>
      <c r="F430" s="57" t="str">
        <f t="shared" si="1"/>
        <v>+380</v>
      </c>
      <c r="G430" s="57" t="s">
        <v>811</v>
      </c>
      <c r="H430" s="57" t="s">
        <v>331</v>
      </c>
      <c r="I430" s="57" t="s">
        <v>585</v>
      </c>
      <c r="J430" s="57" t="str">
        <f t="array" ref="J430">XLOOKUP(F430,'коды стран'!$B$2:$B$7,'коды стран'!$A$2:$A$7)</f>
        <v>Украина</v>
      </c>
    </row>
    <row r="431" ht="14.25" customHeight="1">
      <c r="A431" s="57">
        <v>200.0</v>
      </c>
      <c r="B431" s="57" t="s">
        <v>1769</v>
      </c>
      <c r="C431" s="57" t="s">
        <v>1770</v>
      </c>
      <c r="D431" s="57" t="s">
        <v>205</v>
      </c>
      <c r="E431" s="59">
        <v>44783.0</v>
      </c>
      <c r="F431" s="57" t="str">
        <f t="shared" si="1"/>
        <v>+998</v>
      </c>
      <c r="G431" s="57" t="s">
        <v>1678</v>
      </c>
      <c r="H431" s="57" t="s">
        <v>420</v>
      </c>
      <c r="I431" s="57" t="s">
        <v>421</v>
      </c>
      <c r="J431" s="57" t="str">
        <f t="array" ref="J431">XLOOKUP(F431,'коды стран'!$B$2:$B$7,'коды стран'!$A$2:$A$7)</f>
        <v>Узбекистан</v>
      </c>
    </row>
    <row r="432" ht="14.25" customHeight="1">
      <c r="A432" s="57">
        <v>95.0</v>
      </c>
      <c r="B432" s="57" t="s">
        <v>1771</v>
      </c>
      <c r="C432" s="57" t="s">
        <v>1772</v>
      </c>
      <c r="D432" s="57" t="s">
        <v>206</v>
      </c>
      <c r="E432" s="59">
        <v>44704.0</v>
      </c>
      <c r="F432" s="57" t="str">
        <f t="shared" si="1"/>
        <v>+998</v>
      </c>
      <c r="G432" s="57" t="s">
        <v>1255</v>
      </c>
      <c r="H432" s="57" t="s">
        <v>645</v>
      </c>
      <c r="I432" s="57" t="s">
        <v>759</v>
      </c>
      <c r="J432" s="57" t="str">
        <f t="array" ref="J432">XLOOKUP(F432,'коды стран'!$B$2:$B$7,'коды стран'!$A$2:$A$7)</f>
        <v>Узбекистан</v>
      </c>
    </row>
    <row r="433" ht="14.25" customHeight="1">
      <c r="A433" s="57">
        <v>20.0</v>
      </c>
      <c r="B433" s="57" t="s">
        <v>1773</v>
      </c>
      <c r="C433" s="57" t="s">
        <v>1774</v>
      </c>
      <c r="D433" s="57" t="s">
        <v>206</v>
      </c>
      <c r="E433" s="59">
        <v>44691.0</v>
      </c>
      <c r="F433" s="57" t="str">
        <f t="shared" si="1"/>
        <v>+998</v>
      </c>
      <c r="G433" s="57" t="s">
        <v>1538</v>
      </c>
      <c r="H433" s="57" t="s">
        <v>416</v>
      </c>
      <c r="I433" s="57" t="s">
        <v>1775</v>
      </c>
      <c r="J433" s="57" t="str">
        <f t="array" ref="J433">XLOOKUP(F433,'коды стран'!$B$2:$B$7,'коды стран'!$A$2:$A$7)</f>
        <v>Узбекистан</v>
      </c>
    </row>
    <row r="434" ht="14.25" customHeight="1">
      <c r="A434" s="57">
        <v>94.0</v>
      </c>
      <c r="B434" s="57" t="s">
        <v>1776</v>
      </c>
      <c r="C434" s="57" t="s">
        <v>1777</v>
      </c>
      <c r="D434" s="57" t="s">
        <v>205</v>
      </c>
      <c r="E434" s="59">
        <v>44723.0</v>
      </c>
      <c r="F434" s="57" t="str">
        <f t="shared" si="1"/>
        <v>+380</v>
      </c>
      <c r="G434" s="57" t="s">
        <v>462</v>
      </c>
      <c r="H434" s="57" t="s">
        <v>604</v>
      </c>
      <c r="I434" s="57" t="s">
        <v>1778</v>
      </c>
      <c r="J434" s="57" t="str">
        <f t="array" ref="J434">XLOOKUP(F434,'коды стран'!$B$2:$B$7,'коды стран'!$A$2:$A$7)</f>
        <v>Украина</v>
      </c>
    </row>
    <row r="435" ht="14.25" customHeight="1">
      <c r="A435" s="57">
        <v>427.0</v>
      </c>
      <c r="B435" s="57" t="s">
        <v>1779</v>
      </c>
      <c r="C435" s="57" t="s">
        <v>1780</v>
      </c>
      <c r="D435" s="57" t="s">
        <v>206</v>
      </c>
      <c r="E435" s="59">
        <v>44834.0</v>
      </c>
      <c r="F435" s="57" t="str">
        <f t="shared" si="1"/>
        <v>+7</v>
      </c>
      <c r="G435" s="57" t="s">
        <v>312</v>
      </c>
      <c r="H435" s="57" t="s">
        <v>1781</v>
      </c>
      <c r="I435" s="57" t="s">
        <v>1766</v>
      </c>
      <c r="J435" s="57" t="str">
        <f t="array" ref="J435">XLOOKUP(F435,'коды стран'!$B$2:$B$7,'коды стран'!$A$2:$A$7)</f>
        <v>Россия</v>
      </c>
    </row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8.14"/>
    <col customWidth="1" min="3" max="26" width="8.71"/>
  </cols>
  <sheetData>
    <row r="1" ht="14.25" customHeight="1"/>
    <row r="2" ht="14.25" customHeight="1"/>
    <row r="3" ht="14.25" customHeight="1">
      <c r="A3" s="21" t="s">
        <v>33</v>
      </c>
      <c r="B3" s="22" t="s">
        <v>1782</v>
      </c>
    </row>
    <row r="4" ht="14.25" customHeight="1">
      <c r="A4" s="23" t="s">
        <v>936</v>
      </c>
      <c r="B4" s="30">
        <v>6.0</v>
      </c>
    </row>
    <row r="5" ht="14.25" customHeight="1">
      <c r="A5" s="23" t="s">
        <v>317</v>
      </c>
      <c r="B5" s="30">
        <v>6.0</v>
      </c>
    </row>
    <row r="6" ht="14.25" customHeight="1">
      <c r="A6" s="23" t="s">
        <v>471</v>
      </c>
      <c r="B6" s="30">
        <v>6.0</v>
      </c>
    </row>
    <row r="7" ht="14.25" customHeight="1">
      <c r="A7" s="23" t="s">
        <v>257</v>
      </c>
      <c r="B7" s="30">
        <v>5.0</v>
      </c>
    </row>
    <row r="8" ht="14.25" customHeight="1">
      <c r="A8" s="23" t="s">
        <v>475</v>
      </c>
      <c r="B8" s="30">
        <v>5.0</v>
      </c>
    </row>
    <row r="9" ht="14.25" customHeight="1">
      <c r="A9" s="23" t="s">
        <v>281</v>
      </c>
      <c r="B9" s="30">
        <v>5.0</v>
      </c>
    </row>
    <row r="10" ht="14.25" customHeight="1">
      <c r="A10" s="23" t="s">
        <v>716</v>
      </c>
      <c r="B10" s="30">
        <v>5.0</v>
      </c>
    </row>
    <row r="11" ht="14.25" customHeight="1">
      <c r="A11" s="23" t="s">
        <v>223</v>
      </c>
      <c r="B11" s="30">
        <v>5.0</v>
      </c>
    </row>
    <row r="12" ht="14.25" customHeight="1">
      <c r="A12" s="23" t="s">
        <v>645</v>
      </c>
      <c r="B12" s="30">
        <v>5.0</v>
      </c>
    </row>
    <row r="13" ht="14.25" customHeight="1">
      <c r="A13" s="23" t="s">
        <v>405</v>
      </c>
      <c r="B13" s="30">
        <v>4.0</v>
      </c>
    </row>
    <row r="14" ht="14.25" customHeight="1">
      <c r="A14" s="23" t="s">
        <v>442</v>
      </c>
      <c r="B14" s="30">
        <v>4.0</v>
      </c>
    </row>
    <row r="15" ht="14.25" customHeight="1">
      <c r="A15" s="23" t="s">
        <v>738</v>
      </c>
      <c r="B15" s="30">
        <v>4.0</v>
      </c>
    </row>
    <row r="16" ht="14.25" customHeight="1">
      <c r="A16" s="23" t="s">
        <v>755</v>
      </c>
      <c r="B16" s="30">
        <v>4.0</v>
      </c>
    </row>
    <row r="17" ht="14.25" customHeight="1">
      <c r="A17" s="23" t="s">
        <v>456</v>
      </c>
      <c r="B17" s="30">
        <v>4.0</v>
      </c>
    </row>
    <row r="18" ht="14.25" customHeight="1">
      <c r="A18" s="23" t="s">
        <v>247</v>
      </c>
      <c r="B18" s="30">
        <v>4.0</v>
      </c>
    </row>
    <row r="19" ht="14.25" customHeight="1">
      <c r="A19" s="23" t="s">
        <v>237</v>
      </c>
      <c r="B19" s="30">
        <v>4.0</v>
      </c>
    </row>
    <row r="20" ht="14.25" customHeight="1">
      <c r="A20" s="23" t="s">
        <v>1254</v>
      </c>
      <c r="B20" s="30">
        <v>4.0</v>
      </c>
    </row>
    <row r="21" ht="14.25" customHeight="1">
      <c r="A21" s="23" t="s">
        <v>964</v>
      </c>
      <c r="B21" s="30">
        <v>4.0</v>
      </c>
    </row>
    <row r="22" ht="14.25" customHeight="1">
      <c r="A22" s="23" t="s">
        <v>364</v>
      </c>
      <c r="B22" s="30">
        <v>4.0</v>
      </c>
    </row>
    <row r="23" ht="14.25" customHeight="1">
      <c r="A23" s="23" t="s">
        <v>301</v>
      </c>
      <c r="B23" s="30">
        <v>4.0</v>
      </c>
    </row>
    <row r="24" ht="14.25" customHeight="1">
      <c r="A24" s="23" t="s">
        <v>420</v>
      </c>
      <c r="B24" s="30">
        <v>4.0</v>
      </c>
    </row>
    <row r="25" ht="14.25" customHeight="1">
      <c r="A25" s="23" t="s">
        <v>432</v>
      </c>
      <c r="B25" s="30">
        <v>4.0</v>
      </c>
    </row>
    <row r="26" ht="14.25" customHeight="1">
      <c r="A26" s="23" t="s">
        <v>1301</v>
      </c>
      <c r="B26" s="30">
        <v>3.0</v>
      </c>
    </row>
    <row r="27" ht="14.25" customHeight="1">
      <c r="A27" s="23" t="s">
        <v>1538</v>
      </c>
      <c r="B27" s="30">
        <v>3.0</v>
      </c>
    </row>
    <row r="28" ht="14.25" customHeight="1">
      <c r="A28" s="23" t="s">
        <v>1027</v>
      </c>
      <c r="B28" s="30">
        <v>3.0</v>
      </c>
    </row>
    <row r="29" ht="14.25" customHeight="1">
      <c r="A29" s="23" t="s">
        <v>490</v>
      </c>
      <c r="B29" s="30">
        <v>3.0</v>
      </c>
    </row>
    <row r="30" ht="14.25" customHeight="1">
      <c r="A30" s="23" t="s">
        <v>228</v>
      </c>
      <c r="B30" s="30">
        <v>3.0</v>
      </c>
    </row>
    <row r="31" ht="14.25" customHeight="1">
      <c r="A31" s="23" t="s">
        <v>462</v>
      </c>
      <c r="B31" s="30">
        <v>3.0</v>
      </c>
    </row>
    <row r="32" ht="14.25" customHeight="1">
      <c r="A32" s="23" t="s">
        <v>499</v>
      </c>
      <c r="B32" s="30">
        <v>3.0</v>
      </c>
    </row>
    <row r="33" ht="14.25" customHeight="1">
      <c r="A33" s="23" t="s">
        <v>779</v>
      </c>
      <c r="B33" s="30">
        <v>3.0</v>
      </c>
    </row>
    <row r="34" ht="14.25" customHeight="1">
      <c r="A34" s="23" t="s">
        <v>804</v>
      </c>
      <c r="B34" s="30">
        <v>3.0</v>
      </c>
    </row>
    <row r="35" ht="14.25" customHeight="1">
      <c r="A35" s="23" t="s">
        <v>843</v>
      </c>
      <c r="B35" s="30">
        <v>3.0</v>
      </c>
    </row>
    <row r="36" ht="14.25" customHeight="1">
      <c r="A36" s="23" t="s">
        <v>335</v>
      </c>
      <c r="B36" s="30">
        <v>3.0</v>
      </c>
    </row>
    <row r="37" ht="14.25" customHeight="1">
      <c r="A37" s="23" t="s">
        <v>705</v>
      </c>
      <c r="B37" s="30">
        <v>3.0</v>
      </c>
    </row>
    <row r="38" ht="14.25" customHeight="1">
      <c r="A38" s="23" t="s">
        <v>359</v>
      </c>
      <c r="B38" s="30">
        <v>3.0</v>
      </c>
    </row>
    <row r="39" ht="14.25" customHeight="1">
      <c r="A39" s="23" t="s">
        <v>603</v>
      </c>
      <c r="B39" s="30">
        <v>3.0</v>
      </c>
    </row>
    <row r="40" ht="14.25" customHeight="1">
      <c r="A40" s="23" t="s">
        <v>725</v>
      </c>
      <c r="B40" s="30">
        <v>3.0</v>
      </c>
    </row>
    <row r="41" ht="14.25" customHeight="1">
      <c r="A41" s="23" t="s">
        <v>480</v>
      </c>
      <c r="B41" s="30">
        <v>3.0</v>
      </c>
    </row>
    <row r="42" ht="14.25" customHeight="1">
      <c r="A42" s="23" t="s">
        <v>657</v>
      </c>
      <c r="B42" s="30">
        <v>3.0</v>
      </c>
    </row>
    <row r="43" ht="14.25" customHeight="1">
      <c r="A43" s="23" t="s">
        <v>1142</v>
      </c>
      <c r="B43" s="30">
        <v>3.0</v>
      </c>
    </row>
    <row r="44" ht="14.25" customHeight="1">
      <c r="A44" s="23" t="s">
        <v>534</v>
      </c>
      <c r="B44" s="30">
        <v>3.0</v>
      </c>
    </row>
    <row r="45" ht="14.25" customHeight="1">
      <c r="A45" s="23" t="s">
        <v>349</v>
      </c>
      <c r="B45" s="30">
        <v>3.0</v>
      </c>
    </row>
    <row r="46" ht="14.25" customHeight="1">
      <c r="A46" s="23" t="s">
        <v>512</v>
      </c>
      <c r="B46" s="30">
        <v>3.0</v>
      </c>
    </row>
    <row r="47" ht="14.25" customHeight="1">
      <c r="A47" s="23" t="s">
        <v>741</v>
      </c>
      <c r="B47" s="30">
        <v>3.0</v>
      </c>
    </row>
    <row r="48" ht="14.25" customHeight="1">
      <c r="A48" s="23" t="s">
        <v>783</v>
      </c>
      <c r="B48" s="30">
        <v>3.0</v>
      </c>
    </row>
    <row r="49" ht="14.25" customHeight="1">
      <c r="A49" s="23" t="s">
        <v>276</v>
      </c>
      <c r="B49" s="30">
        <v>3.0</v>
      </c>
    </row>
    <row r="50" ht="14.25" customHeight="1">
      <c r="A50" s="23" t="s">
        <v>242</v>
      </c>
      <c r="B50" s="30">
        <v>3.0</v>
      </c>
    </row>
    <row r="51" ht="14.25" customHeight="1">
      <c r="A51" s="23" t="s">
        <v>1089</v>
      </c>
      <c r="B51" s="30">
        <v>3.0</v>
      </c>
    </row>
    <row r="52" ht="14.25" customHeight="1">
      <c r="A52" s="23" t="s">
        <v>565</v>
      </c>
      <c r="B52" s="30">
        <v>3.0</v>
      </c>
    </row>
    <row r="53" ht="14.25" customHeight="1">
      <c r="A53" s="23" t="s">
        <v>1258</v>
      </c>
      <c r="B53" s="30">
        <v>3.0</v>
      </c>
    </row>
    <row r="54" ht="14.25" customHeight="1">
      <c r="A54" s="23" t="s">
        <v>1221</v>
      </c>
      <c r="B54" s="30">
        <v>3.0</v>
      </c>
    </row>
    <row r="55" ht="14.25" customHeight="1">
      <c r="A55" s="23" t="s">
        <v>1201</v>
      </c>
      <c r="B55" s="30">
        <v>3.0</v>
      </c>
    </row>
    <row r="56" ht="14.25" customHeight="1">
      <c r="A56" s="23" t="s">
        <v>856</v>
      </c>
      <c r="B56" s="30">
        <v>2.0</v>
      </c>
    </row>
    <row r="57" ht="14.25" customHeight="1">
      <c r="A57" s="23" t="s">
        <v>346</v>
      </c>
      <c r="B57" s="30">
        <v>2.0</v>
      </c>
    </row>
    <row r="58" ht="14.25" customHeight="1">
      <c r="A58" s="23" t="s">
        <v>401</v>
      </c>
      <c r="B58" s="30">
        <v>2.0</v>
      </c>
    </row>
    <row r="59" ht="14.25" customHeight="1">
      <c r="A59" s="23" t="s">
        <v>517</v>
      </c>
      <c r="B59" s="30">
        <v>2.0</v>
      </c>
    </row>
    <row r="60" ht="14.25" customHeight="1">
      <c r="A60" s="23" t="s">
        <v>699</v>
      </c>
      <c r="B60" s="30">
        <v>2.0</v>
      </c>
    </row>
    <row r="61" ht="14.25" customHeight="1">
      <c r="A61" s="23" t="s">
        <v>326</v>
      </c>
      <c r="B61" s="30">
        <v>2.0</v>
      </c>
    </row>
    <row r="62" ht="14.25" customHeight="1">
      <c r="A62" s="23" t="s">
        <v>996</v>
      </c>
      <c r="B62" s="30">
        <v>2.0</v>
      </c>
    </row>
    <row r="63" ht="14.25" customHeight="1">
      <c r="A63" s="23" t="s">
        <v>1145</v>
      </c>
      <c r="B63" s="30">
        <v>2.0</v>
      </c>
    </row>
    <row r="64" ht="14.25" customHeight="1">
      <c r="A64" s="23" t="s">
        <v>1086</v>
      </c>
      <c r="B64" s="30">
        <v>2.0</v>
      </c>
    </row>
    <row r="65" ht="14.25" customHeight="1">
      <c r="A65" s="23" t="s">
        <v>1244</v>
      </c>
      <c r="B65" s="30">
        <v>2.0</v>
      </c>
    </row>
    <row r="66" ht="14.25" customHeight="1">
      <c r="A66" s="23" t="s">
        <v>291</v>
      </c>
      <c r="B66" s="30">
        <v>2.0</v>
      </c>
    </row>
    <row r="67" ht="14.25" customHeight="1">
      <c r="A67" s="23" t="s">
        <v>1275</v>
      </c>
      <c r="B67" s="30">
        <v>2.0</v>
      </c>
    </row>
    <row r="68" ht="14.25" customHeight="1">
      <c r="A68" s="23" t="s">
        <v>913</v>
      </c>
      <c r="B68" s="30">
        <v>2.0</v>
      </c>
    </row>
    <row r="69" ht="14.25" customHeight="1">
      <c r="A69" s="23" t="s">
        <v>1515</v>
      </c>
      <c r="B69" s="30">
        <v>2.0</v>
      </c>
    </row>
    <row r="70" ht="14.25" customHeight="1">
      <c r="A70" s="23" t="s">
        <v>578</v>
      </c>
      <c r="B70" s="30">
        <v>2.0</v>
      </c>
    </row>
    <row r="71" ht="14.25" customHeight="1">
      <c r="A71" s="23" t="s">
        <v>312</v>
      </c>
      <c r="B71" s="30">
        <v>2.0</v>
      </c>
    </row>
    <row r="72" ht="14.25" customHeight="1">
      <c r="A72" s="23" t="s">
        <v>1251</v>
      </c>
      <c r="B72" s="30">
        <v>2.0</v>
      </c>
    </row>
    <row r="73" ht="14.25" customHeight="1">
      <c r="A73" s="23" t="s">
        <v>946</v>
      </c>
      <c r="B73" s="30">
        <v>2.0</v>
      </c>
    </row>
    <row r="74" ht="14.25" customHeight="1">
      <c r="A74" s="23" t="s">
        <v>670</v>
      </c>
      <c r="B74" s="30">
        <v>2.0</v>
      </c>
    </row>
    <row r="75" ht="14.25" customHeight="1">
      <c r="A75" s="23" t="s">
        <v>584</v>
      </c>
      <c r="B75" s="30">
        <v>2.0</v>
      </c>
    </row>
    <row r="76" ht="14.25" customHeight="1">
      <c r="A76" s="23" t="s">
        <v>773</v>
      </c>
      <c r="B76" s="30">
        <v>2.0</v>
      </c>
    </row>
    <row r="77" ht="14.25" customHeight="1">
      <c r="A77" s="23" t="s">
        <v>957</v>
      </c>
      <c r="B77" s="30">
        <v>2.0</v>
      </c>
    </row>
    <row r="78" ht="14.25" customHeight="1">
      <c r="A78" s="23" t="s">
        <v>729</v>
      </c>
      <c r="B78" s="30">
        <v>2.0</v>
      </c>
    </row>
    <row r="79" ht="14.25" customHeight="1">
      <c r="A79" s="23" t="s">
        <v>271</v>
      </c>
      <c r="B79" s="30">
        <v>2.0</v>
      </c>
    </row>
    <row r="80" ht="14.25" customHeight="1">
      <c r="A80" s="23" t="s">
        <v>415</v>
      </c>
      <c r="B80" s="30">
        <v>2.0</v>
      </c>
    </row>
    <row r="81" ht="14.25" customHeight="1">
      <c r="A81" s="23" t="s">
        <v>526</v>
      </c>
      <c r="B81" s="30">
        <v>2.0</v>
      </c>
    </row>
    <row r="82" ht="14.25" customHeight="1">
      <c r="A82" s="23" t="s">
        <v>833</v>
      </c>
      <c r="B82" s="30">
        <v>2.0</v>
      </c>
    </row>
    <row r="83" ht="14.25" customHeight="1">
      <c r="A83" s="23" t="s">
        <v>893</v>
      </c>
      <c r="B83" s="30">
        <v>2.0</v>
      </c>
    </row>
    <row r="84" ht="14.25" customHeight="1">
      <c r="A84" s="23" t="s">
        <v>953</v>
      </c>
      <c r="B84" s="30">
        <v>2.0</v>
      </c>
    </row>
    <row r="85" ht="14.25" customHeight="1">
      <c r="A85" s="23" t="s">
        <v>1061</v>
      </c>
      <c r="B85" s="30">
        <v>2.0</v>
      </c>
    </row>
    <row r="86" ht="14.25" customHeight="1">
      <c r="A86" s="23" t="s">
        <v>411</v>
      </c>
      <c r="B86" s="30">
        <v>2.0</v>
      </c>
    </row>
    <row r="87" ht="14.25" customHeight="1">
      <c r="A87" s="23" t="s">
        <v>1402</v>
      </c>
      <c r="B87" s="30">
        <v>2.0</v>
      </c>
    </row>
    <row r="88" ht="14.25" customHeight="1">
      <c r="A88" s="23" t="s">
        <v>387</v>
      </c>
      <c r="B88" s="30">
        <v>2.0</v>
      </c>
    </row>
    <row r="89" ht="14.25" customHeight="1">
      <c r="A89" s="23" t="s">
        <v>758</v>
      </c>
      <c r="B89" s="30">
        <v>2.0</v>
      </c>
    </row>
    <row r="90" ht="14.25" customHeight="1">
      <c r="A90" s="23" t="s">
        <v>1116</v>
      </c>
      <c r="B90" s="30">
        <v>2.0</v>
      </c>
    </row>
    <row r="91" ht="14.25" customHeight="1">
      <c r="A91" s="23" t="s">
        <v>1348</v>
      </c>
      <c r="B91" s="30">
        <v>2.0</v>
      </c>
    </row>
    <row r="92" ht="14.25" customHeight="1">
      <c r="A92" s="23" t="s">
        <v>253</v>
      </c>
      <c r="B92" s="30">
        <v>2.0</v>
      </c>
    </row>
    <row r="93" ht="14.25" customHeight="1">
      <c r="A93" s="23" t="s">
        <v>1155</v>
      </c>
      <c r="B93" s="30">
        <v>2.0</v>
      </c>
    </row>
    <row r="94" ht="14.25" customHeight="1">
      <c r="A94" s="23" t="s">
        <v>1322</v>
      </c>
      <c r="B94" s="30">
        <v>2.0</v>
      </c>
    </row>
    <row r="95" ht="14.25" customHeight="1">
      <c r="A95" s="23" t="s">
        <v>817</v>
      </c>
      <c r="B95" s="30">
        <v>2.0</v>
      </c>
    </row>
    <row r="96" ht="14.25" customHeight="1">
      <c r="A96" s="23" t="s">
        <v>837</v>
      </c>
      <c r="B96" s="30">
        <v>2.0</v>
      </c>
    </row>
    <row r="97" ht="14.25" customHeight="1">
      <c r="A97" s="23" t="s">
        <v>681</v>
      </c>
      <c r="B97" s="30">
        <v>2.0</v>
      </c>
    </row>
    <row r="98" ht="14.25" customHeight="1">
      <c r="A98" s="23" t="s">
        <v>307</v>
      </c>
      <c r="B98" s="30">
        <v>2.0</v>
      </c>
    </row>
    <row r="99" ht="14.25" customHeight="1">
      <c r="A99" s="23" t="s">
        <v>297</v>
      </c>
      <c r="B99" s="30">
        <v>2.0</v>
      </c>
    </row>
    <row r="100" ht="14.25" customHeight="1">
      <c r="A100" s="23" t="s">
        <v>1562</v>
      </c>
      <c r="B100" s="30">
        <v>2.0</v>
      </c>
    </row>
    <row r="101" ht="14.25" customHeight="1">
      <c r="A101" s="23" t="s">
        <v>552</v>
      </c>
      <c r="B101" s="30">
        <v>2.0</v>
      </c>
    </row>
    <row r="102" ht="14.25" customHeight="1">
      <c r="A102" s="23" t="s">
        <v>1490</v>
      </c>
      <c r="B102" s="30">
        <v>2.0</v>
      </c>
    </row>
    <row r="103" ht="14.25" customHeight="1">
      <c r="A103" s="23" t="s">
        <v>1112</v>
      </c>
      <c r="B103" s="30">
        <v>2.0</v>
      </c>
    </row>
    <row r="104" ht="14.25" customHeight="1">
      <c r="A104" s="23" t="s">
        <v>377</v>
      </c>
      <c r="B104" s="30">
        <v>2.0</v>
      </c>
    </row>
    <row r="105" ht="14.25" customHeight="1">
      <c r="A105" s="23" t="s">
        <v>321</v>
      </c>
      <c r="B105" s="30">
        <v>2.0</v>
      </c>
    </row>
    <row r="106" ht="14.25" customHeight="1">
      <c r="A106" s="23" t="s">
        <v>393</v>
      </c>
      <c r="B106" s="30">
        <v>2.0</v>
      </c>
    </row>
    <row r="107" ht="14.25" customHeight="1">
      <c r="A107" s="23" t="s">
        <v>331</v>
      </c>
      <c r="B107" s="30">
        <v>2.0</v>
      </c>
    </row>
    <row r="108" ht="14.25" customHeight="1">
      <c r="A108" s="23" t="s">
        <v>397</v>
      </c>
      <c r="B108" s="30">
        <v>2.0</v>
      </c>
    </row>
    <row r="109" ht="14.25" customHeight="1">
      <c r="A109" s="23" t="s">
        <v>787</v>
      </c>
      <c r="B109" s="30">
        <v>2.0</v>
      </c>
    </row>
    <row r="110" ht="14.25" customHeight="1">
      <c r="A110" s="23" t="s">
        <v>540</v>
      </c>
      <c r="B110" s="30">
        <v>2.0</v>
      </c>
    </row>
    <row r="111" ht="14.25" customHeight="1">
      <c r="A111" s="23" t="s">
        <v>1270</v>
      </c>
      <c r="B111" s="30">
        <v>2.0</v>
      </c>
    </row>
    <row r="112" ht="14.25" customHeight="1">
      <c r="A112" s="23" t="s">
        <v>1018</v>
      </c>
      <c r="B112" s="30">
        <v>2.0</v>
      </c>
    </row>
    <row r="113" ht="14.25" customHeight="1">
      <c r="A113" s="23" t="s">
        <v>796</v>
      </c>
      <c r="B113" s="30">
        <v>2.0</v>
      </c>
    </row>
    <row r="114" ht="14.25" customHeight="1">
      <c r="A114" s="23" t="s">
        <v>751</v>
      </c>
      <c r="B114" s="30">
        <v>2.0</v>
      </c>
    </row>
    <row r="115" ht="14.25" customHeight="1">
      <c r="A115" s="23" t="s">
        <v>1239</v>
      </c>
      <c r="B115" s="30">
        <v>2.0</v>
      </c>
    </row>
    <row r="116" ht="14.25" customHeight="1">
      <c r="A116" s="23" t="s">
        <v>865</v>
      </c>
      <c r="B116" s="30">
        <v>2.0</v>
      </c>
    </row>
    <row r="117" ht="14.25" customHeight="1">
      <c r="A117" s="23" t="s">
        <v>720</v>
      </c>
      <c r="B117" s="30">
        <v>1.0</v>
      </c>
    </row>
    <row r="118" ht="14.25" customHeight="1">
      <c r="A118" s="23" t="s">
        <v>632</v>
      </c>
      <c r="B118" s="30">
        <v>1.0</v>
      </c>
    </row>
    <row r="119" ht="14.25" customHeight="1">
      <c r="A119" s="23" t="s">
        <v>570</v>
      </c>
      <c r="B119" s="30">
        <v>1.0</v>
      </c>
    </row>
    <row r="120" ht="14.25" customHeight="1">
      <c r="A120" s="23" t="s">
        <v>1424</v>
      </c>
      <c r="B120" s="30">
        <v>1.0</v>
      </c>
    </row>
    <row r="121" ht="14.25" customHeight="1">
      <c r="A121" s="23" t="s">
        <v>1335</v>
      </c>
      <c r="B121" s="30">
        <v>1.0</v>
      </c>
    </row>
    <row r="122" ht="14.25" customHeight="1">
      <c r="A122" s="23" t="s">
        <v>561</v>
      </c>
      <c r="B122" s="30">
        <v>1.0</v>
      </c>
    </row>
    <row r="123" ht="14.25" customHeight="1">
      <c r="A123" s="23" t="s">
        <v>1444</v>
      </c>
      <c r="B123" s="30">
        <v>1.0</v>
      </c>
    </row>
    <row r="124" ht="14.25" customHeight="1">
      <c r="A124" s="23" t="s">
        <v>1080</v>
      </c>
      <c r="B124" s="30">
        <v>1.0</v>
      </c>
    </row>
    <row r="125" ht="14.25" customHeight="1">
      <c r="A125" s="23" t="s">
        <v>1137</v>
      </c>
      <c r="B125" s="30">
        <v>1.0</v>
      </c>
    </row>
    <row r="126" ht="14.25" customHeight="1">
      <c r="A126" s="23" t="s">
        <v>261</v>
      </c>
      <c r="B126" s="30">
        <v>1.0</v>
      </c>
    </row>
    <row r="127" ht="14.25" customHeight="1">
      <c r="A127" s="23" t="s">
        <v>887</v>
      </c>
      <c r="B127" s="30">
        <v>1.0</v>
      </c>
    </row>
    <row r="128" ht="14.25" customHeight="1">
      <c r="A128" s="23" t="s">
        <v>868</v>
      </c>
      <c r="B128" s="30">
        <v>1.0</v>
      </c>
    </row>
    <row r="129" ht="14.25" customHeight="1">
      <c r="A129" s="23" t="s">
        <v>1759</v>
      </c>
      <c r="B129" s="30">
        <v>1.0</v>
      </c>
    </row>
    <row r="130" ht="14.25" customHeight="1">
      <c r="A130" s="23" t="s">
        <v>615</v>
      </c>
      <c r="B130" s="30">
        <v>1.0</v>
      </c>
    </row>
    <row r="131" ht="14.25" customHeight="1">
      <c r="A131" s="23" t="s">
        <v>1206</v>
      </c>
      <c r="B131" s="30">
        <v>1.0</v>
      </c>
    </row>
    <row r="132" ht="14.25" customHeight="1">
      <c r="A132" s="23" t="s">
        <v>1068</v>
      </c>
      <c r="B132" s="30">
        <v>1.0</v>
      </c>
    </row>
    <row r="133" ht="14.25" customHeight="1">
      <c r="A133" s="23" t="s">
        <v>1702</v>
      </c>
      <c r="B133" s="30">
        <v>1.0</v>
      </c>
    </row>
    <row r="134" ht="14.25" customHeight="1">
      <c r="A134" s="23" t="s">
        <v>286</v>
      </c>
      <c r="B134" s="30">
        <v>1.0</v>
      </c>
    </row>
    <row r="135" ht="14.25" customHeight="1">
      <c r="A135" s="23" t="s">
        <v>878</v>
      </c>
      <c r="B135" s="30">
        <v>1.0</v>
      </c>
    </row>
    <row r="136" ht="14.25" customHeight="1">
      <c r="A136" s="23" t="s">
        <v>1633</v>
      </c>
      <c r="B136" s="30">
        <v>1.0</v>
      </c>
    </row>
    <row r="137" ht="14.25" customHeight="1">
      <c r="A137" s="23" t="s">
        <v>1358</v>
      </c>
      <c r="B137" s="30">
        <v>1.0</v>
      </c>
    </row>
    <row r="138" ht="14.25" customHeight="1">
      <c r="A138" s="23" t="s">
        <v>734</v>
      </c>
      <c r="B138" s="30">
        <v>1.0</v>
      </c>
    </row>
    <row r="139" ht="14.25" customHeight="1">
      <c r="A139" s="23" t="s">
        <v>341</v>
      </c>
      <c r="B139" s="30">
        <v>1.0</v>
      </c>
    </row>
    <row r="140" ht="14.25" customHeight="1">
      <c r="A140" s="23" t="s">
        <v>354</v>
      </c>
      <c r="B140" s="30">
        <v>1.0</v>
      </c>
    </row>
    <row r="141" ht="14.25" customHeight="1">
      <c r="A141" s="23" t="s">
        <v>693</v>
      </c>
      <c r="B141" s="30">
        <v>1.0</v>
      </c>
    </row>
    <row r="142" ht="14.25" customHeight="1">
      <c r="A142" s="23" t="s">
        <v>1295</v>
      </c>
      <c r="B142" s="30">
        <v>1.0</v>
      </c>
    </row>
    <row r="143" ht="14.25" customHeight="1">
      <c r="A143" s="23" t="s">
        <v>1178</v>
      </c>
      <c r="B143" s="30">
        <v>1.0</v>
      </c>
    </row>
    <row r="144" ht="14.25" customHeight="1">
      <c r="A144" s="23" t="s">
        <v>1453</v>
      </c>
      <c r="B144" s="30">
        <v>1.0</v>
      </c>
    </row>
    <row r="145" ht="14.25" customHeight="1">
      <c r="A145" s="23" t="s">
        <v>1130</v>
      </c>
      <c r="B145" s="30">
        <v>1.0</v>
      </c>
    </row>
    <row r="146" ht="14.25" customHeight="1">
      <c r="A146" s="23" t="s">
        <v>922</v>
      </c>
      <c r="B146" s="30">
        <v>1.0</v>
      </c>
    </row>
    <row r="147" ht="14.25" customHeight="1">
      <c r="A147" s="23" t="s">
        <v>629</v>
      </c>
      <c r="B147" s="30">
        <v>1.0</v>
      </c>
    </row>
    <row r="148" ht="14.25" customHeight="1">
      <c r="A148" s="23" t="s">
        <v>1743</v>
      </c>
      <c r="B148" s="30">
        <v>1.0</v>
      </c>
    </row>
    <row r="149" ht="14.25" customHeight="1">
      <c r="A149" s="23" t="s">
        <v>892</v>
      </c>
      <c r="B149" s="30">
        <v>1.0</v>
      </c>
    </row>
    <row r="150" ht="14.25" customHeight="1">
      <c r="A150" s="23" t="s">
        <v>427</v>
      </c>
      <c r="B150" s="30">
        <v>1.0</v>
      </c>
    </row>
    <row r="151" ht="14.25" customHeight="1">
      <c r="A151" s="23" t="s">
        <v>828</v>
      </c>
      <c r="B151" s="30">
        <v>1.0</v>
      </c>
    </row>
    <row r="152" ht="14.25" customHeight="1">
      <c r="A152" s="23" t="s">
        <v>507</v>
      </c>
      <c r="B152" s="30">
        <v>1.0</v>
      </c>
    </row>
    <row r="153" ht="14.25" customHeight="1">
      <c r="A153" s="23" t="s">
        <v>1264</v>
      </c>
      <c r="B153" s="30">
        <v>1.0</v>
      </c>
    </row>
    <row r="154" ht="14.25" customHeight="1">
      <c r="A154" s="23" t="s">
        <v>1547</v>
      </c>
      <c r="B154" s="30">
        <v>1.0</v>
      </c>
    </row>
    <row r="155" ht="14.25" customHeight="1">
      <c r="A155" s="23" t="s">
        <v>1376</v>
      </c>
      <c r="B155" s="30">
        <v>1.0</v>
      </c>
    </row>
    <row r="156" ht="14.25" customHeight="1">
      <c r="A156" s="23" t="s">
        <v>1234</v>
      </c>
      <c r="B156" s="30">
        <v>1.0</v>
      </c>
    </row>
    <row r="157" ht="14.25" customHeight="1">
      <c r="A157" s="23" t="s">
        <v>1307</v>
      </c>
      <c r="B157" s="30">
        <v>1.0</v>
      </c>
    </row>
    <row r="158" ht="14.25" customHeight="1">
      <c r="A158" s="23" t="s">
        <v>1119</v>
      </c>
      <c r="B158" s="30">
        <v>1.0</v>
      </c>
    </row>
    <row r="159" ht="14.25" customHeight="1">
      <c r="A159" s="23" t="s">
        <v>1500</v>
      </c>
      <c r="B159" s="30">
        <v>1.0</v>
      </c>
    </row>
    <row r="160" ht="14.25" customHeight="1">
      <c r="A160" s="23" t="s">
        <v>1072</v>
      </c>
      <c r="B160" s="30">
        <v>1.0</v>
      </c>
    </row>
    <row r="161" ht="14.25" customHeight="1">
      <c r="A161" s="23" t="s">
        <v>649</v>
      </c>
      <c r="B161" s="30">
        <v>1.0</v>
      </c>
    </row>
    <row r="162" ht="14.25" customHeight="1">
      <c r="A162" s="23" t="s">
        <v>903</v>
      </c>
      <c r="B162" s="30">
        <v>1.0</v>
      </c>
    </row>
    <row r="163" ht="14.25" customHeight="1">
      <c r="A163" s="23" t="s">
        <v>218</v>
      </c>
      <c r="B163" s="30">
        <v>1.0</v>
      </c>
    </row>
    <row r="164" ht="14.25" customHeight="1">
      <c r="A164" s="23" t="s">
        <v>1469</v>
      </c>
      <c r="B164" s="30">
        <v>1.0</v>
      </c>
    </row>
    <row r="165" ht="14.25" customHeight="1">
      <c r="A165" s="23" t="s">
        <v>1736</v>
      </c>
      <c r="B165" s="30">
        <v>1.0</v>
      </c>
    </row>
    <row r="166" ht="14.25" customHeight="1">
      <c r="A166" s="23" t="s">
        <v>1508</v>
      </c>
      <c r="B166" s="30">
        <v>1.0</v>
      </c>
    </row>
    <row r="167" ht="14.25" customHeight="1">
      <c r="A167" s="23" t="s">
        <v>949</v>
      </c>
      <c r="B167" s="30">
        <v>1.0</v>
      </c>
    </row>
    <row r="168" ht="14.25" customHeight="1">
      <c r="A168" s="23" t="s">
        <v>1034</v>
      </c>
      <c r="B168" s="30">
        <v>1.0</v>
      </c>
    </row>
    <row r="169" ht="14.25" customHeight="1">
      <c r="A169" s="23" t="s">
        <v>1010</v>
      </c>
      <c r="B169" s="30">
        <v>1.0</v>
      </c>
    </row>
    <row r="170" ht="14.25" customHeight="1">
      <c r="A170" s="23" t="s">
        <v>1023</v>
      </c>
      <c r="B170" s="30">
        <v>1.0</v>
      </c>
    </row>
    <row r="171" ht="14.25" customHeight="1">
      <c r="A171" s="23" t="s">
        <v>822</v>
      </c>
      <c r="B171" s="30">
        <v>1.0</v>
      </c>
    </row>
    <row r="172" ht="14.25" customHeight="1">
      <c r="A172" s="23" t="s">
        <v>266</v>
      </c>
      <c r="B172" s="30">
        <v>1.0</v>
      </c>
    </row>
    <row r="173" ht="14.25" customHeight="1">
      <c r="A173" s="23" t="s">
        <v>1433</v>
      </c>
      <c r="B173" s="30">
        <v>1.0</v>
      </c>
    </row>
    <row r="174" ht="14.25" customHeight="1">
      <c r="A174" s="23" t="s">
        <v>1055</v>
      </c>
      <c r="B174" s="30">
        <v>1.0</v>
      </c>
    </row>
    <row r="175" ht="14.25" customHeight="1">
      <c r="A175" s="23" t="s">
        <v>447</v>
      </c>
      <c r="B175" s="30">
        <v>1.0</v>
      </c>
    </row>
    <row r="176" ht="14.25" customHeight="1">
      <c r="A176" s="23" t="s">
        <v>545</v>
      </c>
      <c r="B176" s="30">
        <v>1.0</v>
      </c>
    </row>
    <row r="177" ht="14.25" customHeight="1">
      <c r="A177" s="23" t="s">
        <v>1122</v>
      </c>
      <c r="B177" s="30">
        <v>1.0</v>
      </c>
    </row>
    <row r="178" ht="14.25" customHeight="1">
      <c r="A178" s="23" t="s">
        <v>708</v>
      </c>
      <c r="B178" s="30">
        <v>1.0</v>
      </c>
    </row>
    <row r="179" ht="14.25" customHeight="1">
      <c r="A179" s="23" t="s">
        <v>1248</v>
      </c>
      <c r="B179" s="30">
        <v>1.0</v>
      </c>
    </row>
    <row r="180" ht="14.25" customHeight="1">
      <c r="A180" s="23" t="s">
        <v>873</v>
      </c>
      <c r="B180" s="30">
        <v>1.0</v>
      </c>
    </row>
    <row r="181" ht="14.25" customHeight="1">
      <c r="A181" s="23" t="s">
        <v>1004</v>
      </c>
      <c r="B181" s="30">
        <v>1.0</v>
      </c>
    </row>
    <row r="182" ht="14.25" customHeight="1">
      <c r="A182" s="23" t="s">
        <v>1166</v>
      </c>
      <c r="B182" s="30">
        <v>1.0</v>
      </c>
    </row>
    <row r="183" ht="14.25" customHeight="1">
      <c r="A183" s="23" t="s">
        <v>1705</v>
      </c>
      <c r="B183" s="30">
        <v>1.0</v>
      </c>
    </row>
    <row r="184" ht="14.25" customHeight="1">
      <c r="A184" s="23" t="s">
        <v>1288</v>
      </c>
      <c r="B184" s="30">
        <v>1.0</v>
      </c>
    </row>
    <row r="185" ht="14.25" customHeight="1">
      <c r="A185" s="23" t="s">
        <v>1569</v>
      </c>
      <c r="B185" s="30">
        <v>1.0</v>
      </c>
    </row>
    <row r="186" ht="14.25" customHeight="1">
      <c r="A186" s="23" t="s">
        <v>1354</v>
      </c>
      <c r="B186" s="30">
        <v>1.0</v>
      </c>
    </row>
    <row r="187" ht="14.25" customHeight="1">
      <c r="A187" s="23" t="s">
        <v>1282</v>
      </c>
      <c r="B187" s="30">
        <v>1.0</v>
      </c>
    </row>
    <row r="188" ht="14.25" customHeight="1">
      <c r="A188" s="23" t="s">
        <v>991</v>
      </c>
      <c r="B188" s="30">
        <v>1.0</v>
      </c>
    </row>
    <row r="189" ht="14.25" customHeight="1">
      <c r="A189" s="23" t="s">
        <v>763</v>
      </c>
      <c r="B189" s="30">
        <v>1.0</v>
      </c>
    </row>
    <row r="190" ht="14.25" customHeight="1">
      <c r="A190" s="23" t="s">
        <v>661</v>
      </c>
      <c r="B190" s="30">
        <v>1.0</v>
      </c>
    </row>
    <row r="191" ht="14.25" customHeight="1">
      <c r="A191" s="23" t="s">
        <v>1740</v>
      </c>
      <c r="B191" s="30">
        <v>1.0</v>
      </c>
    </row>
    <row r="192" ht="14.25" customHeight="1">
      <c r="A192" s="23" t="s">
        <v>1573</v>
      </c>
      <c r="B192" s="30">
        <v>1.0</v>
      </c>
    </row>
    <row r="193" ht="14.25" customHeight="1">
      <c r="A193" s="23" t="s">
        <v>1312</v>
      </c>
      <c r="B193" s="30">
        <v>1.0</v>
      </c>
    </row>
    <row r="194" ht="14.25" customHeight="1">
      <c r="A194" s="23" t="s">
        <v>1497</v>
      </c>
      <c r="B194" s="30">
        <v>1.0</v>
      </c>
    </row>
    <row r="195" ht="14.25" customHeight="1">
      <c r="A195" s="23" t="s">
        <v>745</v>
      </c>
      <c r="B195" s="30">
        <v>1.0</v>
      </c>
    </row>
    <row r="196" ht="14.25" customHeight="1">
      <c r="A196" s="23" t="s">
        <v>685</v>
      </c>
      <c r="B196" s="30">
        <v>1.0</v>
      </c>
    </row>
    <row r="197" ht="14.25" customHeight="1">
      <c r="A197" s="23" t="s">
        <v>978</v>
      </c>
      <c r="B197" s="30">
        <v>1.0</v>
      </c>
    </row>
    <row r="198" ht="14.25" customHeight="1">
      <c r="A198" s="23" t="s">
        <v>1038</v>
      </c>
      <c r="B198" s="30">
        <v>1.0</v>
      </c>
    </row>
    <row r="199" ht="14.25" customHeight="1">
      <c r="A199" s="23" t="s">
        <v>1720</v>
      </c>
      <c r="B199" s="30">
        <v>1.0</v>
      </c>
    </row>
    <row r="200" ht="14.25" customHeight="1">
      <c r="A200" s="23" t="s">
        <v>1042</v>
      </c>
      <c r="B200" s="30">
        <v>1.0</v>
      </c>
    </row>
    <row r="201" ht="14.25" customHeight="1">
      <c r="A201" s="23" t="s">
        <v>494</v>
      </c>
      <c r="B201" s="30">
        <v>1.0</v>
      </c>
    </row>
    <row r="202" ht="14.25" customHeight="1">
      <c r="A202" s="23" t="s">
        <v>593</v>
      </c>
      <c r="B202" s="30">
        <v>1.0</v>
      </c>
    </row>
    <row r="203" ht="14.25" customHeight="1">
      <c r="A203" s="23" t="s">
        <v>557</v>
      </c>
      <c r="B203" s="30">
        <v>1.0</v>
      </c>
    </row>
    <row r="204" ht="14.25" customHeight="1">
      <c r="A204" s="23" t="s">
        <v>624</v>
      </c>
      <c r="B204" s="30">
        <v>1.0</v>
      </c>
    </row>
    <row r="205" ht="14.25" customHeight="1">
      <c r="A205" s="23" t="s">
        <v>877</v>
      </c>
      <c r="B205" s="30">
        <v>1.0</v>
      </c>
    </row>
    <row r="206" ht="14.25" customHeight="1">
      <c r="A206" s="23" t="s">
        <v>984</v>
      </c>
      <c r="B206" s="30">
        <v>1.0</v>
      </c>
    </row>
    <row r="207" ht="14.25" customHeight="1">
      <c r="A207" s="23" t="s">
        <v>383</v>
      </c>
      <c r="B207" s="30">
        <v>1.0</v>
      </c>
    </row>
    <row r="208" ht="14.25" customHeight="1">
      <c r="A208" s="23" t="s">
        <v>852</v>
      </c>
      <c r="B208" s="30">
        <v>1.0</v>
      </c>
    </row>
    <row r="209" ht="14.25" customHeight="1">
      <c r="A209" s="23" t="s">
        <v>1678</v>
      </c>
      <c r="B209" s="30">
        <v>1.0</v>
      </c>
    </row>
    <row r="210" ht="14.25" customHeight="1">
      <c r="A210" s="23" t="s">
        <v>1526</v>
      </c>
      <c r="B210" s="30">
        <v>1.0</v>
      </c>
    </row>
    <row r="211" ht="14.25" customHeight="1">
      <c r="A211" s="23" t="s">
        <v>1629</v>
      </c>
      <c r="B211" s="30">
        <v>1.0</v>
      </c>
    </row>
    <row r="212" ht="14.25" customHeight="1">
      <c r="A212" s="23" t="s">
        <v>847</v>
      </c>
      <c r="B212" s="30">
        <v>1.0</v>
      </c>
    </row>
    <row r="213" ht="14.25" customHeight="1">
      <c r="A213" s="23" t="s">
        <v>1578</v>
      </c>
      <c r="B213" s="30">
        <v>1.0</v>
      </c>
    </row>
    <row r="214" ht="14.25" customHeight="1">
      <c r="A214" s="23" t="s">
        <v>1596</v>
      </c>
      <c r="B214" s="30">
        <v>1.0</v>
      </c>
    </row>
    <row r="215" ht="14.25" customHeight="1">
      <c r="A215" s="23" t="s">
        <v>451</v>
      </c>
      <c r="B215" s="30">
        <v>1.0</v>
      </c>
    </row>
    <row r="216" ht="14.25" customHeight="1">
      <c r="A216" s="23" t="s">
        <v>1278</v>
      </c>
      <c r="B216" s="30">
        <v>1.0</v>
      </c>
    </row>
    <row r="217" ht="14.25" customHeight="1">
      <c r="A217" s="23" t="s">
        <v>374</v>
      </c>
      <c r="B217" s="30">
        <v>1.0</v>
      </c>
    </row>
    <row r="218" ht="14.25" customHeight="1">
      <c r="A218" s="23" t="s">
        <v>791</v>
      </c>
      <c r="B218" s="30">
        <v>1.0</v>
      </c>
    </row>
    <row r="219" ht="14.25" customHeight="1">
      <c r="A219" s="23" t="s">
        <v>812</v>
      </c>
      <c r="B219" s="30">
        <v>1.0</v>
      </c>
    </row>
    <row r="220" ht="14.25" customHeight="1">
      <c r="A220" s="23" t="s">
        <v>974</v>
      </c>
      <c r="B220" s="30">
        <v>1.0</v>
      </c>
    </row>
    <row r="221" ht="14.25" customHeight="1">
      <c r="A221" s="23" t="s">
        <v>1391</v>
      </c>
      <c r="B221" s="30">
        <v>1.0</v>
      </c>
    </row>
    <row r="222" ht="14.25" customHeight="1">
      <c r="A222" s="23" t="s">
        <v>611</v>
      </c>
      <c r="B222" s="30">
        <v>1.0</v>
      </c>
    </row>
    <row r="223" ht="14.25" customHeight="1">
      <c r="A223" s="23" t="s">
        <v>1127</v>
      </c>
      <c r="B223" s="30">
        <v>1.0</v>
      </c>
    </row>
    <row r="224" ht="14.25" customHeight="1">
      <c r="A224" s="23" t="s">
        <v>1438</v>
      </c>
      <c r="B224" s="30">
        <v>1.0</v>
      </c>
    </row>
    <row r="225" ht="14.25" customHeight="1">
      <c r="A225" s="23" t="s">
        <v>970</v>
      </c>
      <c r="B225" s="30">
        <v>1.0</v>
      </c>
    </row>
    <row r="226" ht="14.25" customHeight="1">
      <c r="A226" s="23" t="s">
        <v>1369</v>
      </c>
      <c r="B226" s="30">
        <v>1.0</v>
      </c>
    </row>
    <row r="227" ht="14.25" customHeight="1">
      <c r="A227" s="23" t="s">
        <v>1227</v>
      </c>
      <c r="B227" s="30">
        <v>1.0</v>
      </c>
    </row>
    <row r="228" ht="14.25" customHeight="1">
      <c r="A228" s="23" t="s">
        <v>1291</v>
      </c>
      <c r="B228" s="30">
        <v>1.0</v>
      </c>
    </row>
    <row r="229" ht="14.25" customHeight="1">
      <c r="A229" s="23" t="s">
        <v>644</v>
      </c>
      <c r="B229" s="30">
        <v>1.0</v>
      </c>
    </row>
    <row r="230" ht="14.25" customHeight="1">
      <c r="A230" s="23" t="s">
        <v>530</v>
      </c>
      <c r="B230" s="30">
        <v>1.0</v>
      </c>
    </row>
    <row r="231" ht="14.25" customHeight="1">
      <c r="A231" s="23" t="s">
        <v>800</v>
      </c>
      <c r="B231" s="30">
        <v>1.0</v>
      </c>
    </row>
    <row r="232" ht="14.25" customHeight="1">
      <c r="A232" s="23" t="s">
        <v>1406</v>
      </c>
      <c r="B232" s="30">
        <v>1.0</v>
      </c>
    </row>
    <row r="233" ht="14.25" customHeight="1">
      <c r="A233" s="23" t="s">
        <v>967</v>
      </c>
      <c r="B233" s="30">
        <v>1.0</v>
      </c>
    </row>
    <row r="234" ht="14.25" customHeight="1">
      <c r="A234" s="23" t="s">
        <v>501</v>
      </c>
      <c r="B234" s="30">
        <v>1.0</v>
      </c>
    </row>
    <row r="235" ht="14.25" customHeight="1">
      <c r="A235" s="23" t="s">
        <v>653</v>
      </c>
      <c r="B235" s="30">
        <v>1.0</v>
      </c>
    </row>
    <row r="236" ht="14.25" customHeight="1">
      <c r="A236" s="23" t="s">
        <v>1668</v>
      </c>
      <c r="B236" s="30">
        <v>1.0</v>
      </c>
    </row>
    <row r="237" ht="14.25" customHeight="1">
      <c r="A237" s="23" t="s">
        <v>1763</v>
      </c>
      <c r="B237" s="30">
        <v>1.0</v>
      </c>
    </row>
    <row r="238" ht="14.25" customHeight="1">
      <c r="A238" s="23" t="s">
        <v>769</v>
      </c>
      <c r="B238" s="30">
        <v>1.0</v>
      </c>
    </row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29"/>
    <col customWidth="1" min="3" max="22" width="8.71"/>
  </cols>
  <sheetData>
    <row r="1" ht="14.25" customHeight="1">
      <c r="A1" s="56" t="s">
        <v>215</v>
      </c>
      <c r="B1" s="56" t="s">
        <v>1783</v>
      </c>
    </row>
    <row r="2" ht="14.25" customHeight="1">
      <c r="A2" s="57" t="s">
        <v>182</v>
      </c>
      <c r="B2" s="60" t="s">
        <v>1784</v>
      </c>
    </row>
    <row r="3" ht="14.25" customHeight="1">
      <c r="A3" s="57" t="s">
        <v>1785</v>
      </c>
      <c r="B3" s="61" t="s">
        <v>1784</v>
      </c>
    </row>
    <row r="4" ht="14.25" customHeight="1">
      <c r="A4" s="57" t="s">
        <v>181</v>
      </c>
      <c r="B4" s="61" t="s">
        <v>1786</v>
      </c>
    </row>
    <row r="5" ht="14.25" customHeight="1">
      <c r="A5" s="57" t="s">
        <v>184</v>
      </c>
      <c r="B5" s="60" t="s">
        <v>1787</v>
      </c>
    </row>
    <row r="6" ht="14.25" customHeight="1">
      <c r="A6" s="57" t="s">
        <v>183</v>
      </c>
      <c r="B6" s="60" t="s">
        <v>1788</v>
      </c>
    </row>
    <row r="7" ht="14.25" customHeight="1">
      <c r="A7" s="57" t="s">
        <v>185</v>
      </c>
      <c r="B7" s="60" t="s">
        <v>1789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